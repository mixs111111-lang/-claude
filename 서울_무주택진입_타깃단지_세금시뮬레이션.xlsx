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방법" sheetId="1" state="visible" r:id="rId3"/>
    <sheet name="요약" sheetId="2" state="visible" r:id="rId4"/>
    <sheet name="단지" sheetId="3" state="visible" r:id="rId5"/>
    <sheet name="시뮬레이션" sheetId="4" state="visible" r:id="rId6"/>
    <sheet name="보유세_스케줄" sheetId="5" state="visible" r:id="rId7"/>
    <sheet name="최대매수가능액" sheetId="6" state="visible" r:id="rId8"/>
    <sheet name="입력" sheetId="7" state="visible" r:id="rId9"/>
    <sheet name="세율표" sheetId="8" state="visible" r:id="rId10"/>
  </sheets>
  <definedNames>
    <definedName function="false" hidden="false" name="CD" vbProcedure="false">세율표!$C$6:$C$13</definedName>
    <definedName function="false" hidden="false" name="CityRate" vbProcedure="false">입력!$B$21</definedName>
    <definedName function="false" hidden="false" name="CLo" vbProcedure="false">세율표!$A$6:$A$13</definedName>
    <definedName function="false" hidden="false" name="C_Acq" vbProcedure="false">단지!$N$6:$N$12</definedName>
    <definedName function="false" hidden="false" name="C_Equity" vbProcedure="false">단지!$P$6:$P$12</definedName>
    <definedName function="false" hidden="false" name="C_Fee" vbProcedure="false">단지!$O$6:$O$12</definedName>
    <definedName function="false" hidden="false" name="C_Loan" vbProcedure="false">단지!$M$6:$M$12</definedName>
    <definedName function="false" hidden="false" name="C_Name" vbProcedure="false">단지!$D$6:$D$12</definedName>
    <definedName function="false" hidden="false" name="C_Price" vbProcedure="false">단지!$F$6:$F$12</definedName>
    <definedName function="false" hidden="false" name="DepRate" vbProcedure="false">입력!$B$35</definedName>
    <definedName function="false" hidden="false" name="DepTax" vbProcedure="false">입력!$B$36</definedName>
    <definedName function="false" hidden="false" name="DSR" vbProcedure="false">입력!$B$11</definedName>
    <definedName function="false" hidden="false" name="EduAcq" vbProcedure="false">입력!$B$24</definedName>
    <definedName function="false" hidden="false" name="EduProp" vbProcedure="false">입력!$B$22</definedName>
    <definedName function="false" hidden="false" name="Eq1" vbProcedure="false">입력!$B$4</definedName>
    <definedName function="false" hidden="false" name="Eq2" vbProcedure="false">입력!$B$5</definedName>
    <definedName function="false" hidden="false" name="Eq3" vbProcedure="false">입력!$B$6</definedName>
    <definedName function="false" hidden="false" name="EtcBuy" vbProcedure="false">입력!$B$27</definedName>
    <definedName function="false" hidden="false" name="Exempt" vbProcedure="false">입력!$B$30</definedName>
    <definedName function="false" hidden="false" name="FairJong" vbProcedure="false">입력!$B$18</definedName>
    <definedName function="false" hidden="false" name="FairProp" vbProcedure="false">입력!$B$17</definedName>
    <definedName function="false" hidden="false" name="FeeLo" vbProcedure="false">세율표!$A$41:$A$44</definedName>
    <definedName function="false" hidden="false" name="FeeR" vbProcedure="false">세율표!$B$41:$B$44</definedName>
    <definedName function="false" hidden="false" name="G1" vbProcedure="false">입력!$B$12</definedName>
    <definedName function="false" hidden="false" name="G2" vbProcedure="false">입력!$B$13</definedName>
    <definedName function="false" hidden="false" name="G3" vbProcedure="false">입력!$B$14</definedName>
    <definedName function="false" hidden="false" name="GD" vbProcedure="false">세율표!$C$17:$C$20</definedName>
    <definedName function="false" hidden="false" name="GLo" vbProcedure="false">세율표!$A$17:$A$20</definedName>
    <definedName function="false" hidden="false" name="Gongsi" vbProcedure="false">입력!$B$16</definedName>
    <definedName function="false" hidden="false" name="HoldRate" vbProcedure="false">입력!$B$31</definedName>
    <definedName function="false" hidden="false" name="InitDed" vbProcedure="false">입력!$B$28</definedName>
    <definedName function="false" hidden="false" name="JD" vbProcedure="false">세율표!$C$31:$C$37</definedName>
    <definedName function="false" hidden="false" name="JeonseRate" vbProcedure="false">입력!$B$15</definedName>
    <definedName function="false" hidden="false" name="JLo" vbProcedure="false">세율표!$A$31:$A$37</definedName>
    <definedName function="false" hidden="false" name="JongDeduct" vbProcedure="false">입력!$B$19</definedName>
    <definedName function="false" hidden="false" name="LiveRate" vbProcedure="false">입력!$B$32</definedName>
    <definedName function="false" hidden="false" name="LoanCap" vbProcedure="false">세율표!$B$48:$B$50</definedName>
    <definedName function="false" hidden="false" name="LoanLo" vbProcedure="false">세율표!$A$48:$A$50</definedName>
    <definedName function="false" hidden="false" name="LoanYears" vbProcedure="false">입력!$B$8</definedName>
    <definedName function="false" hidden="false" name="LocalTax" vbProcedure="false">입력!$B$29</definedName>
    <definedName function="false" hidden="false" name="LTV" vbProcedure="false">입력!$B$9</definedName>
    <definedName function="false" hidden="false" name="MaxDed" vbProcedure="false">입력!$B$33</definedName>
    <definedName function="false" hidden="false" name="NongAcqRate" vbProcedure="false">입력!$B$25</definedName>
    <definedName function="false" hidden="false" name="NongJong" vbProcedure="false">입력!$B$23</definedName>
    <definedName function="false" hidden="false" name="NonRes" vbProcedure="false">입력!$B$34</definedName>
    <definedName function="false" hidden="false" name="Rate" vbProcedure="false">입력!$B$7</definedName>
    <definedName function="false" hidden="false" name="Rm" vbProcedure="false">입력!$B$37</definedName>
    <definedName function="false" hidden="false" name="Sch_Idx" vbProcedure="false">보유세_스케줄!$A$5:$A$214</definedName>
    <definedName function="false" hidden="false" name="Sch_Scen" vbProcedure="false">보유세_스케줄!$C$5:$C$214</definedName>
    <definedName function="false" hidden="false" name="Sch_Total" vbProcedure="false">보유세_스케줄!$O$5:$O$214</definedName>
    <definedName function="false" hidden="false" name="Sch_Year" vbProcedure="false">보유세_스케줄!$E$5:$E$214</definedName>
    <definedName function="false" hidden="false" name="SD" vbProcedure="false">세율표!$C$24:$C$27</definedName>
    <definedName function="false" hidden="false" name="SelN" vbProcedure="false">요약!$C$3</definedName>
    <definedName function="false" hidden="false" name="SelScen" vbProcedure="false">요약!$C$2</definedName>
    <definedName function="false" hidden="false" name="Sim_acq" vbProcedure="false">시뮬레이션!$H$5:$H$88</definedName>
    <definedName function="false" hidden="false" name="Sim_bal" vbProcedure="false">시뮬레이션!$O$5:$O$88</definedName>
    <definedName function="false" hidden="false" name="Sim_base" vbProcedure="false">시뮬레이션!$V$5:$V$88</definedName>
    <definedName function="false" hidden="false" name="Sim_cagr" vbProcedure="false">시뮬레이션!$AA$5:$AA$88</definedName>
    <definedName function="false" hidden="false" name="Sim_ctax" vbProcedure="false">시뮬레이션!$W$5:$W$88</definedName>
    <definedName function="false" hidden="false" name="Sim_ded" vbProcedure="false">시뮬레이션!$T$5:$T$88</definedName>
    <definedName function="false" hidden="false" name="Sim_eq" vbProcedure="false">시뮬레이션!$K$5:$K$88</definedName>
    <definedName function="false" hidden="false" name="Sim_exc" vbProcedure="false">시뮬레이션!$AE$5:$AE$88</definedName>
    <definedName function="false" hidden="false" name="Sim_exp" vbProcedure="false">시뮬레이션!$Q$5:$Q$88</definedName>
    <definedName function="false" hidden="false" name="Sim_fee" vbProcedure="false">시뮬레이션!$I$5:$I$88</definedName>
    <definedName function="false" hidden="false" name="Sim_g" vbProcedure="false">시뮬레이션!$D$5:$D$88</definedName>
    <definedName function="false" hidden="false" name="Sim_gain" vbProcedure="false">시뮬레이션!$R$5:$R$88</definedName>
    <definedName function="false" hidden="false" name="Sim_Idx" vbProcedure="false">시뮬레이션!$A$5:$A$88</definedName>
    <definedName function="false" hidden="false" name="Sim_inc" vbProcedure="false">시뮬레이션!$U$5:$U$88</definedName>
    <definedName function="false" hidden="false" name="Sim_int" vbProcedure="false">시뮬레이션!$N$5:$N$88</definedName>
    <definedName function="false" hidden="false" name="Sim_live" vbProcedure="false">시뮬레이션!$F$5:$F$88</definedName>
    <definedName function="false" hidden="false" name="Sim_loan" vbProcedure="false">시뮬레이션!$J$5:$J$88</definedName>
    <definedName function="false" hidden="false" name="Sim_N" vbProcedure="false">시뮬레이션!$E$5:$E$88</definedName>
    <definedName function="false" hidden="false" name="Sim_name" vbProcedure="false">시뮬레이션!$B$5:$B$88</definedName>
    <definedName function="false" hidden="false" name="Sim_net" vbProcedure="false">시뮬레이션!$Y$5:$Y$88</definedName>
    <definedName function="false" hidden="false" name="Sim_opp" vbProcedure="false">시뮬레이션!$AD$5:$AD$88</definedName>
    <definedName function="false" hidden="false" name="Sim_P" vbProcedure="false">시뮬레이션!$G$5:$G$88</definedName>
    <definedName function="false" hidden="false" name="Sim_ptax" vbProcedure="false">시뮬레이션!$P$5:$P$88</definedName>
    <definedName function="false" hidden="false" name="Sim_rec" vbProcedure="false">시뮬레이션!$AB$5:$AB$88</definedName>
    <definedName function="false" hidden="false" name="Sim_recr" vbProcedure="false">시뮬레이션!$AC$5:$AC$88</definedName>
    <definedName function="false" hidden="false" name="Sim_roi" vbProcedure="false">시뮬레이션!$Z$5:$Z$88</definedName>
    <definedName function="false" hidden="false" name="Sim_S" vbProcedure="false">시뮬레이션!$L$5:$L$88</definedName>
    <definedName function="false" hidden="false" name="Sim_Scen" vbProcedure="false">시뮬레이션!$C$5:$C$88</definedName>
    <definedName function="false" hidden="false" name="Sim_sfee" vbProcedure="false">시뮬레이션!$M$5:$M$88</definedName>
    <definedName function="false" hidden="false" name="Sim_tg" vbProcedure="false">시뮬레이션!$S$5:$S$88</definedName>
    <definedName function="false" hidden="false" name="Sim_tt" vbProcedure="false">시뮬레이션!$X$5:$X$88</definedName>
    <definedName function="false" hidden="false" name="SLo" vbProcedure="false">세율표!$A$24:$A$27</definedName>
    <definedName function="false" hidden="false" name="SpcLimit" vbProcedure="false">입력!$B$20</definedName>
    <definedName function="false" hidden="false" name="Stress" vbProcedure="false">입력!$B$10</definedName>
    <definedName function="false" hidden="false" name="VAT" vbProcedure="false">입력!$B$26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<sst xmlns="http://schemas.openxmlformats.org/spreadsheetml/2006/main" count="278" uniqueCount="240">
  <si>
    <r>
      <rPr>
        <b val="true"/>
        <sz val="14"/>
        <rFont val="WenQuanYi Zen Hei"/>
        <family val="2"/>
      </rPr>
      <t xml:space="preserve">서울 무주택 진입 – 타깃 단지별 취득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보유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양도 </t>
    </r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WenQuanYi Zen Hei"/>
        <family val="2"/>
      </rPr>
      <t xml:space="preserve">단계 세금 시뮬레이션</t>
    </r>
  </si>
  <si>
    <t xml:space="preserve">작성일</t>
  </si>
  <si>
    <r>
      <rPr>
        <sz val="10"/>
        <rFont val="Arial"/>
        <family val="0"/>
        <charset val="1"/>
      </rPr>
      <t xml:space="preserve">2026-10-20 (</t>
    </r>
    <r>
      <rPr>
        <sz val="10"/>
        <rFont val="WenQuanYi Zen Hei"/>
        <family val="2"/>
      </rPr>
      <t xml:space="preserve">가격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규제는 </t>
    </r>
    <r>
      <rPr>
        <sz val="10"/>
        <rFont val="Arial"/>
        <family val="0"/>
        <charset val="1"/>
      </rPr>
      <t xml:space="preserve">2026-10</t>
    </r>
    <r>
      <rPr>
        <sz val="10"/>
        <rFont val="WenQuanYi Zen Hei"/>
        <family val="2"/>
      </rPr>
      <t xml:space="preserve">월 검색 기준</t>
    </r>
    <r>
      <rPr>
        <sz val="10"/>
        <rFont val="Arial"/>
        <family val="0"/>
        <charset val="1"/>
      </rPr>
      <t xml:space="preserve">)</t>
    </r>
  </si>
  <si>
    <t xml:space="preserve">전제</t>
  </si>
  <si>
    <r>
      <rPr>
        <sz val="10"/>
        <rFont val="WenQuanYi Zen Hei"/>
        <family val="2"/>
      </rPr>
      <t xml:space="preserve">지방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주택을 처분해 서울에서 무주택자로 진입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자기자본 </t>
    </r>
    <r>
      <rPr>
        <sz val="10"/>
        <rFont val="Arial"/>
        <family val="0"/>
        <charset val="1"/>
      </rPr>
      <t xml:space="preserve">12·14·16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세후 가용 현금으로 가정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입력 시트에서 변경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실거주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장기보유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세대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주택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구조</t>
    </r>
    <r>
      <rPr>
        <sz val="10"/>
        <rFont val="Arial"/>
        <family val="0"/>
        <charset val="1"/>
      </rPr>
      <t xml:space="preserve">.</t>
    </r>
  </si>
  <si>
    <t xml:space="preserve">셀 색 규칙</t>
  </si>
  <si>
    <r>
      <rPr>
        <sz val="10"/>
        <rFont val="WenQuanYi Zen Hei"/>
        <family val="2"/>
      </rPr>
      <t xml:space="preserve">파란 글씨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입력값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변경 가능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노란 배경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핵심 입력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검정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수식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초록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다른 시트에서 가져온 값</t>
    </r>
  </si>
  <si>
    <t xml:space="preserve">바꿔 볼 곳</t>
  </si>
  <si>
    <r>
      <rPr>
        <sz val="10"/>
        <rFont val="Arial"/>
        <family val="0"/>
        <charset val="1"/>
      </rPr>
      <t xml:space="preserve">① '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자기자본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상승률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전세가율 등 </t>
    </r>
    <r>
      <rPr>
        <sz val="10"/>
        <rFont val="Arial"/>
        <family val="0"/>
        <charset val="1"/>
      </rPr>
      <t xml:space="preserve">/ ② '</t>
    </r>
    <r>
      <rPr>
        <sz val="10"/>
        <rFont val="WenQuanYi Zen Hei"/>
        <family val="2"/>
      </rPr>
      <t xml:space="preserve">단지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 </t>
    </r>
    <r>
      <rPr>
        <sz val="10"/>
        <rFont val="Arial"/>
        <family val="0"/>
        <charset val="1"/>
      </rPr>
      <t xml:space="preserve">F</t>
    </r>
    <r>
      <rPr>
        <sz val="10"/>
        <rFont val="WenQuanYi Zen Hei"/>
        <family val="2"/>
      </rPr>
      <t xml:space="preserve">열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매매가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). 7</t>
    </r>
    <r>
      <rPr>
        <sz val="10"/>
        <rFont val="WenQuanYi Zen Hei"/>
        <family val="2"/>
      </rPr>
      <t xml:space="preserve">번 행은 직접 입력하는 예시 행입니다</t>
    </r>
    <r>
      <rPr>
        <sz val="10"/>
        <rFont val="Arial"/>
        <family val="0"/>
        <charset val="1"/>
      </rPr>
      <t xml:space="preserve">.</t>
    </r>
  </si>
  <si>
    <t xml:space="preserve">시트 구성</t>
  </si>
  <si>
    <r>
      <rPr>
        <sz val="10"/>
        <rFont val="WenQuanYi Zen Hei"/>
        <family val="2"/>
      </rPr>
      <t xml:space="preserve">입력 → 세율표 → 단지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매수 단계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대출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취득세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필요 자기자본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보유세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스케줄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보유 단계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시뮬레이션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양도 단계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손익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요약 → 최대매수가능액</t>
    </r>
  </si>
  <si>
    <t xml:space="preserve">단위</t>
  </si>
  <si>
    <r>
      <rPr>
        <sz val="10"/>
        <rFont val="WenQuanYi Zen Hei"/>
        <family val="2"/>
      </rPr>
      <t xml:space="preserve">금액은 억 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보유세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년차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월 원리금은 만원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수익률은 투자금 대비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년 누적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연환산은 단순 계산</t>
    </r>
    <r>
      <rPr>
        <sz val="10"/>
        <rFont val="Arial"/>
        <family val="0"/>
        <charset val="1"/>
      </rPr>
      <t xml:space="preserve">).</t>
    </r>
  </si>
  <si>
    <t xml:space="preserve">데이터 한계</t>
  </si>
  <si>
    <r>
      <rPr>
        <sz val="10"/>
        <rFont val="WenQuanYi Zen Hei"/>
        <family val="2"/>
      </rPr>
      <t xml:space="preserve">단지 가격은 뉴스</t>
    </r>
    <r>
      <rPr>
        <sz val="10"/>
        <rFont val="Arial"/>
        <family val="0"/>
        <charset val="1"/>
      </rPr>
      <t xml:space="preserve">·KB</t>
    </r>
    <r>
      <rPr>
        <sz val="10"/>
        <rFont val="WenQuanYi Zen Hei"/>
        <family val="2"/>
      </rPr>
      <t xml:space="preserve">시세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시세사이트 기반 참고값이며 일부는 추정입니다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계약 전 국토부 실거래가 공개시스템과 네이버부동산 중층 매물로 교차검증하세요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단지 시트의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신뢰도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열 참고</t>
    </r>
    <r>
      <rPr>
        <sz val="10"/>
        <rFont val="Arial"/>
        <family val="0"/>
        <charset val="1"/>
      </rPr>
      <t xml:space="preserve">).</t>
    </r>
  </si>
  <si>
    <t xml:space="preserve">모델 단순화</t>
  </si>
  <si>
    <r>
      <rPr>
        <sz val="10"/>
        <rFont val="WenQuanYi Zen Hei"/>
        <family val="2"/>
      </rPr>
      <t xml:space="preserve">① 종부세는 재산세 중복분 공제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고령자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장기보유 세액공제를 반영하지 않음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보수적</t>
    </r>
    <r>
      <rPr>
        <sz val="10"/>
        <rFont val="Arial"/>
        <family val="0"/>
        <charset val="1"/>
      </rPr>
      <t xml:space="preserve">) ② </t>
    </r>
    <r>
      <rPr>
        <sz val="10"/>
        <rFont val="WenQuanYi Zen Hei"/>
        <family val="2"/>
      </rPr>
      <t xml:space="preserve">공시가 현실화율 </t>
    </r>
    <r>
      <rPr>
        <sz val="10"/>
        <rFont val="Arial"/>
        <family val="0"/>
        <charset val="1"/>
      </rPr>
      <t xml:space="preserve">69%·</t>
    </r>
    <r>
      <rPr>
        <sz val="10"/>
        <rFont val="WenQuanYi Zen Hei"/>
        <family val="2"/>
      </rPr>
      <t xml:space="preserve">공정시장가액비율 </t>
    </r>
    <r>
      <rPr>
        <sz val="10"/>
        <rFont val="Arial"/>
        <family val="0"/>
        <charset val="1"/>
      </rPr>
      <t xml:space="preserve">60% </t>
    </r>
    <r>
      <rPr>
        <sz val="10"/>
        <rFont val="WenQuanYi Zen Hei"/>
        <family val="2"/>
      </rPr>
      <t xml:space="preserve">고정 ③ </t>
    </r>
    <r>
      <rPr>
        <sz val="10"/>
        <rFont val="Arial"/>
        <family val="0"/>
        <charset val="1"/>
      </rPr>
      <t xml:space="preserve">2026.8</t>
    </r>
    <r>
      <rPr>
        <sz val="10"/>
        <rFont val="WenQuanYi Zen Hei"/>
        <family val="2"/>
      </rPr>
      <t xml:space="preserve">월 세제개편안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종부세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장특공 한도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중과 완화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국회 통과 미확인으로 미반영 ④ 지방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주택 처분 양도세와 처분 일정은 별도 검토 대상 ⑤ 실거주로 절감되는 주거비는 미반영</t>
    </r>
    <r>
      <rPr>
        <sz val="10"/>
        <rFont val="Arial"/>
        <family val="0"/>
        <charset val="1"/>
      </rPr>
      <t xml:space="preserve">.</t>
    </r>
  </si>
  <si>
    <t xml:space="preserve">면책</t>
  </si>
  <si>
    <r>
      <rPr>
        <sz val="10"/>
        <rFont val="WenQuanYi Zen Hei"/>
        <family val="2"/>
      </rPr>
      <t xml:space="preserve">세무사 확정 계산을 대체하지 않는 의사결정 참고용 모델입니다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</si>
  <si>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요약 – 타깃 단지별 </t>
    </r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WenQuanYi Zen Hei"/>
        <family val="2"/>
      </rPr>
      <t xml:space="preserve">단계 세금과 손익</t>
    </r>
  </si>
  <si>
    <r>
      <rPr>
        <b val="true"/>
        <sz val="10"/>
        <rFont val="WenQuanYi Zen Hei"/>
        <family val="2"/>
      </rPr>
      <t xml:space="preserve">기준 시나리오</t>
    </r>
    <r>
      <rPr>
        <b val="true"/>
        <sz val="10"/>
        <rFont val="Arial"/>
        <family val="0"/>
        <charset val="1"/>
      </rPr>
      <t xml:space="preserve">(1=</t>
    </r>
    <r>
      <rPr>
        <b val="true"/>
        <sz val="10"/>
        <rFont val="WenQuanYi Zen Hei"/>
        <family val="2"/>
      </rPr>
      <t xml:space="preserve">보수 </t>
    </r>
    <r>
      <rPr>
        <b val="true"/>
        <sz val="10"/>
        <rFont val="Arial"/>
        <family val="0"/>
        <charset val="1"/>
      </rPr>
      <t xml:space="preserve">2=</t>
    </r>
    <r>
      <rPr>
        <b val="true"/>
        <sz val="10"/>
        <rFont val="WenQuanYi Zen Hei"/>
        <family val="2"/>
      </rPr>
      <t xml:space="preserve">기준 </t>
    </r>
    <r>
      <rPr>
        <b val="true"/>
        <sz val="10"/>
        <rFont val="Arial"/>
        <family val="0"/>
        <charset val="1"/>
      </rPr>
      <t xml:space="preserve">3=</t>
    </r>
    <r>
      <rPr>
        <b val="true"/>
        <sz val="10"/>
        <rFont val="WenQuanYi Zen Hei"/>
        <family val="2"/>
      </rPr>
      <t xml:space="preserve">낙관</t>
    </r>
    <r>
      <rPr>
        <b val="true"/>
        <sz val="10"/>
        <rFont val="Arial"/>
        <family val="0"/>
        <charset val="1"/>
      </rPr>
      <t xml:space="preserve">)</t>
    </r>
  </si>
  <si>
    <t xml:space="preserve">상승률</t>
  </si>
  <si>
    <r>
      <rPr>
        <b val="true"/>
        <sz val="10"/>
        <rFont val="WenQuanYi Zen Hei"/>
        <family val="2"/>
      </rPr>
      <t xml:space="preserve">매도 시점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년</t>
    </r>
    <r>
      <rPr>
        <b val="true"/>
        <sz val="10"/>
        <rFont val="Arial"/>
        <family val="0"/>
        <charset val="1"/>
      </rPr>
      <t xml:space="preserve">: 3·5·7·10 </t>
    </r>
    <r>
      <rPr>
        <b val="true"/>
        <sz val="10"/>
        <rFont val="WenQuanYi Zen Hei"/>
        <family val="2"/>
      </rPr>
      <t xml:space="preserve">중 선택</t>
    </r>
    <r>
      <rPr>
        <b val="true"/>
        <sz val="10"/>
        <rFont val="Arial"/>
        <family val="0"/>
        <charset val="1"/>
      </rPr>
      <t xml:space="preserve">)</t>
    </r>
  </si>
  <si>
    <t xml:space="preserve">단지</t>
  </si>
  <si>
    <t xml:space="preserve">매매가</t>
  </si>
  <si>
    <t xml:space="preserve">대출</t>
  </si>
  <si>
    <t xml:space="preserve">필요 자기자본</t>
  </si>
  <si>
    <r>
      <rPr>
        <b val="true"/>
        <sz val="10"/>
        <color rgb="FFFFFFFF"/>
        <rFont val="Arial"/>
        <family val="0"/>
        <charset val="1"/>
      </rPr>
      <t xml:space="preserve">A(12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</si>
  <si>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B(14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</si>
  <si>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C(16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</si>
  <si>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① 취득세 등</t>
  </si>
  <si>
    <r>
      <rPr>
        <b val="true"/>
        <sz val="10"/>
        <color rgb="FFFFFFFF"/>
        <rFont val="WenQuanYi Zen Hei"/>
        <family val="2"/>
      </rPr>
      <t xml:space="preserve">보유세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년차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만원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</si>
  <si>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② 보유세 누계</t>
  </si>
  <si>
    <t xml:space="preserve">③ 양도세</t>
  </si>
  <si>
    <t xml:space="preserve">세금 합계</t>
  </si>
  <si>
    <r>
      <rPr>
        <b val="true"/>
        <sz val="10"/>
        <color rgb="FFFFFFFF"/>
        <rFont val="WenQuanYi Zen Hei"/>
        <family val="2"/>
      </rPr>
      <t xml:space="preserve">세금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시세차익</t>
    </r>
  </si>
  <si>
    <t xml:space="preserve">시세차익</t>
  </si>
  <si>
    <t xml:space="preserve">세후 순이익</t>
  </si>
  <si>
    <t xml:space="preserve">수익률</t>
  </si>
  <si>
    <t xml:space="preserve">연환산</t>
  </si>
  <si>
    <r>
      <rPr>
        <b val="true"/>
        <sz val="10"/>
        <color rgb="FFFFFFFF"/>
        <rFont val="WenQuanYi Zen Hei"/>
        <family val="2"/>
      </rPr>
      <t xml:space="preserve">회수율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</si>
  <si>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예금 대비 초과수익</t>
  </si>
  <si>
    <r>
      <rPr>
        <b val="true"/>
        <sz val="10"/>
        <rFont val="WenQuanYi Zen Hei"/>
        <family val="2"/>
      </rPr>
      <t xml:space="preserve">민감도 ① 세후 순이익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 – </t>
    </r>
    <r>
      <rPr>
        <b val="true"/>
        <sz val="10"/>
        <rFont val="WenQuanYi Zen Hei"/>
        <family val="2"/>
      </rPr>
      <t xml:space="preserve">상승률 시나리오별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매도 시점 </t>
    </r>
    <r>
      <rPr>
        <b val="true"/>
        <sz val="10"/>
        <rFont val="Arial"/>
        <family val="0"/>
        <charset val="1"/>
      </rPr>
      <t xml:space="preserve">= C3)</t>
    </r>
  </si>
  <si>
    <t xml:space="preserve">보수</t>
  </si>
  <si>
    <t xml:space="preserve">기준</t>
  </si>
  <si>
    <t xml:space="preserve">낙관</t>
  </si>
  <si>
    <r>
      <rPr>
        <b val="true"/>
        <sz val="10"/>
        <rFont val="WenQuanYi Zen Hei"/>
        <family val="2"/>
      </rPr>
      <t xml:space="preserve">민감도 ② 세후 순이익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 – </t>
    </r>
    <r>
      <rPr>
        <b val="true"/>
        <sz val="10"/>
        <rFont val="WenQuanYi Zen Hei"/>
        <family val="2"/>
      </rPr>
      <t xml:space="preserve">매도 시점별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상승률 시나리오 </t>
    </r>
    <r>
      <rPr>
        <b val="true"/>
        <sz val="10"/>
        <rFont val="Arial"/>
        <family val="0"/>
        <charset val="1"/>
      </rPr>
      <t xml:space="preserve">= C2)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</si>
  <si>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</si>
  <si>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</si>
  <si>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</si>
  <si>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년</t>
    </r>
  </si>
  <si>
    <r>
      <rPr>
        <b val="true"/>
        <sz val="10"/>
        <rFont val="WenQuanYi Zen Hei"/>
        <family val="2"/>
      </rPr>
      <t xml:space="preserve">민감도 ③ 양도세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 – </t>
    </r>
    <r>
      <rPr>
        <b val="true"/>
        <sz val="10"/>
        <rFont val="WenQuanYi Zen Hei"/>
        <family val="2"/>
      </rPr>
      <t xml:space="preserve">매도 시점별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상승률 시나리오 </t>
    </r>
    <r>
      <rPr>
        <b val="true"/>
        <sz val="10"/>
        <rFont val="Arial"/>
        <family val="0"/>
        <charset val="1"/>
      </rPr>
      <t xml:space="preserve">= C2)</t>
    </r>
  </si>
  <si>
    <r>
      <rPr>
        <b val="true"/>
        <sz val="14"/>
        <rFont val="WenQuanYi Zen Hei"/>
        <family val="2"/>
      </rPr>
      <t xml:space="preserve">타깃 단지 – 매수 단계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대출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취득세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필요 자기자본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</si>
  <si>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F</t>
    </r>
    <r>
      <rPr>
        <i val="true"/>
        <sz val="9"/>
        <color rgb="FF595959"/>
        <rFont val="WenQuanYi Zen Hei"/>
        <family val="2"/>
      </rPr>
      <t xml:space="preserve">열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매매가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이 핵심 입력입니다</t>
    </r>
    <r>
      <rPr>
        <i val="true"/>
        <sz val="9"/>
        <color rgb="FF595959"/>
        <rFont val="Arial"/>
        <family val="0"/>
        <charset val="1"/>
      </rPr>
      <t xml:space="preserve">. '</t>
    </r>
    <r>
      <rPr>
        <i val="true"/>
        <sz val="9"/>
        <color rgb="FF595959"/>
        <rFont val="WenQuanYi Zen Hei"/>
        <family val="2"/>
      </rPr>
      <t xml:space="preserve">신뢰도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가 낮은 행은 국토부 실거래가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네이버 중층 매물로 교체하세요</t>
    </r>
    <r>
      <rPr>
        <i val="true"/>
        <sz val="9"/>
        <color rgb="FF595959"/>
        <rFont val="Arial"/>
        <family val="0"/>
        <charset val="1"/>
      </rPr>
      <t xml:space="preserve">. 7</t>
    </r>
    <r>
      <rPr>
        <i val="true"/>
        <sz val="9"/>
        <color rgb="FF595959"/>
        <rFont val="WenQuanYi Zen Hei"/>
        <family val="2"/>
      </rPr>
      <t xml:space="preserve">번 행은 직접 입력하는 예시 행입니다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</si>
  <si>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번호</t>
  </si>
  <si>
    <t xml:space="preserve">권역</t>
  </si>
  <si>
    <t xml:space="preserve">노선</t>
  </si>
  <si>
    <r>
      <rPr>
        <b val="true"/>
        <sz val="10"/>
        <color rgb="FFFFFFFF"/>
        <rFont val="WenQuanYi Zen Hei"/>
        <family val="2"/>
      </rPr>
      <t xml:space="preserve">단지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기준</t>
    </r>
  </si>
  <si>
    <r>
      <rPr>
        <b val="true"/>
        <sz val="10"/>
        <color rgb="FFFFFFFF"/>
        <rFont val="WenQuanYi Zen Hei"/>
        <family val="2"/>
      </rPr>
      <t xml:space="preserve">전용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</si>
  <si>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매매가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</si>
  <si>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가격 근거</t>
  </si>
  <si>
    <t xml:space="preserve">신뢰도</t>
  </si>
  <si>
    <t xml:space="preserve">전세가율</t>
  </si>
  <si>
    <r>
      <rPr>
        <b val="true"/>
        <sz val="10"/>
        <color rgb="FFFFFFFF"/>
        <rFont val="WenQuanYi Zen Hei"/>
        <family val="2"/>
      </rPr>
      <t xml:space="preserve">전세가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</si>
  <si>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갭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</si>
  <si>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공시가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</si>
  <si>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대출 가능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</si>
  <si>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취득세 등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</si>
  <si>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매수 비용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</si>
  <si>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필요 자기자본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</si>
  <si>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자기자본 </t>
    </r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WenQuanYi Zen Hei"/>
        <family val="2"/>
      </rPr>
      <t xml:space="preserve">충족</t>
    </r>
  </si>
  <si>
    <r>
      <rPr>
        <b val="true"/>
        <sz val="10"/>
        <color rgb="FFFFFFFF"/>
        <rFont val="WenQuanYi Zen Hei"/>
        <family val="2"/>
      </rPr>
      <t xml:space="preserve">자기자본 </t>
    </r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충족</t>
    </r>
  </si>
  <si>
    <r>
      <rPr>
        <b val="true"/>
        <sz val="10"/>
        <color rgb="FFFFFFFF"/>
        <rFont val="WenQuanYi Zen Hei"/>
        <family val="2"/>
      </rPr>
      <t xml:space="preserve">자기자본 </t>
    </r>
    <r>
      <rPr>
        <b val="true"/>
        <sz val="10"/>
        <color rgb="FFFFFFFF"/>
        <rFont val="Arial"/>
        <family val="0"/>
        <charset val="1"/>
      </rPr>
      <t xml:space="preserve">C </t>
    </r>
    <r>
      <rPr>
        <b val="true"/>
        <sz val="10"/>
        <color rgb="FFFFFFFF"/>
        <rFont val="WenQuanYi Zen Hei"/>
        <family val="2"/>
      </rPr>
      <t xml:space="preserve">충족</t>
    </r>
  </si>
  <si>
    <r>
      <rPr>
        <b val="true"/>
        <sz val="10"/>
        <color rgb="FFFFFFFF"/>
        <rFont val="WenQuanYi Zen Hei"/>
        <family val="2"/>
      </rPr>
      <t xml:space="preserve">월 원리금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만원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</si>
  <si>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필요 연소득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</si>
  <si>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문래</t>
  </si>
  <si>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호선 문래</t>
    </r>
  </si>
  <si>
    <r>
      <rPr>
        <sz val="10"/>
        <color rgb="FF0000FF"/>
        <rFont val="WenQuanYi Zen Hei"/>
        <family val="2"/>
      </rPr>
      <t xml:space="preserve">문래동 대단지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단지 미특정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WenQuanYi Zen Hei"/>
        <family val="2"/>
      </rPr>
      <t xml:space="preserve">입력 필요</t>
    </r>
    <r>
      <rPr>
        <sz val="10"/>
        <color rgb="FF0000FF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</si>
  <si>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추정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사전 구간</t>
    </r>
    <r>
      <rPr>
        <i val="true"/>
        <sz val="9"/>
        <color rgb="FF595959"/>
        <rFont val="Arial"/>
        <family val="0"/>
        <charset val="1"/>
      </rPr>
      <t xml:space="preserve">(11~14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중간값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실거래 미확인</t>
    </r>
  </si>
  <si>
    <r>
      <rPr>
        <sz val="10"/>
        <color rgb="FF0000FF"/>
        <rFont val="WenQuanYi Zen Hei"/>
        <family val="2"/>
      </rPr>
      <t xml:space="preserve">낮음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추정</t>
    </r>
    <r>
      <rPr>
        <sz val="10"/>
        <color rgb="FF0000FF"/>
        <rFont val="Arial"/>
        <family val="0"/>
        <charset val="1"/>
      </rPr>
      <t xml:space="preserve">)</t>
    </r>
  </si>
  <si>
    <t xml:space="preserve">신길</t>
  </si>
  <si>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호선 신길 </t>
    </r>
    <r>
      <rPr>
        <sz val="10"/>
        <color rgb="FF0000FF"/>
        <rFont val="Arial"/>
        <family val="0"/>
        <charset val="1"/>
      </rPr>
      <t xml:space="preserve">/ 1</t>
    </r>
    <r>
      <rPr>
        <sz val="10"/>
        <color rgb="FF0000FF"/>
        <rFont val="WenQuanYi Zen Hei"/>
        <family val="2"/>
      </rPr>
      <t xml:space="preserve">호선</t>
    </r>
  </si>
  <si>
    <r>
      <rPr>
        <sz val="10"/>
        <color rgb="FF0000FF"/>
        <rFont val="WenQuanYi Zen Hei"/>
        <family val="2"/>
      </rPr>
      <t xml:space="preserve">신길삼성래미안 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</si>
  <si>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2026.6</t>
    </r>
    <r>
      <rPr>
        <i val="true"/>
        <sz val="9"/>
        <color rgb="FF595959"/>
        <rFont val="WenQuanYi Zen Hei"/>
        <family val="2"/>
      </rPr>
      <t xml:space="preserve">월 실거래 </t>
    </r>
    <r>
      <rPr>
        <i val="true"/>
        <sz val="9"/>
        <color rgb="FF595959"/>
        <rFont val="Arial"/>
        <family val="0"/>
        <charset val="1"/>
      </rPr>
      <t xml:space="preserve">13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네이트뉴스 보도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</si>
  <si>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중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뉴스 보도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</si>
  <si>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신길 래미안에스티움 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</si>
  <si>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2026.5.26 2</t>
    </r>
    <r>
      <rPr>
        <i val="true"/>
        <sz val="9"/>
        <color rgb="FF595959"/>
        <rFont val="WenQuanYi Zen Hei"/>
        <family val="2"/>
      </rPr>
      <t xml:space="preserve">층 </t>
    </r>
    <r>
      <rPr>
        <i val="true"/>
        <sz val="9"/>
        <color rgb="FF595959"/>
        <rFont val="Arial"/>
        <family val="0"/>
        <charset val="1"/>
      </rPr>
      <t xml:space="preserve">18.8</t>
    </r>
    <r>
      <rPr>
        <i val="true"/>
        <sz val="9"/>
        <color rgb="FF595959"/>
        <rFont val="WenQuanYi Zen Hei"/>
        <family val="2"/>
      </rPr>
      <t xml:space="preserve">억 실거래 보도</t>
    </r>
    <r>
      <rPr>
        <i val="true"/>
        <sz val="9"/>
        <color rgb="FF595959"/>
        <rFont val="Arial"/>
        <family val="0"/>
        <charset val="1"/>
      </rPr>
      <t xml:space="preserve">, 84</t>
    </r>
    <r>
      <rPr>
        <i val="true"/>
        <sz val="9"/>
        <color rgb="FF595959"/>
        <rFont val="WenQuanYi Zen Hei"/>
        <family val="2"/>
      </rPr>
      <t xml:space="preserve">㎡ 평균 </t>
    </r>
    <r>
      <rPr>
        <i val="true"/>
        <sz val="9"/>
        <color rgb="FF595959"/>
        <rFont val="Arial"/>
        <family val="0"/>
        <charset val="1"/>
      </rPr>
      <t xml:space="preserve">18.66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중층 이상은 더 높을 수 있음</t>
    </r>
    <r>
      <rPr>
        <i val="true"/>
        <sz val="9"/>
        <color rgb="FF595959"/>
        <rFont val="Arial"/>
        <family val="0"/>
        <charset val="1"/>
      </rPr>
      <t xml:space="preserve">(7</t>
    </r>
    <r>
      <rPr>
        <i val="true"/>
        <sz val="9"/>
        <color rgb="FF595959"/>
        <rFont val="WenQuanYi Zen Hei"/>
        <family val="2"/>
      </rPr>
      <t xml:space="preserve">월 </t>
    </r>
    <r>
      <rPr>
        <i val="true"/>
        <sz val="9"/>
        <color rgb="FF595959"/>
        <rFont val="Arial"/>
        <family val="0"/>
        <charset val="1"/>
      </rPr>
      <t xml:space="preserve">18</t>
    </r>
    <r>
      <rPr>
        <i val="true"/>
        <sz val="9"/>
        <color rgb="FF595959"/>
        <rFont val="WenQuanYi Zen Hei"/>
        <family val="2"/>
      </rPr>
      <t xml:space="preserve">층 </t>
    </r>
    <r>
      <rPr>
        <i val="true"/>
        <sz val="9"/>
        <color rgb="FF595959"/>
        <rFont val="Arial"/>
        <family val="0"/>
        <charset val="1"/>
      </rPr>
      <t xml:space="preserve">20.1</t>
    </r>
    <r>
      <rPr>
        <i val="true"/>
        <sz val="9"/>
        <color rgb="FF595959"/>
        <rFont val="WenQuanYi Zen Hei"/>
        <family val="2"/>
      </rPr>
      <t xml:space="preserve">억 거래 보도는 면적 미확인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</si>
  <si>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신길 보라매</t>
    </r>
    <r>
      <rPr>
        <sz val="10"/>
        <color rgb="FF0000FF"/>
        <rFont val="Arial"/>
        <family val="0"/>
        <charset val="1"/>
      </rPr>
      <t xml:space="preserve">SK</t>
    </r>
    <r>
      <rPr>
        <sz val="10"/>
        <color rgb="FF0000FF"/>
        <rFont val="WenQuanYi Zen Hei"/>
        <family val="2"/>
      </rPr>
      <t xml:space="preserve">뷰 </t>
    </r>
    <r>
      <rPr>
        <sz val="10"/>
        <color rgb="FF0000FF"/>
        <rFont val="Arial"/>
        <family val="0"/>
        <charset val="1"/>
      </rPr>
      <t xml:space="preserve">84.98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</si>
  <si>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2026.9.1 18</t>
    </r>
    <r>
      <rPr>
        <i val="true"/>
        <sz val="9"/>
        <color rgb="FF595959"/>
        <rFont val="WenQuanYi Zen Hei"/>
        <family val="2"/>
      </rPr>
      <t xml:space="preserve">층 </t>
    </r>
    <r>
      <rPr>
        <i val="true"/>
        <sz val="9"/>
        <color rgb="FF595959"/>
        <rFont val="Arial"/>
        <family val="0"/>
        <charset val="1"/>
      </rPr>
      <t xml:space="preserve">20.4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, 2026.10.6 27</t>
    </r>
    <r>
      <rPr>
        <i val="true"/>
        <sz val="9"/>
        <color rgb="FF595959"/>
        <rFont val="WenQuanYi Zen Hei"/>
        <family val="2"/>
      </rPr>
      <t xml:space="preserve">층 </t>
    </r>
    <r>
      <rPr>
        <i val="true"/>
        <sz val="9"/>
        <color rgb="FF595959"/>
        <rFont val="Arial"/>
        <family val="0"/>
        <charset val="1"/>
      </rPr>
      <t xml:space="preserve">20.9</t>
    </r>
    <r>
      <rPr>
        <i val="true"/>
        <sz val="9"/>
        <color rgb="FF595959"/>
        <rFont val="WenQuanYi Zen Hei"/>
        <family val="2"/>
      </rPr>
      <t xml:space="preserve">억 실거래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시세 사이트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</si>
  <si>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중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시세 사이트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</si>
  <si>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노량진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본동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</si>
  <si>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1·9</t>
    </r>
    <r>
      <rPr>
        <sz val="10"/>
        <color rgb="FF0000FF"/>
        <rFont val="WenQuanYi Zen Hei"/>
        <family val="2"/>
      </rPr>
      <t xml:space="preserve">호선 노량진 인근</t>
    </r>
  </si>
  <si>
    <r>
      <rPr>
        <sz val="10"/>
        <color rgb="FF0000FF"/>
        <rFont val="WenQuanYi Zen Hei"/>
        <family val="2"/>
      </rPr>
      <t xml:space="preserve">본동 래미안트윈파크 </t>
    </r>
    <r>
      <rPr>
        <sz val="10"/>
        <color rgb="FF0000FF"/>
        <rFont val="Arial"/>
        <family val="0"/>
        <charset val="1"/>
      </rPr>
      <t xml:space="preserve">(32</t>
    </r>
    <r>
      <rPr>
        <sz val="10"/>
        <color rgb="FF0000FF"/>
        <rFont val="WenQuanYi Zen Hei"/>
        <family val="2"/>
      </rPr>
      <t xml:space="preserve">평형</t>
    </r>
    <r>
      <rPr>
        <sz val="10"/>
        <color rgb="FF0000FF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</si>
  <si>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리치고 </t>
    </r>
    <r>
      <rPr>
        <i val="true"/>
        <sz val="9"/>
        <color rgb="FF595959"/>
        <rFont val="Arial"/>
        <family val="0"/>
        <charset val="1"/>
      </rPr>
      <t xml:space="preserve">2026.9.3 </t>
    </r>
    <r>
      <rPr>
        <i val="true"/>
        <sz val="9"/>
        <color rgb="FF595959"/>
        <rFont val="WenQuanYi Zen Hei"/>
        <family val="2"/>
      </rPr>
      <t xml:space="preserve">시세 </t>
    </r>
    <r>
      <rPr>
        <i val="true"/>
        <sz val="9"/>
        <color rgb="FF595959"/>
        <rFont val="Arial"/>
        <family val="0"/>
        <charset val="1"/>
      </rPr>
      <t xml:space="preserve">32</t>
    </r>
    <r>
      <rPr>
        <i val="true"/>
        <sz val="9"/>
        <color rgb="FF595959"/>
        <rFont val="WenQuanYi Zen Hei"/>
        <family val="2"/>
      </rPr>
      <t xml:space="preserve">평형 </t>
    </r>
    <r>
      <rPr>
        <i val="true"/>
        <sz val="9"/>
        <color rgb="FF595959"/>
        <rFont val="Arial"/>
        <family val="0"/>
        <charset val="1"/>
      </rPr>
      <t xml:space="preserve">24.2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(AI </t>
    </r>
    <r>
      <rPr>
        <i val="true"/>
        <sz val="9"/>
        <color rgb="FF595959"/>
        <rFont val="WenQuanYi Zen Hei"/>
        <family val="2"/>
      </rPr>
      <t xml:space="preserve">추정 성격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호갱노노 수치와 상충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노량진뉴타운 신규 분양가는 </t>
    </r>
    <r>
      <rPr>
        <i val="true"/>
        <sz val="9"/>
        <color rgb="FF595959"/>
        <rFont val="Arial"/>
        <family val="0"/>
        <charset val="1"/>
      </rPr>
      <t xml:space="preserve">84</t>
    </r>
    <r>
      <rPr>
        <i val="true"/>
        <sz val="9"/>
        <color rgb="FF595959"/>
        <rFont val="WenQuanYi Zen Hei"/>
        <family val="2"/>
      </rPr>
      <t xml:space="preserve">㎡ 약 </t>
    </r>
    <r>
      <rPr>
        <i val="true"/>
        <sz val="9"/>
        <color rgb="FF595959"/>
        <rFont val="Arial"/>
        <family val="0"/>
        <charset val="1"/>
      </rPr>
      <t xml:space="preserve">25.5</t>
    </r>
    <r>
      <rPr>
        <i val="true"/>
        <sz val="9"/>
        <color rgb="FF595959"/>
        <rFont val="WenQuanYi Zen Hei"/>
        <family val="2"/>
      </rPr>
      <t xml:space="preserve">억</t>
    </r>
  </si>
  <si>
    <r>
      <rPr>
        <sz val="10"/>
        <color rgb="FF0000FF"/>
        <rFont val="WenQuanYi Zen Hei"/>
        <family val="2"/>
      </rPr>
      <t xml:space="preserve">낮음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자료 상충</t>
    </r>
    <r>
      <rPr>
        <sz val="10"/>
        <color rgb="FF0000FF"/>
        <rFont val="Arial"/>
        <family val="0"/>
        <charset val="1"/>
      </rPr>
      <t xml:space="preserve">)</t>
    </r>
  </si>
  <si>
    <t xml:space="preserve">흑석</t>
  </si>
  <si>
    <r>
      <rPr>
        <sz val="10"/>
        <color rgb="FF0000FF"/>
        <rFont val="Arial"/>
        <family val="0"/>
        <charset val="1"/>
      </rPr>
      <t xml:space="preserve">9</t>
    </r>
    <r>
      <rPr>
        <sz val="10"/>
        <color rgb="FF0000FF"/>
        <rFont val="WenQuanYi Zen Hei"/>
        <family val="2"/>
      </rPr>
      <t xml:space="preserve">호선 흑석</t>
    </r>
  </si>
  <si>
    <r>
      <rPr>
        <sz val="10"/>
        <color rgb="FF0000FF"/>
        <rFont val="WenQuanYi Zen Hei"/>
        <family val="2"/>
      </rPr>
      <t xml:space="preserve">흑석 아크로리버하임 </t>
    </r>
    <r>
      <rPr>
        <sz val="10"/>
        <color rgb="FF0000FF"/>
        <rFont val="Arial"/>
        <family val="0"/>
        <charset val="1"/>
      </rPr>
      <t xml:space="preserve">84.75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</si>
  <si>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KB</t>
    </r>
    <r>
      <rPr>
        <i val="true"/>
        <sz val="9"/>
        <color rgb="FF595959"/>
        <rFont val="WenQuanYi Zen Hei"/>
        <family val="2"/>
      </rPr>
      <t xml:space="preserve">시세 일반가 </t>
    </r>
    <r>
      <rPr>
        <i val="true"/>
        <sz val="9"/>
        <color rgb="FF595959"/>
        <rFont val="Arial"/>
        <family val="0"/>
        <charset val="1"/>
      </rPr>
      <t xml:space="preserve">28.75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(2026.9.11). </t>
    </r>
    <r>
      <rPr>
        <i val="true"/>
        <sz val="9"/>
        <color rgb="FF595959"/>
        <rFont val="WenQuanYi Zen Hei"/>
        <family val="2"/>
      </rPr>
      <t xml:space="preserve">최근 실거래 </t>
    </r>
    <r>
      <rPr>
        <i val="true"/>
        <sz val="9"/>
        <color rgb="FF595959"/>
        <rFont val="Arial"/>
        <family val="0"/>
        <charset val="1"/>
      </rPr>
      <t xml:space="preserve">25.1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(2025.10), </t>
    </r>
    <r>
      <rPr>
        <i val="true"/>
        <sz val="9"/>
        <color rgb="FF595959"/>
        <rFont val="WenQuanYi Zen Hei"/>
        <family val="2"/>
      </rPr>
      <t xml:space="preserve">호가 </t>
    </r>
    <r>
      <rPr>
        <i val="true"/>
        <sz val="9"/>
        <color rgb="FF595959"/>
        <rFont val="Arial"/>
        <family val="0"/>
        <charset val="1"/>
      </rPr>
      <t xml:space="preserve">29.5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~</t>
    </r>
  </si>
  <si>
    <r>
      <rPr>
        <sz val="10"/>
        <color rgb="FF0000FF"/>
        <rFont val="WenQuanYi Zen Hei"/>
        <family val="2"/>
      </rPr>
      <t xml:space="preserve">중</t>
    </r>
    <r>
      <rPr>
        <sz val="10"/>
        <color rgb="FF0000FF"/>
        <rFont val="Arial"/>
        <family val="0"/>
        <charset val="1"/>
      </rPr>
      <t xml:space="preserve">(KB</t>
    </r>
    <r>
      <rPr>
        <sz val="10"/>
        <color rgb="FF0000FF"/>
        <rFont val="WenQuanYi Zen Hei"/>
        <family val="2"/>
      </rPr>
      <t xml:space="preserve">시세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</si>
  <si>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사용자 입력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</si>
  <si>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입력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</si>
  <si>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예시 행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직접 입력</t>
    </r>
  </si>
  <si>
    <r>
      <rPr>
        <i val="true"/>
        <sz val="9"/>
        <color rgb="FF595959"/>
        <rFont val="WenQuanYi Zen Hei"/>
        <family val="2"/>
      </rPr>
      <t xml:space="preserve">예시값입니다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실제 단지로 바꿔 쓰세요</t>
    </r>
  </si>
  <si>
    <t xml:space="preserve">예시</t>
  </si>
  <si>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WenQuanYi Zen Hei"/>
        <family val="2"/>
      </rPr>
      <t xml:space="preserve">단계 시뮬레이션 – 취득 → 보유 → 양도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손익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억 원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</si>
  <si>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순이익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시세차익 − 취득세 − 매수비용 − 매도중개 − 대출이자 − 보유세 누계 − 양도세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양도차익에서는 취득세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중개 등을 필요경비로 공제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주거비 절감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임대수익은 미반영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</si>
  <si>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단지번호</t>
  </si>
  <si>
    <t xml:space="preserve">시나리오</t>
  </si>
  <si>
    <r>
      <rPr>
        <b val="true"/>
        <sz val="10"/>
        <color rgb="FFFFFFFF"/>
        <rFont val="WenQuanYi Zen Hei"/>
        <family val="2"/>
      </rPr>
      <t xml:space="preserve">보유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</si>
  <si>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거주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</si>
  <si>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매수가</t>
  </si>
  <si>
    <t xml:space="preserve">매수비용</t>
  </si>
  <si>
    <r>
      <rPr>
        <b val="true"/>
        <sz val="10"/>
        <color rgb="FFFFFFFF"/>
        <rFont val="WenQuanYi Zen Hei"/>
        <family val="2"/>
      </rPr>
      <t xml:space="preserve">투자금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자기자본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비용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</si>
  <si>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매도가</t>
  </si>
  <si>
    <t xml:space="preserve">매도 중개</t>
  </si>
  <si>
    <t xml:space="preserve">대출이자 누계</t>
  </si>
  <si>
    <t xml:space="preserve">대출 잔액</t>
  </si>
  <si>
    <t xml:space="preserve">필요경비</t>
  </si>
  <si>
    <t xml:space="preserve">양도차익</t>
  </si>
  <si>
    <t xml:space="preserve">과세대상 차익</t>
  </si>
  <si>
    <t xml:space="preserve">장특공 공제율</t>
  </si>
  <si>
    <t xml:space="preserve">양도소득금액</t>
  </si>
  <si>
    <t xml:space="preserve">과세표준</t>
  </si>
  <si>
    <r>
      <rPr>
        <b val="true"/>
        <sz val="10"/>
        <color rgb="FFFFFFFF"/>
        <rFont val="WenQuanYi Zen Hei"/>
        <family val="2"/>
      </rPr>
      <t xml:space="preserve">③ 양도세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지방세 포함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</si>
  <si>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세금 합계</t>
    </r>
    <r>
      <rPr>
        <b val="true"/>
        <sz val="10"/>
        <color rgb="FFFFFFFF"/>
        <rFont val="Arial"/>
        <family val="0"/>
        <charset val="1"/>
      </rPr>
      <t xml:space="preserve">(①+②+③)</t>
    </r>
  </si>
  <si>
    <t xml:space="preserve">투자금 대비 수익률</t>
  </si>
  <si>
    <r>
      <rPr>
        <b val="true"/>
        <sz val="10"/>
        <color rgb="FFFFFFFF"/>
        <rFont val="WenQuanYi Zen Hei"/>
        <family val="2"/>
      </rPr>
      <t xml:space="preserve">연환산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단순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</si>
  <si>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매도 후 회수금</t>
  </si>
  <si>
    <r>
      <rPr>
        <b val="true"/>
        <sz val="10"/>
        <color rgb="FFFFFFFF"/>
        <rFont val="WenQuanYi Zen Hei"/>
        <family val="2"/>
      </rPr>
      <t xml:space="preserve">예금 대안수익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세후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</si>
  <si>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초과수익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순이익−대안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</si>
  <si>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보유 단계 – 연도별 보유세 스케줄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단지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상승률 시나리오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보유연차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억 원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</si>
  <si>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연도별 주택가격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매수가 </t>
    </r>
    <r>
      <rPr>
        <i val="true"/>
        <sz val="9"/>
        <color rgb="FF595959"/>
        <rFont val="Arial"/>
        <family val="0"/>
        <charset val="1"/>
      </rPr>
      <t xml:space="preserve">× (1+</t>
    </r>
    <r>
      <rPr>
        <i val="true"/>
        <sz val="9"/>
        <color rgb="FF595959"/>
        <rFont val="WenQuanYi Zen Hei"/>
        <family val="2"/>
      </rPr>
      <t xml:space="preserve">상승률</t>
    </r>
    <r>
      <rPr>
        <i val="true"/>
        <sz val="9"/>
        <color rgb="FF595959"/>
        <rFont val="Arial"/>
        <family val="0"/>
        <charset val="1"/>
      </rPr>
      <t xml:space="preserve">)^(</t>
    </r>
    <r>
      <rPr>
        <i val="true"/>
        <sz val="9"/>
        <color rgb="FF595959"/>
        <rFont val="WenQuanYi Zen Hei"/>
        <family val="2"/>
      </rPr>
      <t xml:space="preserve">연차−</t>
    </r>
    <r>
      <rPr>
        <i val="true"/>
        <sz val="9"/>
        <color rgb="FF595959"/>
        <rFont val="Arial"/>
        <family val="0"/>
        <charset val="1"/>
      </rPr>
      <t xml:space="preserve">1). </t>
    </r>
    <r>
      <rPr>
        <i val="true"/>
        <sz val="9"/>
        <color rgb="FF595959"/>
        <rFont val="WenQuanYi Zen Hei"/>
        <family val="2"/>
      </rPr>
      <t xml:space="preserve">종부세는 재산세 중복분 공제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세액공제 미반영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보수적</t>
    </r>
    <r>
      <rPr>
        <i val="true"/>
        <sz val="9"/>
        <color rgb="FF595959"/>
        <rFont val="Arial"/>
        <family val="0"/>
        <charset val="1"/>
      </rPr>
      <t xml:space="preserve">).</t>
    </r>
  </si>
  <si>
    <t xml:space="preserve">연차</t>
  </si>
  <si>
    <t xml:space="preserve">해당 연도 시세</t>
  </si>
  <si>
    <t xml:space="preserve">공시가</t>
  </si>
  <si>
    <t xml:space="preserve">재산세 과표</t>
  </si>
  <si>
    <t xml:space="preserve">재산세</t>
  </si>
  <si>
    <t xml:space="preserve">도시지역분</t>
  </si>
  <si>
    <t xml:space="preserve">지방교육세</t>
  </si>
  <si>
    <t xml:space="preserve">종부세 과표</t>
  </si>
  <si>
    <t xml:space="preserve">종부세</t>
  </si>
  <si>
    <t xml:space="preserve">농특세</t>
  </si>
  <si>
    <t xml:space="preserve">보유세 합계</t>
  </si>
  <si>
    <r>
      <rPr>
        <b val="true"/>
        <sz val="14"/>
        <rFont val="WenQuanYi Zen Hei"/>
        <family val="2"/>
      </rPr>
      <t xml:space="preserve">자기자본별 최대 매수 가능 가격 </t>
    </r>
    <r>
      <rPr>
        <b val="true"/>
        <sz val="14"/>
        <rFont val="Arial"/>
        <family val="0"/>
        <charset val="1"/>
      </rPr>
      <t xml:space="preserve">(LTV 40%·</t>
    </r>
    <r>
      <rPr>
        <b val="true"/>
        <sz val="14"/>
        <rFont val="WenQuanYi Zen Hei"/>
        <family val="2"/>
      </rPr>
      <t xml:space="preserve">대출한도 반영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전용 </t>
    </r>
    <r>
      <rPr>
        <b val="true"/>
        <sz val="14"/>
        <rFont val="Arial"/>
        <family val="0"/>
        <charset val="1"/>
      </rPr>
      <t xml:space="preserve">85</t>
    </r>
    <r>
      <rPr>
        <b val="true"/>
        <sz val="14"/>
        <rFont val="WenQuanYi Zen Hei"/>
        <family val="2"/>
      </rPr>
      <t xml:space="preserve">㎡ 이하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</si>
  <si>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필요 자기자본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매매가 − 대출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취득세 등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매수비용</t>
    </r>
    <r>
      <rPr>
        <i val="true"/>
        <sz val="9"/>
        <color rgb="FF595959"/>
        <rFont val="Arial"/>
        <family val="0"/>
        <charset val="1"/>
      </rPr>
      <t xml:space="preserve">. 15</t>
    </r>
    <r>
      <rPr>
        <i val="true"/>
        <sz val="9"/>
        <color rgb="FF595959"/>
        <rFont val="WenQuanYi Zen Hei"/>
        <family val="2"/>
      </rPr>
      <t xml:space="preserve">억 초과 시 대출이 </t>
    </r>
    <r>
      <rPr>
        <i val="true"/>
        <sz val="9"/>
        <color rgb="FF595959"/>
        <rFont val="Arial"/>
        <family val="0"/>
        <charset val="1"/>
      </rPr>
      <t xml:space="preserve">6</t>
    </r>
    <r>
      <rPr>
        <i val="true"/>
        <sz val="9"/>
        <color rgb="FF595959"/>
        <rFont val="WenQuanYi Zen Hei"/>
        <family val="2"/>
      </rPr>
      <t xml:space="preserve">억→</t>
    </r>
    <r>
      <rPr>
        <i val="true"/>
        <sz val="9"/>
        <color rgb="FF595959"/>
        <rFont val="Arial"/>
        <family val="0"/>
        <charset val="1"/>
      </rPr>
      <t xml:space="preserve">4</t>
    </r>
    <r>
      <rPr>
        <i val="true"/>
        <sz val="9"/>
        <color rgb="FF595959"/>
        <rFont val="WenQuanYi Zen Hei"/>
        <family val="2"/>
      </rPr>
      <t xml:space="preserve">억으로 줄어 필요 자기자본이 불연속적으로 뛰는 점에 유의하세요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</si>
  <si>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자기자본</t>
  </si>
  <si>
    <r>
      <rPr>
        <b val="true"/>
        <sz val="10"/>
        <color rgb="FFFFFFFF"/>
        <rFont val="WenQuanYi Zen Hei"/>
        <family val="2"/>
      </rPr>
      <t xml:space="preserve">최대 매수가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</si>
  <si>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그때 대출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</si>
  <si>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그때 필요 자기자본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</si>
  <si>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15</t>
    </r>
    <r>
      <rPr>
        <b val="true"/>
        <sz val="10"/>
        <color rgb="FFFFFFFF"/>
        <rFont val="WenQuanYi Zen Hei"/>
        <family val="2"/>
      </rPr>
      <t xml:space="preserve">억 이하 최대 매수가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</si>
  <si>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대출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</si>
  <si>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매수비용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</si>
  <si>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입력 가정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파란 글씨 </t>
    </r>
    <r>
      <rPr>
        <b val="true"/>
        <sz val="14"/>
        <rFont val="Arial"/>
        <family val="0"/>
        <charset val="1"/>
      </rPr>
      <t xml:space="preserve">= </t>
    </r>
    <r>
      <rPr>
        <b val="true"/>
        <sz val="14"/>
        <rFont val="WenQuanYi Zen Hei"/>
        <family val="2"/>
      </rPr>
      <t xml:space="preserve">입력값</t>
    </r>
    <r>
      <rPr>
        <b val="true"/>
        <sz val="14"/>
        <rFont val="Arial"/>
        <family val="0"/>
        <charset val="1"/>
      </rPr>
      <t xml:space="preserve">)</t>
    </r>
  </si>
  <si>
    <t xml:space="preserve">항목</t>
  </si>
  <si>
    <t xml:space="preserve">값</t>
  </si>
  <si>
    <r>
      <rPr>
        <b val="true"/>
        <sz val="10"/>
        <color rgb="FFFFFFFF"/>
        <rFont val="WenQuanYi Zen Hei"/>
        <family val="2"/>
      </rPr>
      <t xml:space="preserve">설명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근거</t>
    </r>
  </si>
  <si>
    <r>
      <rPr>
        <sz val="10"/>
        <rFont val="WenQuanYi Zen Hei"/>
        <family val="2"/>
      </rPr>
      <t xml:space="preserve">자기자본 </t>
    </r>
    <r>
      <rPr>
        <sz val="10"/>
        <rFont val="Arial"/>
        <family val="0"/>
        <charset val="1"/>
      </rPr>
      <t xml:space="preserve">A 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</si>
  <si>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사용자 제시 범위 </t>
    </r>
    <r>
      <rPr>
        <i val="true"/>
        <sz val="9"/>
        <color rgb="FF595959"/>
        <rFont val="Arial"/>
        <family val="0"/>
        <charset val="1"/>
      </rPr>
      <t xml:space="preserve">12~16</t>
    </r>
    <r>
      <rPr>
        <i val="true"/>
        <sz val="9"/>
        <color rgb="FF595959"/>
        <rFont val="WenQuanYi Zen Hei"/>
        <family val="2"/>
      </rPr>
      <t xml:space="preserve">억의 하단</t>
    </r>
  </si>
  <si>
    <r>
      <rPr>
        <sz val="10"/>
        <rFont val="WenQuanYi Zen Hei"/>
        <family val="2"/>
      </rPr>
      <t xml:space="preserve">자기자본 </t>
    </r>
    <r>
      <rPr>
        <sz val="10"/>
        <rFont val="Arial"/>
        <family val="0"/>
        <charset val="1"/>
      </rPr>
      <t xml:space="preserve">B 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</si>
  <si>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t xml:space="preserve">중간값 가정</t>
  </si>
  <si>
    <r>
      <rPr>
        <sz val="10"/>
        <rFont val="WenQuanYi Zen Hei"/>
        <family val="2"/>
      </rPr>
      <t xml:space="preserve">자기자본 </t>
    </r>
    <r>
      <rPr>
        <sz val="10"/>
        <rFont val="Arial"/>
        <family val="0"/>
        <charset val="1"/>
      </rPr>
      <t xml:space="preserve">C 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</si>
  <si>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t xml:space="preserve">사용자 제시 범위의 상단</t>
  </si>
  <si>
    <r>
      <rPr>
        <sz val="10"/>
        <rFont val="WenQuanYi Zen Hei"/>
        <family val="2"/>
      </rPr>
      <t xml:space="preserve">주담대 금리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</si>
  <si>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가정치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실제 금리는 은행 확인</t>
    </r>
  </si>
  <si>
    <r>
      <rPr>
        <sz val="10"/>
        <rFont val="WenQuanYi Zen Hei"/>
        <family val="2"/>
      </rPr>
      <t xml:space="preserve">대출 만기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</si>
  <si>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t xml:space="preserve">원리금균등 가정</t>
  </si>
  <si>
    <r>
      <rPr>
        <sz val="10"/>
        <rFont val="Arial"/>
        <family val="0"/>
        <charset val="1"/>
      </rPr>
      <t xml:space="preserve">LTV(</t>
    </r>
    <r>
      <rPr>
        <sz val="10"/>
        <rFont val="WenQuanYi Zen Hei"/>
        <family val="2"/>
      </rPr>
      <t xml:space="preserve">무주택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서울 규제지역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</si>
  <si>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10·15 </t>
    </r>
    <r>
      <rPr>
        <i val="true"/>
        <sz val="9"/>
        <color rgb="FF595959"/>
        <rFont val="WenQuanYi Zen Hei"/>
        <family val="2"/>
      </rPr>
      <t xml:space="preserve">대책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서울 전역 규제지역 무주택자 </t>
    </r>
    <r>
      <rPr>
        <i val="true"/>
        <sz val="9"/>
        <color rgb="FF595959"/>
        <rFont val="Arial"/>
        <family val="0"/>
        <charset val="1"/>
      </rPr>
      <t xml:space="preserve">LTV 40% (</t>
    </r>
    <r>
      <rPr>
        <i val="true"/>
        <sz val="9"/>
        <color rgb="FF595959"/>
        <rFont val="WenQuanYi Zen Hei"/>
        <family val="2"/>
      </rPr>
      <t xml:space="preserve">기사 확인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</si>
  <si>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DSR </t>
    </r>
    <r>
      <rPr>
        <sz val="10"/>
        <rFont val="WenQuanYi Zen Hei"/>
        <family val="2"/>
      </rPr>
      <t xml:space="preserve">스트레스 금리 가산</t>
    </r>
  </si>
  <si>
    <r>
      <rPr>
        <i val="true"/>
        <sz val="9"/>
        <color rgb="FF595959"/>
        <rFont val="WenQuanYi Zen Hei"/>
        <family val="2"/>
      </rPr>
      <t xml:space="preserve">스트레스 </t>
    </r>
    <r>
      <rPr>
        <i val="true"/>
        <sz val="9"/>
        <color rgb="FF595959"/>
        <rFont val="Arial"/>
        <family val="0"/>
        <charset val="1"/>
      </rPr>
      <t xml:space="preserve">DSR 3% (</t>
    </r>
    <r>
      <rPr>
        <i val="true"/>
        <sz val="9"/>
        <color rgb="FF595959"/>
        <rFont val="WenQuanYi Zen Hei"/>
        <family val="2"/>
      </rPr>
      <t xml:space="preserve">기사 확인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</si>
  <si>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DSR </t>
    </r>
    <r>
      <rPr>
        <sz val="10"/>
        <rFont val="WenQuanYi Zen Hei"/>
        <family val="2"/>
      </rPr>
      <t xml:space="preserve">한도</t>
    </r>
  </si>
  <si>
    <r>
      <rPr>
        <i val="true"/>
        <sz val="9"/>
        <color rgb="FF595959"/>
        <rFont val="WenQuanYi Zen Hei"/>
        <family val="2"/>
      </rPr>
      <t xml:space="preserve">은행권 </t>
    </r>
    <r>
      <rPr>
        <i val="true"/>
        <sz val="9"/>
        <color rgb="FF595959"/>
        <rFont val="Arial"/>
        <family val="0"/>
        <charset val="1"/>
      </rPr>
      <t xml:space="preserve">DSR 40% </t>
    </r>
    <r>
      <rPr>
        <i val="true"/>
        <sz val="9"/>
        <color rgb="FF595959"/>
        <rFont val="WenQuanYi Zen Hei"/>
        <family val="2"/>
      </rPr>
      <t xml:space="preserve">가정</t>
    </r>
  </si>
  <si>
    <t xml:space="preserve">연 가격상승률 – 보수</t>
  </si>
  <si>
    <r>
      <rPr>
        <i val="true"/>
        <sz val="9"/>
        <color rgb="FF595959"/>
        <rFont val="WenQuanYi Zen Hei"/>
        <family val="2"/>
      </rPr>
      <t xml:space="preserve">시나리오 </t>
    </r>
    <r>
      <rPr>
        <i val="true"/>
        <sz val="9"/>
        <color rgb="FF595959"/>
        <rFont val="Arial"/>
        <family val="0"/>
        <charset val="1"/>
      </rPr>
      <t xml:space="preserve">1</t>
    </r>
  </si>
  <si>
    <t xml:space="preserve">연 가격상승률 – 기준</t>
  </si>
  <si>
    <r>
      <rPr>
        <i val="true"/>
        <sz val="9"/>
        <color rgb="FF595959"/>
        <rFont val="WenQuanYi Zen Hei"/>
        <family val="2"/>
      </rPr>
      <t xml:space="preserve">시나리오 </t>
    </r>
    <r>
      <rPr>
        <i val="true"/>
        <sz val="9"/>
        <color rgb="FF595959"/>
        <rFont val="Arial"/>
        <family val="0"/>
        <charset val="1"/>
      </rPr>
      <t xml:space="preserve">2</t>
    </r>
  </si>
  <si>
    <t xml:space="preserve">연 가격상승률 – 낙관</t>
  </si>
  <si>
    <r>
      <rPr>
        <i val="true"/>
        <sz val="9"/>
        <color rgb="FF595959"/>
        <rFont val="WenQuanYi Zen Hei"/>
        <family val="2"/>
      </rPr>
      <t xml:space="preserve">시나리오 </t>
    </r>
    <r>
      <rPr>
        <i val="true"/>
        <sz val="9"/>
        <color rgb="FF595959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</si>
  <si>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전세가율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참고용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</si>
  <si>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서울 전세가율 </t>
    </r>
    <r>
      <rPr>
        <i val="true"/>
        <sz val="9"/>
        <color rgb="FF595959"/>
        <rFont val="Arial"/>
        <family val="0"/>
        <charset val="1"/>
      </rPr>
      <t xml:space="preserve">2026.1</t>
    </r>
    <r>
      <rPr>
        <i val="true"/>
        <sz val="9"/>
        <color rgb="FF595959"/>
        <rFont val="WenQuanYi Zen Hei"/>
        <family val="2"/>
      </rPr>
      <t xml:space="preserve">월 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년</t>
    </r>
    <r>
      <rPr>
        <i val="true"/>
        <sz val="9"/>
        <color rgb="FF595959"/>
        <rFont val="Arial"/>
        <family val="0"/>
        <charset val="1"/>
      </rPr>
      <t xml:space="preserve">8</t>
    </r>
    <r>
      <rPr>
        <i val="true"/>
        <sz val="9"/>
        <color rgb="FF595959"/>
        <rFont val="WenQuanYi Zen Hei"/>
        <family val="2"/>
      </rPr>
      <t xml:space="preserve">개월 최저 보도</t>
    </r>
    <r>
      <rPr>
        <i val="true"/>
        <sz val="9"/>
        <color rgb="FF595959"/>
        <rFont val="Arial"/>
        <family val="0"/>
        <charset val="1"/>
      </rPr>
      <t xml:space="preserve">, 9</t>
    </r>
    <r>
      <rPr>
        <i val="true"/>
        <sz val="9"/>
        <color rgb="FF595959"/>
        <rFont val="WenQuanYi Zen Hei"/>
        <family val="2"/>
      </rPr>
      <t xml:space="preserve">월 수치 미확인 → 가정</t>
    </r>
  </si>
  <si>
    <t xml:space="preserve">공시가격 현실화율</t>
  </si>
  <si>
    <r>
      <rPr>
        <i val="true"/>
        <sz val="9"/>
        <color rgb="FF595959"/>
        <rFont val="Arial"/>
        <family val="0"/>
        <charset val="1"/>
      </rPr>
      <t xml:space="preserve">2026 </t>
    </r>
    <r>
      <rPr>
        <i val="true"/>
        <sz val="9"/>
        <color rgb="FF595959"/>
        <rFont val="WenQuanYi Zen Hei"/>
        <family val="2"/>
      </rPr>
      <t xml:space="preserve">공동주택 </t>
    </r>
    <r>
      <rPr>
        <i val="true"/>
        <sz val="9"/>
        <color rgb="FF595959"/>
        <rFont val="Arial"/>
        <family val="0"/>
        <charset val="1"/>
      </rPr>
      <t xml:space="preserve">69% </t>
    </r>
    <r>
      <rPr>
        <i val="true"/>
        <sz val="9"/>
        <color rgb="FF595959"/>
        <rFont val="WenQuanYi Zen Hei"/>
        <family val="2"/>
      </rPr>
      <t xml:space="preserve">유지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검색 확인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</si>
  <si>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재산세 공정시장가액비율</t>
  </si>
  <si>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세대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주택 특례 아닌 일반 </t>
    </r>
    <r>
      <rPr>
        <i val="true"/>
        <sz val="9"/>
        <color rgb="FF595959"/>
        <rFont val="Arial"/>
        <family val="0"/>
        <charset val="1"/>
      </rPr>
      <t xml:space="preserve">60% </t>
    </r>
    <r>
      <rPr>
        <i val="true"/>
        <sz val="9"/>
        <color rgb="FF595959"/>
        <rFont val="WenQuanYi Zen Hei"/>
        <family val="2"/>
      </rPr>
      <t xml:space="preserve">가정</t>
    </r>
  </si>
  <si>
    <t xml:space="preserve">종부세 공정시장가액비율</t>
  </si>
  <si>
    <r>
      <rPr>
        <i val="true"/>
        <sz val="9"/>
        <color rgb="FF595959"/>
        <rFont val="WenQuanYi Zen Hei"/>
        <family val="2"/>
      </rPr>
      <t xml:space="preserve">가정치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개편안 미반영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</si>
  <si>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종부세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주택 공제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공시가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</si>
  <si>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세대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주택 </t>
    </r>
    <r>
      <rPr>
        <i val="true"/>
        <sz val="9"/>
        <color rgb="FF595959"/>
        <rFont val="Arial"/>
        <family val="0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억</t>
    </r>
  </si>
  <si>
    <r>
      <rPr>
        <sz val="10"/>
        <rFont val="WenQuanYi Zen Hei"/>
        <family val="2"/>
      </rPr>
      <t xml:space="preserve">재산세 특례세율 적용 상한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공시가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</si>
  <si>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주택 공시가 </t>
    </r>
    <r>
      <rPr>
        <i val="true"/>
        <sz val="9"/>
        <color rgb="FF595959"/>
        <rFont val="Arial"/>
        <family val="0"/>
        <charset val="1"/>
      </rPr>
      <t xml:space="preserve">9</t>
    </r>
    <r>
      <rPr>
        <i val="true"/>
        <sz val="9"/>
        <color rgb="FF595959"/>
        <rFont val="WenQuanYi Zen Hei"/>
        <family val="2"/>
      </rPr>
      <t xml:space="preserve">억 이하 특례세율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지방세법 기준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검색으로 미확인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</si>
  <si>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재산세 도시지역분 세율</t>
  </si>
  <si>
    <r>
      <rPr>
        <i val="true"/>
        <sz val="9"/>
        <color rgb="FF595959"/>
        <rFont val="WenQuanYi Zen Hei"/>
        <family val="2"/>
      </rPr>
      <t xml:space="preserve">과세표준</t>
    </r>
    <r>
      <rPr>
        <i val="true"/>
        <sz val="9"/>
        <color rgb="FF595959"/>
        <rFont val="Arial"/>
        <family val="0"/>
        <charset val="1"/>
      </rPr>
      <t xml:space="preserve">×0.14%</t>
    </r>
  </si>
  <si>
    <t xml:space="preserve">재산세 지방교육세 비율</t>
  </si>
  <si>
    <r>
      <rPr>
        <i val="true"/>
        <sz val="9"/>
        <color rgb="FF595959"/>
        <rFont val="WenQuanYi Zen Hei"/>
        <family val="2"/>
      </rPr>
      <t xml:space="preserve">재산세액의 </t>
    </r>
    <r>
      <rPr>
        <i val="true"/>
        <sz val="9"/>
        <color rgb="FF595959"/>
        <rFont val="Arial"/>
        <family val="0"/>
        <charset val="1"/>
      </rPr>
      <t xml:space="preserve">20%</t>
    </r>
  </si>
  <si>
    <t xml:space="preserve">종부세 농어촌특별세 비율</t>
  </si>
  <si>
    <r>
      <rPr>
        <i val="true"/>
        <sz val="9"/>
        <color rgb="FF595959"/>
        <rFont val="WenQuanYi Zen Hei"/>
        <family val="2"/>
      </rPr>
      <t xml:space="preserve">종부세액의 </t>
    </r>
    <r>
      <rPr>
        <i val="true"/>
        <sz val="9"/>
        <color rgb="FF595959"/>
        <rFont val="Arial"/>
        <family val="0"/>
        <charset val="1"/>
      </rPr>
      <t xml:space="preserve">20%</t>
    </r>
  </si>
  <si>
    <r>
      <rPr>
        <sz val="10"/>
        <rFont val="WenQuanYi Zen Hei"/>
        <family val="2"/>
      </rPr>
      <t xml:space="preserve">취득세 지방교육세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취득세의 비율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</si>
  <si>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주택 취득세율 구간 기준 근사</t>
    </r>
  </si>
  <si>
    <r>
      <rPr>
        <sz val="10"/>
        <rFont val="WenQuanYi Zen Hei"/>
        <family val="2"/>
      </rPr>
      <t xml:space="preserve">농특세율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전용 </t>
    </r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㎡ 초과 시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</si>
  <si>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전용 </t>
    </r>
    <r>
      <rPr>
        <i val="true"/>
        <sz val="9"/>
        <color rgb="FF595959"/>
        <rFont val="Arial"/>
        <family val="0"/>
        <charset val="1"/>
      </rPr>
      <t xml:space="preserve">85</t>
    </r>
    <r>
      <rPr>
        <i val="true"/>
        <sz val="9"/>
        <color rgb="FF595959"/>
        <rFont val="WenQuanYi Zen Hei"/>
        <family val="2"/>
      </rPr>
      <t xml:space="preserve">㎡ 이하는 면제</t>
    </r>
  </si>
  <si>
    <t xml:space="preserve">중개보수 부가세</t>
  </si>
  <si>
    <t xml:space="preserve">일반과세 중개사 가정</t>
  </si>
  <si>
    <r>
      <rPr>
        <sz val="10"/>
        <rFont val="WenQuanYi Zen Hei"/>
        <family val="2"/>
      </rPr>
      <t xml:space="preserve">법무사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등기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채권 등 기타 매수비용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</si>
  <si>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t xml:space="preserve">가정치</t>
  </si>
  <si>
    <r>
      <rPr>
        <sz val="10"/>
        <rFont val="WenQuanYi Zen Hei"/>
        <family val="2"/>
      </rPr>
      <t xml:space="preserve">양도소득 기본공제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</si>
  <si>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연 </t>
    </r>
    <r>
      <rPr>
        <i val="true"/>
        <sz val="9"/>
        <color rgb="FF595959"/>
        <rFont val="Arial"/>
        <family val="0"/>
        <charset val="1"/>
      </rPr>
      <t xml:space="preserve">250</t>
    </r>
    <r>
      <rPr>
        <i val="true"/>
        <sz val="9"/>
        <color rgb="FF595959"/>
        <rFont val="WenQuanYi Zen Hei"/>
        <family val="2"/>
      </rPr>
      <t xml:space="preserve">만 원</t>
    </r>
  </si>
  <si>
    <t xml:space="preserve">양도세 지방소득세율</t>
  </si>
  <si>
    <r>
      <rPr>
        <i val="true"/>
        <sz val="9"/>
        <color rgb="FF595959"/>
        <rFont val="WenQuanYi Zen Hei"/>
        <family val="2"/>
      </rPr>
      <t xml:space="preserve">양도세의 </t>
    </r>
    <r>
      <rPr>
        <i val="true"/>
        <sz val="9"/>
        <color rgb="FF595959"/>
        <rFont val="Arial"/>
        <family val="0"/>
        <charset val="1"/>
      </rPr>
      <t xml:space="preserve">10%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</si>
  <si>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세대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주택 비과세 상한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</si>
  <si>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억 초과분 과세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안분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</si>
  <si>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장기보유공제율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</si>
  <si>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주택 비과세 대상 보유 연 </t>
    </r>
    <r>
      <rPr>
        <i val="true"/>
        <sz val="9"/>
        <color rgb="FF595959"/>
        <rFont val="Arial"/>
        <family val="0"/>
        <charset val="1"/>
      </rPr>
      <t xml:space="preserve">4%(</t>
    </r>
    <r>
      <rPr>
        <i val="true"/>
        <sz val="9"/>
        <color rgb="FF595959"/>
        <rFont val="WenQuanYi Zen Hei"/>
        <family val="2"/>
      </rPr>
      <t xml:space="preserve">최대 </t>
    </r>
    <r>
      <rPr>
        <i val="true"/>
        <sz val="9"/>
        <color rgb="FF595959"/>
        <rFont val="Arial"/>
        <family val="0"/>
        <charset val="1"/>
      </rPr>
      <t xml:space="preserve">40%)</t>
    </r>
  </si>
  <si>
    <r>
      <rPr>
        <sz val="10"/>
        <rFont val="WenQuanYi Zen Hei"/>
        <family val="2"/>
      </rPr>
      <t xml:space="preserve">장기거주공제율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</si>
  <si>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거주 연 </t>
    </r>
    <r>
      <rPr>
        <i val="true"/>
        <sz val="9"/>
        <color rgb="FF595959"/>
        <rFont val="Arial"/>
        <family val="0"/>
        <charset val="1"/>
      </rPr>
      <t xml:space="preserve">4%(</t>
    </r>
    <r>
      <rPr>
        <i val="true"/>
        <sz val="9"/>
        <color rgb="FF595959"/>
        <rFont val="WenQuanYi Zen Hei"/>
        <family val="2"/>
      </rPr>
      <t xml:space="preserve">최대 </t>
    </r>
    <r>
      <rPr>
        <i val="true"/>
        <sz val="9"/>
        <color rgb="FF595959"/>
        <rFont val="Arial"/>
        <family val="0"/>
        <charset val="1"/>
      </rPr>
      <t xml:space="preserve">40%), </t>
    </r>
    <r>
      <rPr>
        <i val="true"/>
        <sz val="9"/>
        <color rgb="FF595959"/>
        <rFont val="WenQuanYi Zen Hei"/>
        <family val="2"/>
      </rPr>
      <t xml:space="preserve">합산 최대 </t>
    </r>
    <r>
      <rPr>
        <i val="true"/>
        <sz val="9"/>
        <color rgb="FF595959"/>
        <rFont val="Arial"/>
        <family val="0"/>
        <charset val="1"/>
      </rPr>
      <t xml:space="preserve">80%</t>
    </r>
  </si>
  <si>
    <t xml:space="preserve">장특공 합산 한도</t>
  </si>
  <si>
    <r>
      <rPr>
        <sz val="10"/>
        <rFont val="WenQuanYi Zen Hei"/>
        <family val="2"/>
      </rPr>
      <t xml:space="preserve">비거주 기간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</si>
  <si>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보유 중 실거주하지 않은 기간</t>
    </r>
    <r>
      <rPr>
        <i val="true"/>
        <sz val="9"/>
        <color rgb="FF595959"/>
        <rFont val="Arial"/>
        <family val="0"/>
        <charset val="1"/>
      </rPr>
      <t xml:space="preserve">. 0</t>
    </r>
    <r>
      <rPr>
        <i val="true"/>
        <sz val="9"/>
        <color rgb="FF595959"/>
        <rFont val="WenQuanYi Zen Hei"/>
        <family val="2"/>
      </rPr>
      <t xml:space="preserve">이면 보유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거주</t>
    </r>
  </si>
  <si>
    <r>
      <rPr>
        <sz val="10"/>
        <rFont val="WenQuanYi Zen Hei"/>
        <family val="2"/>
      </rPr>
      <t xml:space="preserve">기회비용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예금금리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세전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연</t>
    </r>
    <r>
      <rPr>
        <sz val="10"/>
        <rFont val="Arial"/>
        <family val="0"/>
        <charset val="1"/>
      </rPr>
      <t xml:space="preserve">)</t>
    </r>
  </si>
  <si>
    <t xml:space="preserve">자기자금을 예금에 둘 때의 대안수익</t>
  </si>
  <si>
    <r>
      <rPr>
        <sz val="10"/>
        <rFont val="WenQuanYi Zen Hei"/>
        <family val="2"/>
      </rPr>
      <t xml:space="preserve">기회비용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이자소득세율</t>
    </r>
  </si>
  <si>
    <t xml:space="preserve">15.4%</t>
  </si>
  <si>
    <r>
      <rPr>
        <sz val="10"/>
        <rFont val="WenQuanYi Zen Hei"/>
        <family val="2"/>
      </rPr>
      <t xml:space="preserve">월 이자율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수식</t>
    </r>
    <r>
      <rPr>
        <sz val="10"/>
        <rFont val="Arial"/>
        <family val="0"/>
        <charset val="1"/>
      </rPr>
      <t xml:space="preserve">)</t>
    </r>
  </si>
  <si>
    <t xml:space="preserve">Rate÷12</t>
  </si>
  <si>
    <r>
      <rPr>
        <b val="true"/>
        <sz val="14"/>
        <rFont val="WenQuanYi Zen Hei"/>
        <family val="2"/>
      </rPr>
      <t xml:space="preserve">세율표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구간 하한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세율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증분세율 방식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</si>
  <si>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증분세율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해당 구간 세율 − 직전 구간 세율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세액 </t>
    </r>
    <r>
      <rPr>
        <i val="true"/>
        <sz val="9"/>
        <color rgb="FF595959"/>
        <rFont val="Arial"/>
        <family val="0"/>
        <charset val="1"/>
      </rPr>
      <t xml:space="preserve">= Σ[(</t>
    </r>
    <r>
      <rPr>
        <i val="true"/>
        <sz val="9"/>
        <color rgb="FF595959"/>
        <rFont val="WenQuanYi Zen Hei"/>
        <family val="2"/>
      </rPr>
      <t xml:space="preserve">과세표준 − 구간하한</t>
    </r>
    <r>
      <rPr>
        <i val="true"/>
        <sz val="9"/>
        <color rgb="FF595959"/>
        <rFont val="Arial"/>
        <family val="0"/>
        <charset val="1"/>
      </rPr>
      <t xml:space="preserve">) × </t>
    </r>
    <r>
      <rPr>
        <i val="true"/>
        <sz val="9"/>
        <color rgb="FF595959"/>
        <rFont val="WenQuanYi Zen Hei"/>
        <family val="2"/>
      </rPr>
      <t xml:space="preserve">증분세율</t>
    </r>
    <r>
      <rPr>
        <i val="true"/>
        <sz val="9"/>
        <color rgb="FF595959"/>
        <rFont val="Arial"/>
        <family val="0"/>
        <charset val="1"/>
      </rPr>
      <t xml:space="preserve">] (</t>
    </r>
    <r>
      <rPr>
        <i val="true"/>
        <sz val="9"/>
        <color rgb="FF595959"/>
        <rFont val="WenQuanYi Zen Hei"/>
        <family val="2"/>
      </rPr>
      <t xml:space="preserve">과세표준 </t>
    </r>
    <r>
      <rPr>
        <i val="true"/>
        <sz val="9"/>
        <color rgb="FF595959"/>
        <rFont val="Arial"/>
        <family val="0"/>
        <charset val="1"/>
      </rPr>
      <t xml:space="preserve">&gt; </t>
    </r>
    <r>
      <rPr>
        <i val="true"/>
        <sz val="9"/>
        <color rgb="FF595959"/>
        <rFont val="WenQuanYi Zen Hei"/>
        <family val="2"/>
      </rPr>
      <t xml:space="preserve">하한인 구간만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금액은 억 원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</si>
  <si>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양도소득세 기본세율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과세표준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</si>
  <si>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년 현행 기본세율 </t>
    </r>
    <r>
      <rPr>
        <i val="true"/>
        <sz val="9"/>
        <color rgb="FF595959"/>
        <rFont val="Arial"/>
        <family val="0"/>
        <charset val="1"/>
      </rPr>
      <t xml:space="preserve">8</t>
    </r>
    <r>
      <rPr>
        <i val="true"/>
        <sz val="9"/>
        <color rgb="FF595959"/>
        <rFont val="WenQuanYi Zen Hei"/>
        <family val="2"/>
      </rPr>
      <t xml:space="preserve">단계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중과 미적용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무주택 진입 후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주택 가정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</si>
  <si>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하한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</si>
  <si>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세율</t>
  </si>
  <si>
    <t xml:space="preserve">증분세율</t>
  </si>
  <si>
    <r>
      <rPr>
        <b val="true"/>
        <sz val="10"/>
        <rFont val="WenQuanYi Zen Hei"/>
        <family val="2"/>
      </rPr>
      <t xml:space="preserve">재산세 일반세율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과세표준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</si>
  <si>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재산세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세대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주택 특례세율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공시가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억 이하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</si>
  <si>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종합부동산세율</t>
    </r>
    <r>
      <rPr>
        <b val="true"/>
        <sz val="10"/>
        <rFont val="Arial"/>
        <family val="0"/>
        <charset val="1"/>
      </rPr>
      <t xml:space="preserve">(2</t>
    </r>
    <r>
      <rPr>
        <b val="true"/>
        <sz val="10"/>
        <rFont val="WenQuanYi Zen Hei"/>
        <family val="2"/>
      </rPr>
      <t xml:space="preserve">주택 이하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과세표준 억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</si>
  <si>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중개보수 상한요율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매매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서울</t>
    </r>
    <r>
      <rPr>
        <b val="true"/>
        <sz val="10"/>
        <rFont val="Arial"/>
        <family val="0"/>
        <charset val="1"/>
      </rPr>
      <t xml:space="preserve">) – </t>
    </r>
    <r>
      <rPr>
        <b val="true"/>
        <sz val="10"/>
        <rFont val="WenQuanYi Zen Hei"/>
        <family val="2"/>
      </rPr>
      <t xml:space="preserve">거래가 하한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</si>
  <si>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9</t>
    </r>
    <r>
      <rPr>
        <i val="true"/>
        <sz val="9"/>
        <color rgb="FF595959"/>
        <rFont val="WenQuanYi Zen Hei"/>
        <family val="2"/>
      </rPr>
      <t xml:space="preserve">억 미만 </t>
    </r>
    <r>
      <rPr>
        <i val="true"/>
        <sz val="9"/>
        <color rgb="FF595959"/>
        <rFont val="Arial"/>
        <family val="0"/>
        <charset val="1"/>
      </rPr>
      <t xml:space="preserve">0.4%, 9~12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0.5%, 12~15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0.6%, 15</t>
    </r>
    <r>
      <rPr>
        <i val="true"/>
        <sz val="9"/>
        <color rgb="FF595959"/>
        <rFont val="WenQuanYi Zen Hei"/>
        <family val="2"/>
      </rPr>
      <t xml:space="preserve">억 이상 </t>
    </r>
    <r>
      <rPr>
        <i val="true"/>
        <sz val="9"/>
        <color rgb="FF595959"/>
        <rFont val="Arial"/>
        <family val="0"/>
        <charset val="1"/>
      </rPr>
      <t xml:space="preserve">0.7% (</t>
    </r>
    <r>
      <rPr>
        <i val="true"/>
        <sz val="9"/>
        <color rgb="FF595959"/>
        <rFont val="WenQuanYi Zen Hei"/>
        <family val="2"/>
      </rPr>
      <t xml:space="preserve">협의 가능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부가세 별도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</si>
  <si>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요율</t>
  </si>
  <si>
    <r>
      <rPr>
        <b val="true"/>
        <sz val="10"/>
        <rFont val="WenQuanYi Zen Hei"/>
        <family val="2"/>
      </rPr>
      <t xml:space="preserve">주담대 한도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시가 구간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 – 15</t>
    </r>
    <r>
      <rPr>
        <b val="true"/>
        <sz val="10"/>
        <rFont val="WenQuanYi Zen Hei"/>
        <family val="2"/>
      </rPr>
      <t xml:space="preserve">억 초과부터 적용</t>
    </r>
  </si>
  <si>
    <r>
      <rPr>
        <i val="true"/>
        <sz val="9"/>
        <color rgb="FF595959"/>
        <rFont val="WenQuanYi Zen Hei"/>
        <family val="2"/>
      </rPr>
      <t xml:space="preserve">시가 </t>
    </r>
    <r>
      <rPr>
        <i val="true"/>
        <sz val="9"/>
        <color rgb="FF595959"/>
        <rFont val="Arial"/>
        <family val="0"/>
        <charset val="1"/>
      </rPr>
      <t xml:space="preserve">15</t>
    </r>
    <r>
      <rPr>
        <i val="true"/>
        <sz val="9"/>
        <color rgb="FF595959"/>
        <rFont val="WenQuanYi Zen Hei"/>
        <family val="2"/>
      </rPr>
      <t xml:space="preserve">억 이하 </t>
    </r>
    <r>
      <rPr>
        <i val="true"/>
        <sz val="9"/>
        <color rgb="FF595959"/>
        <rFont val="Arial"/>
        <family val="0"/>
        <charset val="1"/>
      </rPr>
      <t xml:space="preserve">6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/ 15~25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4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/ 25</t>
    </r>
    <r>
      <rPr>
        <i val="true"/>
        <sz val="9"/>
        <color rgb="FF595959"/>
        <rFont val="WenQuanYi Zen Hei"/>
        <family val="2"/>
      </rPr>
      <t xml:space="preserve">억 초과 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기사 확인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출처마다 표현 상이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</si>
  <si>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대출 한도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</si>
</sst>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%"/>
    <numFmt numFmtId="167" formatCode="0.00"/>
    <numFmt numFmtId="168" formatCode="0.000"/>
    <numFmt numFmtId="169" formatCode="#,##0"/>
    <numFmt numFmtId="170" formatCode="0%"/>
    <numFmt numFmtId="171" formatCode="0.0000"/>
    <numFmt numFmtId="172" formatCode="0.0"/>
    <numFmt numFmtId="173" formatCode="0.00%"/>
    <numFmt numFmtId="174" formatCode="0.00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8000"/>
      <name val="WenQuanYi Zen Hei"/>
      <family val="2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WenQuanYi Zen Hei"/>
      <family val="2"/>
    </font>
    <font>
      <sz val="10"/>
      <color rgb="FF0000FF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9.4" hidden="false" customHeight="false" outlineLevel="0" collapsed="false">
      <c r="A1" s="1" t="s">
        <v>0</v>
      </c>
    </row>
    <row r="3" customFormat="false" ht="48" hidden="false" customHeight="true" outlineLevel="0" collapsed="false">
      <c r="A3" s="2" t="s">
        <v>1</v>
      </c>
      <c r="B3" s="3" t="s">
        <v>2</v>
      </c>
    </row>
    <row r="4" customFormat="false" ht="48" hidden="false" customHeight="true" outlineLevel="0" collapsed="false">
      <c r="A4" s="2" t="s">
        <v>3</v>
      </c>
      <c r="B4" s="4" t="s">
        <v>4</v>
      </c>
    </row>
    <row r="5" customFormat="false" ht="48" hidden="false" customHeight="true" outlineLevel="0" collapsed="false">
      <c r="A5" s="2" t="s">
        <v>5</v>
      </c>
      <c r="B5" s="4" t="s">
        <v>6</v>
      </c>
    </row>
    <row r="6" customFormat="false" ht="48" hidden="false" customHeight="true" outlineLevel="0" collapsed="false">
      <c r="A6" s="2" t="s">
        <v>7</v>
      </c>
      <c r="B6" s="3" t="s">
        <v>8</v>
      </c>
    </row>
    <row r="7" customFormat="false" ht="48" hidden="false" customHeight="true" outlineLevel="0" collapsed="false">
      <c r="A7" s="2" t="s">
        <v>9</v>
      </c>
      <c r="B7" s="4" t="s">
        <v>10</v>
      </c>
    </row>
    <row r="8" customFormat="false" ht="48" hidden="false" customHeight="true" outlineLevel="0" collapsed="false">
      <c r="A8" s="2" t="s">
        <v>11</v>
      </c>
      <c r="B8" s="4" t="s">
        <v>12</v>
      </c>
    </row>
    <row r="9" customFormat="false" ht="48" hidden="false" customHeight="true" outlineLevel="0" collapsed="false">
      <c r="A9" s="2" t="s">
        <v>13</v>
      </c>
      <c r="B9" s="4" t="s">
        <v>14</v>
      </c>
    </row>
    <row r="10" customFormat="false" ht="48" hidden="false" customHeight="true" outlineLevel="0" collapsed="false">
      <c r="A10" s="2" t="s">
        <v>15</v>
      </c>
      <c r="B10" s="4" t="s">
        <v>16</v>
      </c>
    </row>
    <row r="11" customFormat="false" ht="48" hidden="false" customHeight="true" outlineLevel="0" collapsed="false">
      <c r="A11" s="2" t="s">
        <v>17</v>
      </c>
      <c r="B11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12"/>
  </cols>
  <sheetData>
    <row r="1" customFormat="false" ht="19.4" hidden="false" customHeight="false" outlineLevel="0" collapsed="false">
      <c r="A1" s="1" t="s">
        <v>19</v>
      </c>
    </row>
    <row r="2" customFormat="false" ht="15" hidden="false" customHeight="false" outlineLevel="0" collapsed="false">
      <c r="A2" s="5" t="s">
        <v>20</v>
      </c>
      <c r="C2" s="6" t="n">
        <v>2</v>
      </c>
      <c r="E2" s="7" t="s">
        <v>21</v>
      </c>
      <c r="F2" s="8" t="n">
        <f aca="false">CHOOSE(SelScen,G1,G2,G3)</f>
        <v>0.04</v>
      </c>
    </row>
    <row r="3" customFormat="false" ht="15" hidden="false" customHeight="false" outlineLevel="0" collapsed="false">
      <c r="A3" s="5" t="s">
        <v>22</v>
      </c>
      <c r="C3" s="6" t="n">
        <v>10</v>
      </c>
    </row>
    <row r="5" customFormat="false" ht="42" hidden="false" customHeight="true" outlineLevel="0" collapsed="false">
      <c r="A5" s="9" t="s">
        <v>23</v>
      </c>
      <c r="B5" s="9" t="s">
        <v>24</v>
      </c>
      <c r="C5" s="9" t="s">
        <v>25</v>
      </c>
      <c r="D5" s="9" t="s">
        <v>26</v>
      </c>
      <c r="E5" s="10" t="s">
        <v>27</v>
      </c>
      <c r="F5" s="10" t="s">
        <v>28</v>
      </c>
      <c r="G5" s="10" t="s">
        <v>29</v>
      </c>
      <c r="H5" s="9" t="s">
        <v>30</v>
      </c>
      <c r="I5" s="9" t="s">
        <v>31</v>
      </c>
      <c r="J5" s="9" t="s">
        <v>32</v>
      </c>
      <c r="K5" s="9" t="s">
        <v>33</v>
      </c>
      <c r="L5" s="9" t="s">
        <v>34</v>
      </c>
      <c r="M5" s="9" t="s">
        <v>35</v>
      </c>
      <c r="N5" s="9" t="s">
        <v>36</v>
      </c>
      <c r="O5" s="9" t="s">
        <v>37</v>
      </c>
      <c r="P5" s="9" t="s">
        <v>38</v>
      </c>
      <c r="Q5" s="9" t="s">
        <v>39</v>
      </c>
      <c r="R5" s="9" t="s">
        <v>40</v>
      </c>
      <c r="S5" s="9" t="s">
        <v>41</v>
      </c>
    </row>
    <row r="6" customFormat="false" ht="30" hidden="false" customHeight="true" outlineLevel="0" collapsed="false">
      <c r="A6" s="11" t="str">
        <f aca="false">INDEX(C_Name,1)</f>
        <v>문래동 대단지 (단지 미특정, 입력 필요)</v>
      </c>
      <c r="B6" s="12" t="n">
        <f aca="false">INDEX(C_Price,1)</f>
        <v>12.5</v>
      </c>
      <c r="C6" s="12" t="n">
        <f aca="false">INDEX(C_Loan,1)</f>
        <v>5</v>
      </c>
      <c r="D6" s="12" t="n">
        <f aca="false">INDEX(C_Equity,1)</f>
        <v>8.015</v>
      </c>
      <c r="E6" s="13" t="str">
        <f aca="false">INDEX(단지!$Q$6:$Q$12,1)</f>
        <v>가능</v>
      </c>
      <c r="F6" s="13" t="str">
        <f aca="false">INDEX(단지!$R$6:$R$12,1)</f>
        <v>가능</v>
      </c>
      <c r="G6" s="13" t="str">
        <f aca="false">INDEX(단지!$S$6:$S$12,1)</f>
        <v>가능</v>
      </c>
      <c r="H6" s="14" t="n">
        <f aca="false">SUMIFS(Sim_acq,Sim_Idx,1,Sim_Scen,SelScen,Sim_N,SelN)</f>
        <v>0.4125</v>
      </c>
      <c r="I6" s="15" t="n">
        <f aca="false">INDEX(단지!$V$6:$V$12,1)</f>
        <v>214.2</v>
      </c>
      <c r="J6" s="14" t="n">
        <f aca="false">SUMIFS(Sim_ptax,Sim_Idx,1,Sim_Scen,SelScen,Sim_N,SelN)</f>
        <v>0.304275578815814</v>
      </c>
      <c r="K6" s="14" t="n">
        <f aca="false">SUMIFS(Sim_ctax,Sim_Idx,1,Sim_Scen,SelScen,Sim_N,SelN)</f>
        <v>0.0440137170010881</v>
      </c>
      <c r="L6" s="16" t="n">
        <f aca="false">H6+J6+K6</f>
        <v>0.760789295816902</v>
      </c>
      <c r="M6" s="8" t="n">
        <f aca="false">IF(N6&gt;0,L6/N6,0)</f>
        <v>0.126733717769699</v>
      </c>
      <c r="N6" s="12" t="n">
        <f aca="false">SUMIFS(Sim_S,Sim_Idx,1,Sim_Scen,SelScen,Sim_N,SelN)-B6</f>
        <v>6.00305356147931</v>
      </c>
      <c r="O6" s="17" t="n">
        <f aca="false">SUMIFS(Sim_net,Sim_Idx,1,Sim_Scen,SelScen,Sim_N,SelN)</f>
        <v>3.1936010198672</v>
      </c>
      <c r="P6" s="18" t="n">
        <f aca="false">SUMIFS(Sim_roi,Sim_Idx,1,Sim_Scen,SelScen,Sim_N,SelN)</f>
        <v>0.398453028055796</v>
      </c>
      <c r="Q6" s="18" t="n">
        <f aca="false">SUMIFS(Sim_cagr,Sim_Idx,1,Sim_Scen,SelScen,Sim_N,SelN)</f>
        <v>0.034105358061638</v>
      </c>
      <c r="R6" s="12" t="n">
        <f aca="false">SUMIFS(Sim_recr,Sim_Idx,1,Sim_Scen,SelScen,Sim_N,SelN)</f>
        <v>1.79380765707745</v>
      </c>
      <c r="S6" s="12" t="n">
        <f aca="false">SUMIFS(Sim_exc,Sim_Idx,1,Sim_Scen,SelScen,Sim_N,SelN)</f>
        <v>0.91062325966908</v>
      </c>
    </row>
    <row r="7" customFormat="false" ht="30" hidden="false" customHeight="true" outlineLevel="0" collapsed="false">
      <c r="A7" s="11" t="str">
        <f aca="false">INDEX(C_Name,2)</f>
        <v>신길삼성래미안 84㎡</v>
      </c>
      <c r="B7" s="12" t="n">
        <f aca="false">INDEX(C_Price,2)</f>
        <v>13</v>
      </c>
      <c r="C7" s="12" t="n">
        <f aca="false">INDEX(C_Loan,2)</f>
        <v>5.2</v>
      </c>
      <c r="D7" s="12" t="n">
        <f aca="false">INDEX(C_Equity,2)</f>
        <v>8.3348</v>
      </c>
      <c r="E7" s="13" t="str">
        <f aca="false">INDEX(단지!$Q$6:$Q$12,2)</f>
        <v>가능</v>
      </c>
      <c r="F7" s="13" t="str">
        <f aca="false">INDEX(단지!$R$6:$R$12,2)</f>
        <v>가능</v>
      </c>
      <c r="G7" s="13" t="str">
        <f aca="false">INDEX(단지!$S$6:$S$12,2)</f>
        <v>가능</v>
      </c>
      <c r="H7" s="14" t="n">
        <f aca="false">SUMIFS(Sim_acq,Sim_Idx,2,Sim_Scen,SelScen,Sim_N,SelN)</f>
        <v>0.429</v>
      </c>
      <c r="I7" s="15" t="n">
        <f aca="false">INDEX(단지!$V$6:$V$12,2)</f>
        <v>225.792</v>
      </c>
      <c r="J7" s="14" t="n">
        <f aca="false">SUMIFS(Sim_ptax,Sim_Idx,2,Sim_Scen,SelScen,Sim_N,SelN)</f>
        <v>0.325550801744133</v>
      </c>
      <c r="K7" s="14" t="n">
        <f aca="false">SUMIFS(Sim_ctax,Sim_Idx,2,Sim_Scen,SelScen,Sim_N,SelN)</f>
        <v>0.0510798196867123</v>
      </c>
      <c r="L7" s="16" t="n">
        <f aca="false">H7+J7+K7</f>
        <v>0.805630621430846</v>
      </c>
      <c r="M7" s="8" t="n">
        <f aca="false">IF(N7&gt;0,L7/N7,0)</f>
        <v>0.129041798538942</v>
      </c>
      <c r="N7" s="12" t="n">
        <f aca="false">SUMIFS(Sim_S,Sim_Idx,2,Sim_Scen,SelScen,Sim_N,SelN)-B7</f>
        <v>6.24317570393848</v>
      </c>
      <c r="O7" s="17" t="n">
        <f aca="false">SUMIFS(Sim_net,Sim_Idx,2,Sim_Scen,SelScen,Sim_N,SelN)</f>
        <v>3.30773530688062</v>
      </c>
      <c r="P7" s="18" t="n">
        <f aca="false">SUMIFS(Sim_roi,Sim_Idx,2,Sim_Scen,SelScen,Sim_N,SelN)</f>
        <v>0.396858389749078</v>
      </c>
      <c r="Q7" s="18" t="n">
        <f aca="false">SUMIFS(Sim_cagr,Sim_Idx,2,Sim_Scen,SelScen,Sim_N,SelN)</f>
        <v>0.0339873797843422</v>
      </c>
      <c r="R7" s="12" t="n">
        <f aca="false">SUMIFS(Sim_recr,Sim_Idx,2,Sim_Scen,SelScen,Sim_N,SelN)</f>
        <v>1.7933432778626</v>
      </c>
      <c r="S7" s="12" t="n">
        <f aca="false">SUMIFS(Sim_exc,Sim_Idx,2,Sim_Scen,SelScen,Sim_N,SelN)</f>
        <v>0.93366630679337</v>
      </c>
    </row>
    <row r="8" customFormat="false" ht="30" hidden="false" customHeight="true" outlineLevel="0" collapsed="false">
      <c r="A8" s="11" t="str">
        <f aca="false">INDEX(C_Name,3)</f>
        <v>신길 래미안에스티움 84㎡</v>
      </c>
      <c r="B8" s="12" t="n">
        <f aca="false">INDEX(C_Price,3)</f>
        <v>18.8</v>
      </c>
      <c r="C8" s="12" t="n">
        <f aca="false">INDEX(C_Loan,3)</f>
        <v>4</v>
      </c>
      <c r="D8" s="12" t="n">
        <f aca="false">INDEX(C_Equity,3)</f>
        <v>15.58516</v>
      </c>
      <c r="E8" s="13" t="str">
        <f aca="false">INDEX(단지!$Q$6:$Q$12,3)</f>
        <v>부족 3.6억</v>
      </c>
      <c r="F8" s="13" t="str">
        <f aca="false">INDEX(단지!$R$6:$R$12,3)</f>
        <v>부족 1.6억</v>
      </c>
      <c r="G8" s="13" t="str">
        <f aca="false">INDEX(단지!$S$6:$S$12,3)</f>
        <v>가능</v>
      </c>
      <c r="H8" s="14" t="n">
        <f aca="false">SUMIFS(Sim_acq,Sim_Idx,3,Sim_Scen,SelScen,Sim_N,SelN)</f>
        <v>0.6204</v>
      </c>
      <c r="I8" s="15" t="n">
        <f aca="false">INDEX(단지!$V$6:$V$12,3)</f>
        <v>441.9504</v>
      </c>
      <c r="J8" s="14" t="n">
        <f aca="false">SUMIFS(Sim_ptax,Sim_Idx,3,Sim_Scen,SelScen,Sim_N,SelN)</f>
        <v>0.635733007758503</v>
      </c>
      <c r="K8" s="14" t="n">
        <f aca="false">SUMIFS(Sim_ctax,Sim_Idx,3,Sim_Scen,SelScen,Sim_N,SelN)</f>
        <v>0.172185698104553</v>
      </c>
      <c r="L8" s="16" t="n">
        <f aca="false">H8+J8+K8</f>
        <v>1.42831870586306</v>
      </c>
      <c r="M8" s="8" t="n">
        <f aca="false">IF(N8&gt;0,L8/N8,0)</f>
        <v>0.158199486457091</v>
      </c>
      <c r="N8" s="12" t="n">
        <f aca="false">SUMIFS(Sim_S,Sim_Idx,3,Sim_Scen,SelScen,Sim_N,SelN)-B8</f>
        <v>9.02859255646488</v>
      </c>
      <c r="O8" s="17" t="n">
        <f aca="false">SUMIFS(Sim_net,Sim_Idx,3,Sim_Scen,SelScen,Sim_N,SelN)</f>
        <v>5.77828190121959</v>
      </c>
      <c r="P8" s="18" t="n">
        <f aca="false">SUMIFS(Sim_roi,Sim_Idx,3,Sim_Scen,SelScen,Sim_N,SelN)</f>
        <v>0.370755378912991</v>
      </c>
      <c r="Q8" s="18" t="n">
        <f aca="false">SUMIFS(Sim_cagr,Sim_Idx,3,Sim_Scen,SelScen,Sim_N,SelN)</f>
        <v>0.0320387305274303</v>
      </c>
      <c r="R8" s="12" t="n">
        <f aca="false">SUMIFS(Sim_recr,Sim_Idx,3,Sim_Scen,SelScen,Sim_N,SelN)</f>
        <v>1.55858318600594</v>
      </c>
      <c r="S8" s="12" t="n">
        <f aca="false">SUMIFS(Sim_exc,Sim_Idx,3,Sim_Scen,SelScen,Sim_N,SelN)</f>
        <v>1.33903378280046</v>
      </c>
    </row>
    <row r="9" customFormat="false" ht="30" hidden="false" customHeight="true" outlineLevel="0" collapsed="false">
      <c r="A9" s="11" t="str">
        <f aca="false">INDEX(C_Name,4)</f>
        <v>신길 보라매SK뷰 84.98㎡</v>
      </c>
      <c r="B9" s="12" t="n">
        <f aca="false">INDEX(C_Price,4)</f>
        <v>20.4</v>
      </c>
      <c r="C9" s="12" t="n">
        <f aca="false">INDEX(C_Loan,4)</f>
        <v>4</v>
      </c>
      <c r="D9" s="12" t="n">
        <f aca="false">INDEX(C_Equity,4)</f>
        <v>17.25028</v>
      </c>
      <c r="E9" s="13" t="str">
        <f aca="false">INDEX(단지!$Q$6:$Q$12,4)</f>
        <v>부족 5.3억</v>
      </c>
      <c r="F9" s="13" t="str">
        <f aca="false">INDEX(단지!$R$6:$R$12,4)</f>
        <v>부족 3.3억</v>
      </c>
      <c r="G9" s="13" t="str">
        <f aca="false">INDEX(단지!$S$6:$S$12,4)</f>
        <v>부족 1.3억</v>
      </c>
      <c r="H9" s="14" t="n">
        <f aca="false">SUMIFS(Sim_acq,Sim_Idx,4,Sim_Scen,SelScen,Sim_N,SelN)</f>
        <v>0.6732</v>
      </c>
      <c r="I9" s="15" t="n">
        <f aca="false">INDEX(단지!$V$6:$V$12,4)</f>
        <v>522.7632</v>
      </c>
      <c r="J9" s="14" t="n">
        <f aca="false">SUMIFS(Sim_ptax,Sim_Idx,4,Sim_Scen,SelScen,Sim_N,SelN)</f>
        <v>0.740636338287257</v>
      </c>
      <c r="K9" s="14" t="n">
        <f aca="false">SUMIFS(Sim_ctax,Sim_Idx,4,Sim_Scen,SelScen,Sim_N,SelN)</f>
        <v>0.224881251522617</v>
      </c>
      <c r="L9" s="16" t="n">
        <f aca="false">H9+J9+K9</f>
        <v>1.63871758980987</v>
      </c>
      <c r="M9" s="8" t="n">
        <f aca="false">IF(N9&gt;0,L9/N9,0)</f>
        <v>0.167267568070674</v>
      </c>
      <c r="N9" s="12" t="n">
        <f aca="false">SUMIFS(Sim_S,Sim_Idx,4,Sim_Scen,SelScen,Sim_N,SelN)-B9</f>
        <v>9.79698341233423</v>
      </c>
      <c r="O9" s="17" t="n">
        <f aca="false">SUMIFS(Sim_net,Sim_Idx,4,Sim_Scen,SelScen,Sim_N,SelN)</f>
        <v>6.30571726355193</v>
      </c>
      <c r="P9" s="18" t="n">
        <f aca="false">SUMIFS(Sim_roi,Sim_Idx,4,Sim_Scen,SelScen,Sim_N,SelN)</f>
        <v>0.365542893422711</v>
      </c>
      <c r="Q9" s="18" t="n">
        <f aca="false">SUMIFS(Sim_cagr,Sim_Idx,4,Sim_Scen,SelScen,Sim_N,SelN)</f>
        <v>0.0316456104617504</v>
      </c>
      <c r="R9" s="12" t="n">
        <f aca="false">SUMIFS(Sim_recr,Sim_Idx,4,Sim_Scen,SelScen,Sim_N,SelN)</f>
        <v>1.54132147536581</v>
      </c>
      <c r="S9" s="12" t="n">
        <f aca="false">SUMIFS(Sim_exc,Sim_Idx,4,Sim_Scen,SelScen,Sim_N,SelN)</f>
        <v>1.39217944730858</v>
      </c>
    </row>
    <row r="10" customFormat="false" ht="30" hidden="false" customHeight="true" outlineLevel="0" collapsed="false">
      <c r="A10" s="11" t="str">
        <f aca="false">INDEX(C_Name,5)</f>
        <v>본동 래미안트윈파크 (32평형)</v>
      </c>
      <c r="B10" s="12" t="n">
        <f aca="false">INDEX(C_Price,5)</f>
        <v>24.2</v>
      </c>
      <c r="C10" s="12" t="n">
        <f aca="false">INDEX(C_Loan,5)</f>
        <v>4</v>
      </c>
      <c r="D10" s="12" t="n">
        <f aca="false">INDEX(C_Equity,5)</f>
        <v>21.20494</v>
      </c>
      <c r="E10" s="13" t="str">
        <f aca="false">INDEX(단지!$Q$6:$Q$12,5)</f>
        <v>부족 9.2억</v>
      </c>
      <c r="F10" s="13" t="str">
        <f aca="false">INDEX(단지!$R$6:$R$12,5)</f>
        <v>부족 7.2억</v>
      </c>
      <c r="G10" s="13" t="str">
        <f aca="false">INDEX(단지!$S$6:$S$12,5)</f>
        <v>부족 5.2억</v>
      </c>
      <c r="H10" s="14" t="n">
        <f aca="false">SUMIFS(Sim_acq,Sim_Idx,5,Sim_Scen,SelScen,Sim_N,SelN)</f>
        <v>0.7986</v>
      </c>
      <c r="I10" s="15" t="n">
        <f aca="false">INDEX(단지!$V$6:$V$12,5)</f>
        <v>714.6936</v>
      </c>
      <c r="J10" s="14" t="n">
        <f aca="false">SUMIFS(Sim_ptax,Sim_Idx,5,Sim_Scen,SelScen,Sim_N,SelN)</f>
        <v>1.00987862179362</v>
      </c>
      <c r="K10" s="14" t="n">
        <f aca="false">SUMIFS(Sim_ctax,Sim_Idx,5,Sim_Scen,SelScen,Sim_N,SelN)</f>
        <v>0.350060793017384</v>
      </c>
      <c r="L10" s="16" t="n">
        <f aca="false">H10+J10+K10</f>
        <v>2.15853941481101</v>
      </c>
      <c r="M10" s="8" t="n">
        <f aca="false">IF(N10&gt;0,L10/N10,0)</f>
        <v>0.185730151067592</v>
      </c>
      <c r="N10" s="12" t="n">
        <f aca="false">SUMIFS(Sim_S,Sim_Idx,5,Sim_Scen,SelScen,Sim_N,SelN)-B10</f>
        <v>11.6219116950239</v>
      </c>
      <c r="O10" s="17" t="n">
        <f aca="false">SUMIFS(Sim_net,Sim_Idx,5,Sim_Scen,SelScen,Sim_N,SelN)</f>
        <v>7.53825177346379</v>
      </c>
      <c r="P10" s="18" t="n">
        <f aca="false">SUMIFS(Sim_roi,Sim_Idx,5,Sim_Scen,SelScen,Sim_N,SelN)</f>
        <v>0.355495076782287</v>
      </c>
      <c r="Q10" s="18" t="n">
        <f aca="false">SUMIFS(Sim_cagr,Sim_Idx,5,Sim_Scen,SelScen,Sim_N,SelN)</f>
        <v>0.0308839888780128</v>
      </c>
      <c r="R10" s="12" t="n">
        <f aca="false">SUMIFS(Sim_recr,Sim_Idx,5,Sim_Scen,SelScen,Sim_N,SelN)</f>
        <v>1.51118861046019</v>
      </c>
      <c r="S10" s="12" t="n">
        <f aca="false">SUMIFS(Sim_exc,Sim_Idx,5,Sim_Scen,SelScen,Sim_N,SelN)</f>
        <v>1.49827592488793</v>
      </c>
    </row>
    <row r="11" customFormat="false" ht="30" hidden="false" customHeight="true" outlineLevel="0" collapsed="false">
      <c r="A11" s="11" t="str">
        <f aca="false">INDEX(C_Name,6)</f>
        <v>흑석 아크로리버하임 84.75㎡</v>
      </c>
      <c r="B11" s="12" t="n">
        <f aca="false">INDEX(C_Price,6)</f>
        <v>28.75</v>
      </c>
      <c r="C11" s="12" t="n">
        <f aca="false">INDEX(C_Loan,6)</f>
        <v>2</v>
      </c>
      <c r="D11" s="12" t="n">
        <f aca="false">INDEX(C_Equity,6)</f>
        <v>27.940125</v>
      </c>
      <c r="E11" s="13" t="str">
        <f aca="false">INDEX(단지!$Q$6:$Q$12,6)</f>
        <v>부족 15.9억</v>
      </c>
      <c r="F11" s="13" t="str">
        <f aca="false">INDEX(단지!$R$6:$R$12,6)</f>
        <v>부족 13.9억</v>
      </c>
      <c r="G11" s="13" t="str">
        <f aca="false">INDEX(단지!$S$6:$S$12,6)</f>
        <v>부족 11.9억</v>
      </c>
      <c r="H11" s="14" t="n">
        <f aca="false">SUMIFS(Sim_acq,Sim_Idx,6,Sim_Scen,SelScen,Sim_N,SelN)</f>
        <v>0.94875</v>
      </c>
      <c r="I11" s="15" t="n">
        <f aca="false">INDEX(단지!$V$6:$V$12,6)</f>
        <v>985.365</v>
      </c>
      <c r="J11" s="14" t="n">
        <f aca="false">SUMIFS(Sim_ptax,Sim_Idx,6,Sim_Scen,SelScen,Sim_N,SelN)</f>
        <v>1.38203152016447</v>
      </c>
      <c r="K11" s="14" t="n">
        <f aca="false">SUMIFS(Sim_ctax,Sim_Idx,6,Sim_Scen,SelScen,Sim_N,SelN)</f>
        <v>0.507893404694316</v>
      </c>
      <c r="L11" s="16" t="n">
        <f aca="false">H11+J11+K11</f>
        <v>2.83867492485878</v>
      </c>
      <c r="M11" s="8" t="n">
        <f aca="false">IF(N11&gt;0,L11/N11,0)</f>
        <v>0.205596447945885</v>
      </c>
      <c r="N11" s="12" t="n">
        <f aca="false">SUMIFS(Sim_S,Sim_Idx,6,Sim_Scen,SelScen,Sim_N,SelN)-B11</f>
        <v>13.8070231914024</v>
      </c>
      <c r="O11" s="17" t="n">
        <f aca="false">SUMIFS(Sim_net,Sim_Idx,6,Sim_Scen,SelScen,Sim_N,SelN)</f>
        <v>9.67780829462109</v>
      </c>
      <c r="P11" s="18" t="n">
        <f aca="false">SUMIFS(Sim_roi,Sim_Idx,6,Sim_Scen,SelScen,Sim_N,SelN)</f>
        <v>0.346376699983307</v>
      </c>
      <c r="Q11" s="18" t="n">
        <f aca="false">SUMIFS(Sim_cagr,Sim_Idx,6,Sim_Scen,SelScen,Sim_N,SelN)</f>
        <v>0.0301884079284342</v>
      </c>
      <c r="R11" s="12" t="n">
        <f aca="false">SUMIFS(Sim_recr,Sim_Idx,6,Sim_Scen,SelScen,Sim_N,SelN)</f>
        <v>1.43684974651698</v>
      </c>
      <c r="S11" s="12" t="n">
        <f aca="false">SUMIFS(Sim_exc,Sim_Idx,6,Sim_Scen,SelScen,Sim_N,SelN)</f>
        <v>1.71939482086494</v>
      </c>
    </row>
    <row r="12" customFormat="false" ht="30" hidden="false" customHeight="true" outlineLevel="0" collapsed="false">
      <c r="A12" s="11" t="str">
        <f aca="false">INDEX(C_Name,7)</f>
        <v>예시 행: 직접 입력</v>
      </c>
      <c r="B12" s="12" t="n">
        <f aca="false">INDEX(C_Price,7)</f>
        <v>14</v>
      </c>
      <c r="C12" s="12" t="n">
        <f aca="false">INDEX(C_Loan,7)</f>
        <v>5.6</v>
      </c>
      <c r="D12" s="12" t="n">
        <f aca="false">INDEX(C_Equity,7)</f>
        <v>8.9744</v>
      </c>
      <c r="E12" s="13" t="str">
        <f aca="false">INDEX(단지!$Q$6:$Q$12,7)</f>
        <v>가능</v>
      </c>
      <c r="F12" s="13" t="str">
        <f aca="false">INDEX(단지!$R$6:$R$12,7)</f>
        <v>가능</v>
      </c>
      <c r="G12" s="13" t="str">
        <f aca="false">INDEX(단지!$S$6:$S$12,7)</f>
        <v>가능</v>
      </c>
      <c r="H12" s="14" t="n">
        <f aca="false">SUMIFS(Sim_acq,Sim_Idx,7,Sim_Scen,SelScen,Sim_N,SelN)</f>
        <v>0.462</v>
      </c>
      <c r="I12" s="15" t="n">
        <f aca="false">INDEX(단지!$V$6:$V$12,7)</f>
        <v>283.752</v>
      </c>
      <c r="J12" s="14" t="n">
        <f aca="false">SUMIFS(Sim_ptax,Sim_Idx,7,Sim_Scen,SelScen,Sim_N,SelN)</f>
        <v>0.369897887312528</v>
      </c>
      <c r="K12" s="14" t="n">
        <f aca="false">SUMIFS(Sim_ctax,Sim_Idx,7,Sim_Scen,SelScen,Sim_N,SelN)</f>
        <v>0.0652155528392029</v>
      </c>
      <c r="L12" s="16" t="n">
        <f aca="false">H12+J12+K12</f>
        <v>0.897113440151731</v>
      </c>
      <c r="M12" s="8" t="n">
        <f aca="false">IF(N12&gt;0,L12/N12,0)</f>
        <v>0.133431117145527</v>
      </c>
      <c r="N12" s="12" t="n">
        <f aca="false">SUMIFS(Sim_S,Sim_Idx,7,Sim_Scen,SelScen,Sim_N,SelN)-B12</f>
        <v>6.72341998885682</v>
      </c>
      <c r="O12" s="17" t="n">
        <f aca="false">SUMIFS(Sim_net,Sim_Idx,7,Sim_Scen,SelScen,Sim_N,SelN)</f>
        <v>3.53420371341446</v>
      </c>
      <c r="P12" s="18" t="n">
        <f aca="false">SUMIFS(Sim_roi,Sim_Idx,7,Sim_Scen,SelScen,Sim_N,SelN)</f>
        <v>0.39380947065146</v>
      </c>
      <c r="Q12" s="18" t="n">
        <f aca="false">SUMIFS(Sim_cagr,Sim_Idx,7,Sim_Scen,SelScen,Sim_N,SelN)</f>
        <v>0.0337614696526167</v>
      </c>
      <c r="R12" s="12" t="n">
        <f aca="false">SUMIFS(Sim_recr,Sim_Idx,7,Sim_Scen,SelScen,Sim_N,SelN)</f>
        <v>1.79251341440708</v>
      </c>
      <c r="S12" s="12" t="n">
        <f aca="false">SUMIFS(Sim_exc,Sim_Idx,7,Sim_Scen,SelScen,Sim_N,SelN)</f>
        <v>0.97795223354896</v>
      </c>
    </row>
    <row r="15" customFormat="false" ht="15" hidden="false" customHeight="false" outlineLevel="0" collapsed="false">
      <c r="A15" s="19" t="s">
        <v>42</v>
      </c>
    </row>
    <row r="16" customFormat="false" ht="42" hidden="false" customHeight="true" outlineLevel="0" collapsed="false">
      <c r="A16" s="9" t="s">
        <v>23</v>
      </c>
      <c r="B16" s="9" t="s">
        <v>43</v>
      </c>
      <c r="C16" s="9" t="s">
        <v>44</v>
      </c>
      <c r="D16" s="9" t="s">
        <v>45</v>
      </c>
    </row>
    <row r="17" customFormat="false" ht="15" hidden="false" customHeight="false" outlineLevel="0" collapsed="false">
      <c r="A17" s="11" t="str">
        <f aca="false">INDEX(C_Name,1)</f>
        <v>문래동 대단지 (단지 미특정, 입력 필요)</v>
      </c>
      <c r="B17" s="12" t="n">
        <f aca="false">SUMIFS(Sim_net,Sim_Idx,1,Sim_Scen,1,Sim_N,SelN)</f>
        <v>0.0309391911399632</v>
      </c>
      <c r="C17" s="12" t="n">
        <f aca="false">SUMIFS(Sim_net,Sim_Idx,1,Sim_Scen,2,Sim_N,SelN)</f>
        <v>3.1936010198672</v>
      </c>
      <c r="D17" s="12" t="n">
        <f aca="false">SUMIFS(Sim_net,Sim_Idx,1,Sim_Scen,3,Sim_N,SelN)</f>
        <v>6.87509597620609</v>
      </c>
    </row>
    <row r="18" customFormat="false" ht="15" hidden="false" customHeight="false" outlineLevel="0" collapsed="false">
      <c r="A18" s="11" t="str">
        <f aca="false">INDEX(C_Name,2)</f>
        <v>신길삼성래미안 84㎡</v>
      </c>
      <c r="B18" s="12" t="n">
        <f aca="false">SUMIFS(Sim_net,Sim_Idx,2,Sim_Scen,1,Sim_N,SelN)</f>
        <v>0.0223554119816972</v>
      </c>
      <c r="C18" s="12" t="n">
        <f aca="false">SUMIFS(Sim_net,Sim_Idx,2,Sim_Scen,2,Sim_N,SelN)</f>
        <v>3.30773530688062</v>
      </c>
      <c r="D18" s="12" t="n">
        <f aca="false">SUMIFS(Sim_net,Sim_Idx,2,Sim_Scen,3,Sim_N,SelN)</f>
        <v>7.12503694634043</v>
      </c>
    </row>
    <row r="19" customFormat="false" ht="15" hidden="false" customHeight="false" outlineLevel="0" collapsed="false">
      <c r="A19" s="11" t="str">
        <f aca="false">INDEX(C_Name,3)</f>
        <v>신길 래미안에스티움 84㎡</v>
      </c>
      <c r="B19" s="12" t="n">
        <f aca="false">SUMIFS(Sim_net,Sim_Idx,3,Sim_Scen,1,Sim_N,SelN)</f>
        <v>1.14877041923731</v>
      </c>
      <c r="C19" s="12" t="n">
        <f aca="false">SUMIFS(Sim_net,Sim_Idx,3,Sim_Scen,2,Sim_N,SelN)</f>
        <v>5.77828190121959</v>
      </c>
      <c r="D19" s="12" t="n">
        <f aca="false">SUMIFS(Sim_net,Sim_Idx,3,Sim_Scen,3,Sim_N,SelN)</f>
        <v>11.1041259273591</v>
      </c>
    </row>
    <row r="20" customFormat="false" ht="15" hidden="false" customHeight="false" outlineLevel="0" collapsed="false">
      <c r="A20" s="11" t="str">
        <f aca="false">INDEX(C_Name,4)</f>
        <v>신길 보라매SK뷰 84.98㎡</v>
      </c>
      <c r="B20" s="12" t="n">
        <f aca="false">SUMIFS(Sim_net,Sim_Idx,4,Sim_Scen,1,Sim_N,SelN)</f>
        <v>1.32164447302511</v>
      </c>
      <c r="C20" s="12" t="n">
        <f aca="false">SUMIFS(Sim_net,Sim_Idx,4,Sim_Scen,2,Sim_N,SelN)</f>
        <v>6.30571726355193</v>
      </c>
      <c r="D20" s="12" t="n">
        <f aca="false">SUMIFS(Sim_net,Sim_Idx,4,Sim_Scen,3,Sim_N,SelN)</f>
        <v>12.0594435980447</v>
      </c>
    </row>
    <row r="21" customFormat="false" ht="15" hidden="false" customHeight="false" outlineLevel="0" collapsed="false">
      <c r="A21" s="11" t="str">
        <f aca="false">INDEX(C_Name,5)</f>
        <v>본동 래미안트윈파크 (32평형)</v>
      </c>
      <c r="B21" s="12" t="n">
        <f aca="false">SUMIFS(Sim_net,Sim_Idx,5,Sim_Scen,1,Sim_N,SelN)</f>
        <v>1.7132837506369</v>
      </c>
      <c r="C21" s="12" t="n">
        <f aca="false">SUMIFS(Sim_net,Sim_Idx,5,Sim_Scen,2,Sim_N,SelN)</f>
        <v>7.53825177346379</v>
      </c>
      <c r="D21" s="12" t="n">
        <f aca="false">SUMIFS(Sim_net,Sim_Idx,5,Sim_Scen,3,Sim_N,SelN)</f>
        <v>14.3001357021432</v>
      </c>
    </row>
    <row r="22" customFormat="false" ht="15" hidden="false" customHeight="false" outlineLevel="0" collapsed="false">
      <c r="A22" s="11" t="str">
        <f aca="false">INDEX(C_Name,6)</f>
        <v>흑석 아크로리버하임 84.75㎡</v>
      </c>
      <c r="B22" s="12" t="n">
        <f aca="false">SUMIFS(Sim_net,Sim_Idx,6,Sim_Scen,1,Sim_N,SelN)</f>
        <v>2.85746735713554</v>
      </c>
      <c r="C22" s="12" t="n">
        <f aca="false">SUMIFS(Sim_net,Sim_Idx,6,Sim_Scen,2,Sim_N,SelN)</f>
        <v>9.67780829462109</v>
      </c>
      <c r="D22" s="12" t="n">
        <f aca="false">SUMIFS(Sim_net,Sim_Idx,6,Sim_Scen,3,Sim_N,SelN)</f>
        <v>17.659989819577</v>
      </c>
    </row>
    <row r="23" customFormat="false" ht="15" hidden="false" customHeight="false" outlineLevel="0" collapsed="false">
      <c r="A23" s="11" t="str">
        <f aca="false">INDEX(C_Name,7)</f>
        <v>예시 행: 직접 입력</v>
      </c>
      <c r="B23" s="12" t="n">
        <f aca="false">SUMIFS(Sim_net,Sim_Idx,7,Sim_Scen,1,Sim_N,SelN)</f>
        <v>0.0145036241288477</v>
      </c>
      <c r="C23" s="12" t="n">
        <f aca="false">SUMIFS(Sim_net,Sim_Idx,7,Sim_Scen,2,Sim_N,SelN)</f>
        <v>3.53420371341446</v>
      </c>
      <c r="D23" s="12" t="n">
        <f aca="false">SUMIFS(Sim_net,Sim_Idx,7,Sim_Scen,3,Sim_N,SelN)</f>
        <v>7.60496823751893</v>
      </c>
    </row>
    <row r="26" customFormat="false" ht="15" hidden="false" customHeight="false" outlineLevel="0" collapsed="false">
      <c r="A26" s="19" t="s">
        <v>46</v>
      </c>
    </row>
    <row r="27" customFormat="false" ht="42" hidden="false" customHeight="true" outlineLevel="0" collapsed="false">
      <c r="A27" s="9" t="s">
        <v>23</v>
      </c>
      <c r="B27" s="10" t="s">
        <v>47</v>
      </c>
      <c r="C27" s="10" t="s">
        <v>48</v>
      </c>
      <c r="D27" s="10" t="s">
        <v>49</v>
      </c>
      <c r="E27" s="10" t="s">
        <v>50</v>
      </c>
    </row>
    <row r="28" customFormat="false" ht="15" hidden="false" customHeight="false" outlineLevel="0" collapsed="false">
      <c r="A28" s="11" t="str">
        <f aca="false">INDEX(C_Name,1)</f>
        <v>문래동 대단지 (단지 미특정, 입력 필요)</v>
      </c>
      <c r="B28" s="12" t="n">
        <f aca="false">SUMIFS(Sim_net,Sim_Idx,1,Sim_Scen,SelScen,Sim_N,3)</f>
        <v>0.292216484073091</v>
      </c>
      <c r="C28" s="12" t="n">
        <f aca="false">SUMIFS(Sim_net,Sim_Idx,1,Sim_Scen,SelScen,Sim_N,5)</f>
        <v>0.96641688200251</v>
      </c>
      <c r="D28" s="12" t="n">
        <f aca="false">SUMIFS(Sim_net,Sim_Idx,1,Sim_Scen,SelScen,Sim_N,7)</f>
        <v>1.75824505151294</v>
      </c>
      <c r="E28" s="12" t="n">
        <f aca="false">SUMIFS(Sim_net,Sim_Idx,1,Sim_Scen,SelScen,Sim_N,10)</f>
        <v>3.1936010198672</v>
      </c>
    </row>
    <row r="29" customFormat="false" ht="15" hidden="false" customHeight="false" outlineLevel="0" collapsed="false">
      <c r="A29" s="11" t="str">
        <f aca="false">INDEX(C_Name,2)</f>
        <v>신길삼성래미안 84㎡</v>
      </c>
      <c r="B29" s="12" t="n">
        <f aca="false">SUMIFS(Sim_net,Sim_Idx,2,Sim_Scen,SelScen,Sim_N,3)</f>
        <v>0.29873452388991</v>
      </c>
      <c r="C29" s="12" t="n">
        <f aca="false">SUMIFS(Sim_net,Sim_Idx,2,Sim_Scen,SelScen,Sim_N,5)</f>
        <v>0.993777747205699</v>
      </c>
      <c r="D29" s="12" t="n">
        <f aca="false">SUMIFS(Sim_net,Sim_Idx,2,Sim_Scen,SelScen,Sim_N,7)</f>
        <v>1.81615593465286</v>
      </c>
      <c r="E29" s="12" t="n">
        <f aca="false">SUMIFS(Sim_net,Sim_Idx,2,Sim_Scen,SelScen,Sim_N,10)</f>
        <v>3.30773530688062</v>
      </c>
    </row>
    <row r="30" customFormat="false" ht="15" hidden="false" customHeight="false" outlineLevel="0" collapsed="false">
      <c r="A30" s="11" t="str">
        <f aca="false">INDEX(C_Name,3)</f>
        <v>신길 래미안에스티움 84㎡</v>
      </c>
      <c r="B30" s="12" t="n">
        <f aca="false">SUMIFS(Sim_net,Sim_Idx,3,Sim_Scen,SelScen,Sim_N,3)</f>
        <v>0.729964687488087</v>
      </c>
      <c r="C30" s="12" t="n">
        <f aca="false">SUMIFS(Sim_net,Sim_Idx,3,Sim_Scen,SelScen,Sim_N,5)</f>
        <v>1.92323606436351</v>
      </c>
      <c r="D30" s="12" t="n">
        <f aca="false">SUMIFS(Sim_net,Sim_Idx,3,Sim_Scen,SelScen,Sim_N,7)</f>
        <v>3.26916402457889</v>
      </c>
      <c r="E30" s="12" t="n">
        <f aca="false">SUMIFS(Sim_net,Sim_Idx,3,Sim_Scen,SelScen,Sim_N,10)</f>
        <v>5.77828190121959</v>
      </c>
    </row>
    <row r="31" customFormat="false" ht="15" hidden="false" customHeight="false" outlineLevel="0" collapsed="false">
      <c r="A31" s="11" t="str">
        <f aca="false">INDEX(C_Name,4)</f>
        <v>신길 보라매SK뷰 84.98㎡</v>
      </c>
      <c r="B31" s="12" t="n">
        <f aca="false">SUMIFS(Sim_net,Sim_Idx,4,Sim_Scen,SelScen,Sim_N,3)</f>
        <v>0.807912002079527</v>
      </c>
      <c r="C31" s="12" t="n">
        <f aca="false">SUMIFS(Sim_net,Sim_Idx,4,Sim_Scen,SelScen,Sim_N,5)</f>
        <v>2.0867333765855</v>
      </c>
      <c r="D31" s="12" t="n">
        <f aca="false">SUMIFS(Sim_net,Sim_Idx,4,Sim_Scen,SelScen,Sim_N,7)</f>
        <v>3.55642251157937</v>
      </c>
      <c r="E31" s="12" t="n">
        <f aca="false">SUMIFS(Sim_net,Sim_Idx,4,Sim_Scen,SelScen,Sim_N,10)</f>
        <v>6.30571726355193</v>
      </c>
    </row>
    <row r="32" customFormat="false" ht="15" hidden="false" customHeight="false" outlineLevel="0" collapsed="false">
      <c r="A32" s="11" t="str">
        <f aca="false">INDEX(C_Name,5)</f>
        <v>본동 래미안트윈파크 (32평형)</v>
      </c>
      <c r="B32" s="12" t="n">
        <f aca="false">SUMIFS(Sim_net,Sim_Idx,5,Sim_Scen,SelScen,Sim_N,3)</f>
        <v>0.975618511756375</v>
      </c>
      <c r="C32" s="12" t="n">
        <f aca="false">SUMIFS(Sim_net,Sim_Idx,5,Sim_Scen,SelScen,Sim_N,5)</f>
        <v>2.46165116006348</v>
      </c>
      <c r="D32" s="12" t="n">
        <f aca="false">SUMIFS(Sim_net,Sim_Idx,5,Sim_Scen,SelScen,Sim_N,7)</f>
        <v>4.21660855472572</v>
      </c>
      <c r="E32" s="12" t="n">
        <f aca="false">SUMIFS(Sim_net,Sim_Idx,5,Sim_Scen,SelScen,Sim_N,10)</f>
        <v>7.53825177346379</v>
      </c>
    </row>
    <row r="33" customFormat="false" ht="15" hidden="false" customHeight="false" outlineLevel="0" collapsed="false">
      <c r="A33" s="11" t="str">
        <f aca="false">INDEX(C_Name,6)</f>
        <v>흑석 아크로리버하임 84.75㎡</v>
      </c>
      <c r="B33" s="12" t="n">
        <f aca="false">SUMIFS(Sim_net,Sim_Idx,6,Sim_Scen,SelScen,Sim_N,3)</f>
        <v>1.38392021733771</v>
      </c>
      <c r="C33" s="12" t="n">
        <f aca="false">SUMIFS(Sim_net,Sim_Idx,6,Sim_Scen,SelScen,Sim_N,5)</f>
        <v>3.26314684789367</v>
      </c>
      <c r="D33" s="12" t="n">
        <f aca="false">SUMIFS(Sim_net,Sim_Idx,6,Sim_Scen,SelScen,Sim_N,7)</f>
        <v>5.49305072979301</v>
      </c>
      <c r="E33" s="12" t="n">
        <f aca="false">SUMIFS(Sim_net,Sim_Idx,6,Sim_Scen,SelScen,Sim_N,10)</f>
        <v>9.67780829462109</v>
      </c>
    </row>
    <row r="34" customFormat="false" ht="15" hidden="false" customHeight="false" outlineLevel="0" collapsed="false">
      <c r="A34" s="11" t="str">
        <f aca="false">INDEX(C_Name,7)</f>
        <v>예시 행: 직접 입력</v>
      </c>
      <c r="B34" s="12" t="n">
        <f aca="false">SUMIFS(Sim_net,Sim_Idx,7,Sim_Scen,SelScen,Sim_N,3)</f>
        <v>0.29511690772444</v>
      </c>
      <c r="C34" s="12" t="n">
        <f aca="false">SUMIFS(Sim_net,Sim_Idx,7,Sim_Scen,SelScen,Sim_N,5)</f>
        <v>1.05146740135622</v>
      </c>
      <c r="D34" s="12" t="n">
        <f aca="false">SUMIFS(Sim_net,Sim_Idx,7,Sim_Scen,SelScen,Sim_N,7)</f>
        <v>1.92982764823942</v>
      </c>
      <c r="E34" s="12" t="n">
        <f aca="false">SUMIFS(Sim_net,Sim_Idx,7,Sim_Scen,SelScen,Sim_N,10)</f>
        <v>3.53420371341446</v>
      </c>
    </row>
    <row r="37" customFormat="false" ht="15" hidden="false" customHeight="false" outlineLevel="0" collapsed="false">
      <c r="A37" s="19" t="s">
        <v>51</v>
      </c>
    </row>
    <row r="38" customFormat="false" ht="42" hidden="false" customHeight="true" outlineLevel="0" collapsed="false">
      <c r="A38" s="9" t="s">
        <v>23</v>
      </c>
      <c r="B38" s="10" t="s">
        <v>47</v>
      </c>
      <c r="C38" s="10" t="s">
        <v>48</v>
      </c>
      <c r="D38" s="10" t="s">
        <v>49</v>
      </c>
      <c r="E38" s="10" t="s">
        <v>50</v>
      </c>
    </row>
    <row r="39" customFormat="false" ht="15" hidden="false" customHeight="false" outlineLevel="0" collapsed="false">
      <c r="A39" s="11" t="str">
        <f aca="false">INDEX(C_Name,1)</f>
        <v>문래동 대단지 (단지 미특정, 입력 필요)</v>
      </c>
      <c r="B39" s="14" t="n">
        <f aca="false">SUMIFS(Sim_ctax,Sim_Idx,1,Sim_Scen,SelScen,Sim_N,3)</f>
        <v>0.00535608916069841</v>
      </c>
      <c r="C39" s="14" t="n">
        <f aca="false">SUMIFS(Sim_ctax,Sim_Idx,1,Sim_Scen,SelScen,Sim_N,5)</f>
        <v>0.0253715036029665</v>
      </c>
      <c r="D39" s="14" t="n">
        <f aca="false">SUMIFS(Sim_ctax,Sim_Idx,1,Sim_Scen,SelScen,Sim_N,7)</f>
        <v>0.0469633906609067</v>
      </c>
      <c r="E39" s="14" t="n">
        <f aca="false">SUMIFS(Sim_ctax,Sim_Idx,1,Sim_Scen,SelScen,Sim_N,10)</f>
        <v>0.0440137170010881</v>
      </c>
    </row>
    <row r="40" customFormat="false" ht="15" hidden="false" customHeight="false" outlineLevel="0" collapsed="false">
      <c r="A40" s="11" t="str">
        <f aca="false">INDEX(C_Name,2)</f>
        <v>신길삼성래미안 84㎡</v>
      </c>
      <c r="B40" s="14" t="n">
        <f aca="false">SUMIFS(Sim_ctax,Sim_Idx,2,Sim_Scen,SelScen,Sim_N,3)</f>
        <v>0.00727538427323189</v>
      </c>
      <c r="C40" s="14" t="n">
        <f aca="false">SUMIFS(Sim_ctax,Sim_Idx,2,Sim_Scen,SelScen,Sim_N,5)</f>
        <v>0.0336118058239964</v>
      </c>
      <c r="D40" s="14" t="n">
        <f aca="false">SUMIFS(Sim_ctax,Sim_Idx,2,Sim_Scen,SelScen,Sim_N,7)</f>
        <v>0.0565856772079313</v>
      </c>
      <c r="E40" s="14" t="n">
        <f aca="false">SUMIFS(Sim_ctax,Sim_Idx,2,Sim_Scen,SelScen,Sim_N,10)</f>
        <v>0.0510798196867123</v>
      </c>
    </row>
    <row r="41" customFormat="false" ht="15" hidden="false" customHeight="false" outlineLevel="0" collapsed="false">
      <c r="A41" s="11" t="str">
        <f aca="false">INDEX(C_Name,3)</f>
        <v>신길 래미안에스티움 84㎡</v>
      </c>
      <c r="B41" s="14" t="n">
        <f aca="false">SUMIFS(Sim_ctax,Sim_Idx,3,Sim_Scen,SelScen,Sim_N,3)</f>
        <v>0.0579244983949452</v>
      </c>
      <c r="C41" s="14" t="n">
        <f aca="false">SUMIFS(Sim_ctax,Sim_Idx,3,Sim_Scen,SelScen,Sim_N,5)</f>
        <v>0.164351466706627</v>
      </c>
      <c r="D41" s="14" t="n">
        <f aca="false">SUMIFS(Sim_ctax,Sim_Idx,3,Sim_Scen,SelScen,Sim_N,7)</f>
        <v>0.253542043444936</v>
      </c>
      <c r="E41" s="14" t="n">
        <f aca="false">SUMIFS(Sim_ctax,Sim_Idx,3,Sim_Scen,SelScen,Sim_N,10)</f>
        <v>0.172185698104553</v>
      </c>
    </row>
    <row r="42" customFormat="false" ht="15" hidden="false" customHeight="false" outlineLevel="0" collapsed="false">
      <c r="A42" s="11" t="str">
        <f aca="false">INDEX(C_Name,4)</f>
        <v>신길 보라매SK뷰 84.98㎡</v>
      </c>
      <c r="B42" s="14" t="n">
        <f aca="false">SUMIFS(Sim_ctax,Sim_Idx,4,Sim_Scen,SelScen,Sim_N,3)</f>
        <v>0.0755547356755055</v>
      </c>
      <c r="C42" s="14" t="n">
        <f aca="false">SUMIFS(Sim_ctax,Sim_Idx,4,Sim_Scen,SelScen,Sim_N,5)</f>
        <v>0.223618815389391</v>
      </c>
      <c r="D42" s="14" t="n">
        <f aca="false">SUMIFS(Sim_ctax,Sim_Idx,4,Sim_Scen,SelScen,Sim_N,7)</f>
        <v>0.325265613546753</v>
      </c>
      <c r="E42" s="14" t="n">
        <f aca="false">SUMIFS(Sim_ctax,Sim_Idx,4,Sim_Scen,SelScen,Sim_N,10)</f>
        <v>0.224881251522617</v>
      </c>
    </row>
    <row r="43" customFormat="false" ht="15" hidden="false" customHeight="false" outlineLevel="0" collapsed="false">
      <c r="A43" s="11" t="str">
        <f aca="false">INDEX(C_Name,5)</f>
        <v>본동 래미안트윈파크 (32평형)</v>
      </c>
      <c r="B43" s="14" t="n">
        <f aca="false">SUMIFS(Sim_ctax,Sim_Idx,5,Sim_Scen,SelScen,Sim_N,3)</f>
        <v>0.132790785102659</v>
      </c>
      <c r="C43" s="14" t="n">
        <f aca="false">SUMIFS(Sim_ctax,Sim_Idx,5,Sim_Scen,SelScen,Sim_N,5)</f>
        <v>0.369496095646303</v>
      </c>
      <c r="D43" s="14" t="n">
        <f aca="false">SUMIFS(Sim_ctax,Sim_Idx,5,Sim_Scen,SelScen,Sim_N,7)</f>
        <v>0.503221748076348</v>
      </c>
      <c r="E43" s="14" t="n">
        <f aca="false">SUMIFS(Sim_ctax,Sim_Idx,5,Sim_Scen,SelScen,Sim_N,10)</f>
        <v>0.350060793017384</v>
      </c>
    </row>
    <row r="44" customFormat="false" ht="15" hidden="false" customHeight="false" outlineLevel="0" collapsed="false">
      <c r="A44" s="11" t="str">
        <f aca="false">INDEX(C_Name,6)</f>
        <v>흑석 아크로리버하임 84.75㎡</v>
      </c>
      <c r="B44" s="14" t="n">
        <f aca="false">SUMIFS(Sim_ctax,Sim_Idx,6,Sim_Scen,SelScen,Sim_N,3)</f>
        <v>0.216323767955805</v>
      </c>
      <c r="C44" s="14" t="n">
        <f aca="false">SUMIFS(Sim_ctax,Sim_Idx,6,Sim_Scen,SelScen,Sim_N,5)</f>
        <v>0.555997798235881</v>
      </c>
      <c r="D44" s="14" t="n">
        <f aca="false">SUMIFS(Sim_ctax,Sim_Idx,6,Sim_Scen,SelScen,Sim_N,7)</f>
        <v>0.724846858496464</v>
      </c>
      <c r="E44" s="14" t="n">
        <f aca="false">SUMIFS(Sim_ctax,Sim_Idx,6,Sim_Scen,SelScen,Sim_N,10)</f>
        <v>0.507893404694316</v>
      </c>
    </row>
    <row r="45" customFormat="false" ht="15" hidden="false" customHeight="false" outlineLevel="0" collapsed="false">
      <c r="A45" s="11" t="str">
        <f aca="false">INDEX(C_Name,7)</f>
        <v>예시 행: 직접 입력</v>
      </c>
      <c r="B45" s="14" t="n">
        <f aca="false">SUMIFS(Sim_ctax,Sim_Idx,7,Sim_Scen,SelScen,Sim_N,3)</f>
        <v>0.0134255646974041</v>
      </c>
      <c r="C45" s="14" t="n">
        <f aca="false">SUMIFS(Sim_ctax,Sim_Idx,7,Sim_Scen,SelScen,Sim_N,5)</f>
        <v>0.0501052865219178</v>
      </c>
      <c r="D45" s="14" t="n">
        <f aca="false">SUMIFS(Sim_ctax,Sim_Idx,7,Sim_Scen,SelScen,Sim_N,7)</f>
        <v>0.0801583688080677</v>
      </c>
      <c r="E45" s="14" t="n">
        <f aca="false">SUMIFS(Sim_ctax,Sim_Idx,7,Sim_Scen,SelScen,Sim_N,10)</f>
        <v>0.0652155528392029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52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5" min="12" style="0" width="10"/>
    <col collapsed="false" customWidth="true" hidden="false" outlineLevel="0" max="19" min="16" style="0" width="12"/>
    <col collapsed="false" customWidth="true" hidden="false" outlineLevel="0" max="21" min="20" style="0" width="11"/>
    <col collapsed="false" customWidth="true" hidden="false" outlineLevel="0" max="22" min="22" style="0" width="12"/>
  </cols>
  <sheetData>
    <row r="1" customFormat="false" ht="19.4" hidden="false" customHeight="false" outlineLevel="0" collapsed="false">
      <c r="A1" s="1" t="s">
        <v>52</v>
      </c>
    </row>
    <row r="2" customFormat="false" ht="15" hidden="false" customHeight="false" outlineLevel="0" collapsed="false">
      <c r="A2" s="20" t="s">
        <v>53</v>
      </c>
    </row>
    <row r="5" customFormat="false" ht="42" hidden="false" customHeight="true" outlineLevel="0" collapsed="false">
      <c r="A5" s="9" t="s">
        <v>54</v>
      </c>
      <c r="B5" s="9" t="s">
        <v>55</v>
      </c>
      <c r="C5" s="9" t="s">
        <v>56</v>
      </c>
      <c r="D5" s="9" t="s">
        <v>57</v>
      </c>
      <c r="E5" s="9" t="s">
        <v>58</v>
      </c>
      <c r="F5" s="9" t="s">
        <v>59</v>
      </c>
      <c r="G5" s="9" t="s">
        <v>60</v>
      </c>
      <c r="H5" s="9" t="s">
        <v>61</v>
      </c>
      <c r="I5" s="9" t="s">
        <v>62</v>
      </c>
      <c r="J5" s="9" t="s">
        <v>63</v>
      </c>
      <c r="K5" s="9" t="s">
        <v>64</v>
      </c>
      <c r="L5" s="9" t="s">
        <v>65</v>
      </c>
      <c r="M5" s="9" t="s">
        <v>66</v>
      </c>
      <c r="N5" s="9" t="s">
        <v>67</v>
      </c>
      <c r="O5" s="9" t="s">
        <v>68</v>
      </c>
      <c r="P5" s="9" t="s">
        <v>69</v>
      </c>
      <c r="Q5" s="9" t="s">
        <v>70</v>
      </c>
      <c r="R5" s="9" t="s">
        <v>71</v>
      </c>
      <c r="S5" s="9" t="s">
        <v>72</v>
      </c>
      <c r="T5" s="9" t="s">
        <v>73</v>
      </c>
      <c r="U5" s="9" t="s">
        <v>74</v>
      </c>
      <c r="V5" s="9" t="s">
        <v>31</v>
      </c>
    </row>
    <row r="6" customFormat="false" ht="61.5" hidden="false" customHeight="true" outlineLevel="0" collapsed="false">
      <c r="A6" s="21" t="n">
        <v>1</v>
      </c>
      <c r="B6" s="22" t="s">
        <v>75</v>
      </c>
      <c r="C6" s="23" t="s">
        <v>76</v>
      </c>
      <c r="D6" s="22" t="s">
        <v>77</v>
      </c>
      <c r="E6" s="24" t="n">
        <v>84</v>
      </c>
      <c r="F6" s="25" t="n">
        <v>12.5</v>
      </c>
      <c r="G6" s="26" t="s">
        <v>78</v>
      </c>
      <c r="H6" s="27" t="s">
        <v>79</v>
      </c>
      <c r="I6" s="28" t="n">
        <f aca="false">JeonseRate</f>
        <v>0.52</v>
      </c>
      <c r="J6" s="29" t="n">
        <f aca="false">F6*I6</f>
        <v>6.5</v>
      </c>
      <c r="K6" s="29" t="n">
        <f aca="false">F6-J6</f>
        <v>6</v>
      </c>
      <c r="L6" s="29" t="n">
        <f aca="false">F6*Gongsi</f>
        <v>8.625</v>
      </c>
      <c r="M6" s="29" t="n">
        <f aca="false">MIN(LTV*F6,LOOKUP(F6,LoanLo,LoanCap))</f>
        <v>5</v>
      </c>
      <c r="N6" s="30" t="n">
        <f aca="false">F6*IF(F6&lt;=6,0.01,IF(F6&lt;=9,(F6*2/3-3)/100,0.03))*(1+EduAcq)+IF(E6&gt;85,F6*NongAcqRate,0)</f>
        <v>0.4125</v>
      </c>
      <c r="O6" s="30" t="n">
        <f aca="false">F6*LOOKUP(F6,FeeLo,FeeR)*(1+VAT)+EtcBuy</f>
        <v>0.1025</v>
      </c>
      <c r="P6" s="17" t="n">
        <f aca="false">F6-M6+N6+O6</f>
        <v>8.015</v>
      </c>
      <c r="Q6" s="31" t="str">
        <f aca="false">IF(P6&lt;=Eq1,"가능","부족 "&amp;TEXT(P6-Eq1,"0.0")&amp;"억")</f>
        <v>가능</v>
      </c>
      <c r="R6" s="31" t="str">
        <f aca="false">IF(P6&lt;=Eq2,"가능","부족 "&amp;TEXT(P6-Eq2,"0.0")&amp;"억")</f>
        <v>가능</v>
      </c>
      <c r="S6" s="31" t="str">
        <f aca="false">IF(P6&lt;=Eq3,"가능","부족 "&amp;TEXT(P6-Eq3,"0.0")&amp;"억")</f>
        <v>가능</v>
      </c>
      <c r="T6" s="32" t="n">
        <f aca="false">-PMT(Rm,LoanYears*12,M6)*10000</f>
        <v>238.70764773273</v>
      </c>
      <c r="U6" s="29" t="n">
        <f aca="false">-PMT((Rate+Stress)/12,LoanYears*12,M6)*12/DSR</f>
        <v>0.997953742768775</v>
      </c>
      <c r="V6" s="15" t="n">
        <f aca="false">SUMIFS(Sch_Total,Sch_Idx,A6,Sch_Scen,2,Sch_Year,1)*10000</f>
        <v>214.2</v>
      </c>
    </row>
    <row r="7" customFormat="false" ht="61.5" hidden="false" customHeight="true" outlineLevel="0" collapsed="false">
      <c r="A7" s="21" t="n">
        <v>2</v>
      </c>
      <c r="B7" s="22" t="s">
        <v>80</v>
      </c>
      <c r="C7" s="23" t="s">
        <v>81</v>
      </c>
      <c r="D7" s="22" t="s">
        <v>82</v>
      </c>
      <c r="E7" s="24" t="n">
        <v>84</v>
      </c>
      <c r="F7" s="25" t="n">
        <v>13</v>
      </c>
      <c r="G7" s="33" t="s">
        <v>83</v>
      </c>
      <c r="H7" s="22" t="s">
        <v>84</v>
      </c>
      <c r="I7" s="28" t="n">
        <f aca="false">JeonseRate</f>
        <v>0.52</v>
      </c>
      <c r="J7" s="29" t="n">
        <f aca="false">F7*I7</f>
        <v>6.76</v>
      </c>
      <c r="K7" s="29" t="n">
        <f aca="false">F7-J7</f>
        <v>6.24</v>
      </c>
      <c r="L7" s="29" t="n">
        <f aca="false">F7*Gongsi</f>
        <v>8.97</v>
      </c>
      <c r="M7" s="29" t="n">
        <f aca="false">MIN(LTV*F7,LOOKUP(F7,LoanLo,LoanCap))</f>
        <v>5.2</v>
      </c>
      <c r="N7" s="30" t="n">
        <f aca="false">F7*IF(F7&lt;=6,0.01,IF(F7&lt;=9,(F7*2/3-3)/100,0.03))*(1+EduAcq)+IF(E7&gt;85,F7*NongAcqRate,0)</f>
        <v>0.429</v>
      </c>
      <c r="O7" s="30" t="n">
        <f aca="false">F7*LOOKUP(F7,FeeLo,FeeR)*(1+VAT)+EtcBuy</f>
        <v>0.1058</v>
      </c>
      <c r="P7" s="17" t="n">
        <f aca="false">F7-M7+N7+O7</f>
        <v>8.3348</v>
      </c>
      <c r="Q7" s="31" t="str">
        <f aca="false">IF(P7&lt;=Eq1,"가능","부족 "&amp;TEXT(P7-Eq1,"0.0")&amp;"억")</f>
        <v>가능</v>
      </c>
      <c r="R7" s="31" t="str">
        <f aca="false">IF(P7&lt;=Eq2,"가능","부족 "&amp;TEXT(P7-Eq2,"0.0")&amp;"억")</f>
        <v>가능</v>
      </c>
      <c r="S7" s="31" t="str">
        <f aca="false">IF(P7&lt;=Eq3,"가능","부족 "&amp;TEXT(P7-Eq3,"0.0")&amp;"억")</f>
        <v>가능</v>
      </c>
      <c r="T7" s="32" t="n">
        <f aca="false">-PMT(Rm,LoanYears*12,M7)*10000</f>
        <v>248.255953642039</v>
      </c>
      <c r="U7" s="29" t="n">
        <f aca="false">-PMT((Rate+Stress)/12,LoanYears*12,M7)*12/DSR</f>
        <v>1.03787189247953</v>
      </c>
      <c r="V7" s="15" t="n">
        <f aca="false">SUMIFS(Sch_Total,Sch_Idx,A7,Sch_Scen,2,Sch_Year,1)*10000</f>
        <v>225.792</v>
      </c>
    </row>
    <row r="8" customFormat="false" ht="61.5" hidden="false" customHeight="true" outlineLevel="0" collapsed="false">
      <c r="A8" s="21" t="n">
        <v>3</v>
      </c>
      <c r="B8" s="22" t="s">
        <v>80</v>
      </c>
      <c r="C8" s="23" t="s">
        <v>81</v>
      </c>
      <c r="D8" s="22" t="s">
        <v>85</v>
      </c>
      <c r="E8" s="24" t="n">
        <v>84</v>
      </c>
      <c r="F8" s="25" t="n">
        <v>18.8</v>
      </c>
      <c r="G8" s="33" t="s">
        <v>86</v>
      </c>
      <c r="H8" s="22" t="s">
        <v>84</v>
      </c>
      <c r="I8" s="28" t="n">
        <f aca="false">JeonseRate</f>
        <v>0.52</v>
      </c>
      <c r="J8" s="29" t="n">
        <f aca="false">F8*I8</f>
        <v>9.776</v>
      </c>
      <c r="K8" s="29" t="n">
        <f aca="false">F8-J8</f>
        <v>9.024</v>
      </c>
      <c r="L8" s="29" t="n">
        <f aca="false">F8*Gongsi</f>
        <v>12.972</v>
      </c>
      <c r="M8" s="29" t="n">
        <f aca="false">MIN(LTV*F8,LOOKUP(F8,LoanLo,LoanCap))</f>
        <v>4</v>
      </c>
      <c r="N8" s="30" t="n">
        <f aca="false">F8*IF(F8&lt;=6,0.01,IF(F8&lt;=9,(F8*2/3-3)/100,0.03))*(1+EduAcq)+IF(E8&gt;85,F8*NongAcqRate,0)</f>
        <v>0.6204</v>
      </c>
      <c r="O8" s="30" t="n">
        <f aca="false">F8*LOOKUP(F8,FeeLo,FeeR)*(1+VAT)+EtcBuy</f>
        <v>0.16476</v>
      </c>
      <c r="P8" s="17" t="n">
        <f aca="false">F8-M8+N8+O8</f>
        <v>15.58516</v>
      </c>
      <c r="Q8" s="31" t="str">
        <f aca="false">IF(P8&lt;=Eq1,"가능","부족 "&amp;TEXT(P8-Eq1,"0.0")&amp;"억")</f>
        <v>부족 3.6억</v>
      </c>
      <c r="R8" s="31" t="str">
        <f aca="false">IF(P8&lt;=Eq2,"가능","부족 "&amp;TEXT(P8-Eq2,"0.0")&amp;"억")</f>
        <v>부족 1.6억</v>
      </c>
      <c r="S8" s="31" t="str">
        <f aca="false">IF(P8&lt;=Eq3,"가능","부족 "&amp;TEXT(P8-Eq3,"0.0")&amp;"억")</f>
        <v>가능</v>
      </c>
      <c r="T8" s="32" t="n">
        <f aca="false">-PMT(Rm,LoanYears*12,M8)*10000</f>
        <v>190.966118186184</v>
      </c>
      <c r="U8" s="29" t="n">
        <f aca="false">-PMT((Rate+Stress)/12,LoanYears*12,M8)*12/DSR</f>
        <v>0.79836299421502</v>
      </c>
      <c r="V8" s="15" t="n">
        <f aca="false">SUMIFS(Sch_Total,Sch_Idx,A8,Sch_Scen,2,Sch_Year,1)*10000</f>
        <v>441.9504</v>
      </c>
    </row>
    <row r="9" customFormat="false" ht="61.5" hidden="false" customHeight="true" outlineLevel="0" collapsed="false">
      <c r="A9" s="21" t="n">
        <v>4</v>
      </c>
      <c r="B9" s="22" t="s">
        <v>80</v>
      </c>
      <c r="C9" s="23" t="s">
        <v>81</v>
      </c>
      <c r="D9" s="22" t="s">
        <v>87</v>
      </c>
      <c r="E9" s="24" t="n">
        <v>84.98</v>
      </c>
      <c r="F9" s="25" t="n">
        <v>20.4</v>
      </c>
      <c r="G9" s="33" t="s">
        <v>88</v>
      </c>
      <c r="H9" s="22" t="s">
        <v>89</v>
      </c>
      <c r="I9" s="28" t="n">
        <f aca="false">JeonseRate</f>
        <v>0.52</v>
      </c>
      <c r="J9" s="29" t="n">
        <f aca="false">F9*I9</f>
        <v>10.608</v>
      </c>
      <c r="K9" s="29" t="n">
        <f aca="false">F9-J9</f>
        <v>9.792</v>
      </c>
      <c r="L9" s="29" t="n">
        <f aca="false">F9*Gongsi</f>
        <v>14.076</v>
      </c>
      <c r="M9" s="29" t="n">
        <f aca="false">MIN(LTV*F9,LOOKUP(F9,LoanLo,LoanCap))</f>
        <v>4</v>
      </c>
      <c r="N9" s="30" t="n">
        <f aca="false">F9*IF(F9&lt;=6,0.01,IF(F9&lt;=9,(F9*2/3-3)/100,0.03))*(1+EduAcq)+IF(E9&gt;85,F9*NongAcqRate,0)</f>
        <v>0.6732</v>
      </c>
      <c r="O9" s="30" t="n">
        <f aca="false">F9*LOOKUP(F9,FeeLo,FeeR)*(1+VAT)+EtcBuy</f>
        <v>0.17708</v>
      </c>
      <c r="P9" s="17" t="n">
        <f aca="false">F9-M9+N9+O9</f>
        <v>17.25028</v>
      </c>
      <c r="Q9" s="31" t="str">
        <f aca="false">IF(P9&lt;=Eq1,"가능","부족 "&amp;TEXT(P9-Eq1,"0.0")&amp;"억")</f>
        <v>부족 5.3억</v>
      </c>
      <c r="R9" s="31" t="str">
        <f aca="false">IF(P9&lt;=Eq2,"가능","부족 "&amp;TEXT(P9-Eq2,"0.0")&amp;"억")</f>
        <v>부족 3.3억</v>
      </c>
      <c r="S9" s="31" t="str">
        <f aca="false">IF(P9&lt;=Eq3,"가능","부족 "&amp;TEXT(P9-Eq3,"0.0")&amp;"억")</f>
        <v>부족 1.3억</v>
      </c>
      <c r="T9" s="32" t="n">
        <f aca="false">-PMT(Rm,LoanYears*12,M9)*10000</f>
        <v>190.966118186184</v>
      </c>
      <c r="U9" s="29" t="n">
        <f aca="false">-PMT((Rate+Stress)/12,LoanYears*12,M9)*12/DSR</f>
        <v>0.79836299421502</v>
      </c>
      <c r="V9" s="15" t="n">
        <f aca="false">SUMIFS(Sch_Total,Sch_Idx,A9,Sch_Scen,2,Sch_Year,1)*10000</f>
        <v>522.7632</v>
      </c>
    </row>
    <row r="10" customFormat="false" ht="61.5" hidden="false" customHeight="true" outlineLevel="0" collapsed="false">
      <c r="A10" s="21" t="n">
        <v>5</v>
      </c>
      <c r="B10" s="22" t="s">
        <v>90</v>
      </c>
      <c r="C10" s="23" t="s">
        <v>91</v>
      </c>
      <c r="D10" s="22" t="s">
        <v>92</v>
      </c>
      <c r="E10" s="24" t="n">
        <v>84</v>
      </c>
      <c r="F10" s="25" t="n">
        <v>24.2</v>
      </c>
      <c r="G10" s="26" t="s">
        <v>93</v>
      </c>
      <c r="H10" s="27" t="s">
        <v>94</v>
      </c>
      <c r="I10" s="28" t="n">
        <f aca="false">JeonseRate</f>
        <v>0.52</v>
      </c>
      <c r="J10" s="29" t="n">
        <f aca="false">F10*I10</f>
        <v>12.584</v>
      </c>
      <c r="K10" s="29" t="n">
        <f aca="false">F10-J10</f>
        <v>11.616</v>
      </c>
      <c r="L10" s="29" t="n">
        <f aca="false">F10*Gongsi</f>
        <v>16.698</v>
      </c>
      <c r="M10" s="29" t="n">
        <f aca="false">MIN(LTV*F10,LOOKUP(F10,LoanLo,LoanCap))</f>
        <v>4</v>
      </c>
      <c r="N10" s="30" t="n">
        <f aca="false">F10*IF(F10&lt;=6,0.01,IF(F10&lt;=9,(F10*2/3-3)/100,0.03))*(1+EduAcq)+IF(E10&gt;85,F10*NongAcqRate,0)</f>
        <v>0.7986</v>
      </c>
      <c r="O10" s="30" t="n">
        <f aca="false">F10*LOOKUP(F10,FeeLo,FeeR)*(1+VAT)+EtcBuy</f>
        <v>0.20634</v>
      </c>
      <c r="P10" s="17" t="n">
        <f aca="false">F10-M10+N10+O10</f>
        <v>21.20494</v>
      </c>
      <c r="Q10" s="31" t="str">
        <f aca="false">IF(P10&lt;=Eq1,"가능","부족 "&amp;TEXT(P10-Eq1,"0.0")&amp;"억")</f>
        <v>부족 9.2억</v>
      </c>
      <c r="R10" s="31" t="str">
        <f aca="false">IF(P10&lt;=Eq2,"가능","부족 "&amp;TEXT(P10-Eq2,"0.0")&amp;"억")</f>
        <v>부족 7.2억</v>
      </c>
      <c r="S10" s="31" t="str">
        <f aca="false">IF(P10&lt;=Eq3,"가능","부족 "&amp;TEXT(P10-Eq3,"0.0")&amp;"억")</f>
        <v>부족 5.2억</v>
      </c>
      <c r="T10" s="32" t="n">
        <f aca="false">-PMT(Rm,LoanYears*12,M10)*10000</f>
        <v>190.966118186184</v>
      </c>
      <c r="U10" s="29" t="n">
        <f aca="false">-PMT((Rate+Stress)/12,LoanYears*12,M10)*12/DSR</f>
        <v>0.79836299421502</v>
      </c>
      <c r="V10" s="15" t="n">
        <f aca="false">SUMIFS(Sch_Total,Sch_Idx,A10,Sch_Scen,2,Sch_Year,1)*10000</f>
        <v>714.6936</v>
      </c>
    </row>
    <row r="11" customFormat="false" ht="61.5" hidden="false" customHeight="true" outlineLevel="0" collapsed="false">
      <c r="A11" s="21" t="n">
        <v>6</v>
      </c>
      <c r="B11" s="22" t="s">
        <v>95</v>
      </c>
      <c r="C11" s="23" t="s">
        <v>96</v>
      </c>
      <c r="D11" s="22" t="s">
        <v>97</v>
      </c>
      <c r="E11" s="24" t="n">
        <v>84.75</v>
      </c>
      <c r="F11" s="25" t="n">
        <v>28.75</v>
      </c>
      <c r="G11" s="33" t="s">
        <v>98</v>
      </c>
      <c r="H11" s="22" t="s">
        <v>99</v>
      </c>
      <c r="I11" s="28" t="n">
        <f aca="false">JeonseRate</f>
        <v>0.52</v>
      </c>
      <c r="J11" s="29" t="n">
        <f aca="false">F11*I11</f>
        <v>14.95</v>
      </c>
      <c r="K11" s="29" t="n">
        <f aca="false">F11-J11</f>
        <v>13.8</v>
      </c>
      <c r="L11" s="29" t="n">
        <f aca="false">F11*Gongsi</f>
        <v>19.8375</v>
      </c>
      <c r="M11" s="29" t="n">
        <f aca="false">MIN(LTV*F11,LOOKUP(F11,LoanLo,LoanCap))</f>
        <v>2</v>
      </c>
      <c r="N11" s="30" t="n">
        <f aca="false">F11*IF(F11&lt;=6,0.01,IF(F11&lt;=9,(F11*2/3-3)/100,0.03))*(1+EduAcq)+IF(E11&gt;85,F11*NongAcqRate,0)</f>
        <v>0.94875</v>
      </c>
      <c r="O11" s="30" t="n">
        <f aca="false">F11*LOOKUP(F11,FeeLo,FeeR)*(1+VAT)+EtcBuy</f>
        <v>0.241375</v>
      </c>
      <c r="P11" s="17" t="n">
        <f aca="false">F11-M11+N11+O11</f>
        <v>27.940125</v>
      </c>
      <c r="Q11" s="31" t="str">
        <f aca="false">IF(P11&lt;=Eq1,"가능","부족 "&amp;TEXT(P11-Eq1,"0.0")&amp;"억")</f>
        <v>부족 15.9억</v>
      </c>
      <c r="R11" s="31" t="str">
        <f aca="false">IF(P11&lt;=Eq2,"가능","부족 "&amp;TEXT(P11-Eq2,"0.0")&amp;"억")</f>
        <v>부족 13.9억</v>
      </c>
      <c r="S11" s="31" t="str">
        <f aca="false">IF(P11&lt;=Eq3,"가능","부족 "&amp;TEXT(P11-Eq3,"0.0")&amp;"억")</f>
        <v>부족 11.9억</v>
      </c>
      <c r="T11" s="32" t="n">
        <f aca="false">-PMT(Rm,LoanYears*12,M11)*10000</f>
        <v>95.4830590930919</v>
      </c>
      <c r="U11" s="29" t="n">
        <f aca="false">-PMT((Rate+Stress)/12,LoanYears*12,M11)*12/DSR</f>
        <v>0.39918149710751</v>
      </c>
      <c r="V11" s="15" t="n">
        <f aca="false">SUMIFS(Sch_Total,Sch_Idx,A11,Sch_Scen,2,Sch_Year,1)*10000</f>
        <v>985.365</v>
      </c>
    </row>
    <row r="12" customFormat="false" ht="61.5" hidden="false" customHeight="true" outlineLevel="0" collapsed="false">
      <c r="A12" s="21" t="n">
        <v>7</v>
      </c>
      <c r="B12" s="23" t="s">
        <v>100</v>
      </c>
      <c r="C12" s="23" t="s">
        <v>101</v>
      </c>
      <c r="D12" s="22" t="s">
        <v>102</v>
      </c>
      <c r="E12" s="24" t="n">
        <v>84</v>
      </c>
      <c r="F12" s="25" t="n">
        <v>14</v>
      </c>
      <c r="G12" s="26" t="s">
        <v>103</v>
      </c>
      <c r="H12" s="27" t="s">
        <v>104</v>
      </c>
      <c r="I12" s="28" t="n">
        <f aca="false">JeonseRate</f>
        <v>0.52</v>
      </c>
      <c r="J12" s="29" t="n">
        <f aca="false">F12*I12</f>
        <v>7.28</v>
      </c>
      <c r="K12" s="29" t="n">
        <f aca="false">F12-J12</f>
        <v>6.72</v>
      </c>
      <c r="L12" s="29" t="n">
        <f aca="false">F12*Gongsi</f>
        <v>9.66</v>
      </c>
      <c r="M12" s="29" t="n">
        <f aca="false">MIN(LTV*F12,LOOKUP(F12,LoanLo,LoanCap))</f>
        <v>5.6</v>
      </c>
      <c r="N12" s="30" t="n">
        <f aca="false">F12*IF(F12&lt;=6,0.01,IF(F12&lt;=9,(F12*2/3-3)/100,0.03))*(1+EduAcq)+IF(E12&gt;85,F12*NongAcqRate,0)</f>
        <v>0.462</v>
      </c>
      <c r="O12" s="30" t="n">
        <f aca="false">F12*LOOKUP(F12,FeeLo,FeeR)*(1+VAT)+EtcBuy</f>
        <v>0.1124</v>
      </c>
      <c r="P12" s="17" t="n">
        <f aca="false">F12-M12+N12+O12</f>
        <v>8.9744</v>
      </c>
      <c r="Q12" s="31" t="str">
        <f aca="false">IF(P12&lt;=Eq1,"가능","부족 "&amp;TEXT(P12-Eq1,"0.0")&amp;"억")</f>
        <v>가능</v>
      </c>
      <c r="R12" s="31" t="str">
        <f aca="false">IF(P12&lt;=Eq2,"가능","부족 "&amp;TEXT(P12-Eq2,"0.0")&amp;"억")</f>
        <v>가능</v>
      </c>
      <c r="S12" s="31" t="str">
        <f aca="false">IF(P12&lt;=Eq3,"가능","부족 "&amp;TEXT(P12-Eq3,"0.0")&amp;"억")</f>
        <v>가능</v>
      </c>
      <c r="T12" s="32" t="n">
        <f aca="false">-PMT(Rm,LoanYears*12,M12)*10000</f>
        <v>267.352565460657</v>
      </c>
      <c r="U12" s="29" t="n">
        <f aca="false">-PMT((Rate+Stress)/12,LoanYears*12,M12)*12/DSR</f>
        <v>1.11770819190103</v>
      </c>
      <c r="V12" s="15" t="n">
        <f aca="false">SUMIFS(Sch_Total,Sch_Idx,A12,Sch_Scen,2,Sch_Year,1)*10000</f>
        <v>283.752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1" min="3" style="0" width="11"/>
  </cols>
  <sheetData>
    <row r="1" customFormat="false" ht="19.4" hidden="false" customHeight="false" outlineLevel="0" collapsed="false">
      <c r="A1" s="34" t="s">
        <v>105</v>
      </c>
    </row>
    <row r="2" customFormat="false" ht="15" hidden="false" customHeight="false" outlineLevel="0" collapsed="false">
      <c r="A2" s="35" t="s">
        <v>106</v>
      </c>
    </row>
    <row r="4" customFormat="false" ht="42" hidden="false" customHeight="true" outlineLevel="0" collapsed="false">
      <c r="A4" s="9" t="s">
        <v>107</v>
      </c>
      <c r="B4" s="9" t="s">
        <v>23</v>
      </c>
      <c r="C4" s="9" t="s">
        <v>108</v>
      </c>
      <c r="D4" s="9" t="s">
        <v>21</v>
      </c>
      <c r="E4" s="9" t="s">
        <v>109</v>
      </c>
      <c r="F4" s="9" t="s">
        <v>110</v>
      </c>
      <c r="G4" s="9" t="s">
        <v>111</v>
      </c>
      <c r="H4" s="9" t="s">
        <v>30</v>
      </c>
      <c r="I4" s="9" t="s">
        <v>112</v>
      </c>
      <c r="J4" s="9" t="s">
        <v>25</v>
      </c>
      <c r="K4" s="9" t="s">
        <v>113</v>
      </c>
      <c r="L4" s="9" t="s">
        <v>114</v>
      </c>
      <c r="M4" s="9" t="s">
        <v>115</v>
      </c>
      <c r="N4" s="9" t="s">
        <v>116</v>
      </c>
      <c r="O4" s="9" t="s">
        <v>117</v>
      </c>
      <c r="P4" s="9" t="s">
        <v>32</v>
      </c>
      <c r="Q4" s="9" t="s">
        <v>118</v>
      </c>
      <c r="R4" s="9" t="s">
        <v>119</v>
      </c>
      <c r="S4" s="9" t="s">
        <v>120</v>
      </c>
      <c r="T4" s="9" t="s">
        <v>121</v>
      </c>
      <c r="U4" s="9" t="s">
        <v>122</v>
      </c>
      <c r="V4" s="9" t="s">
        <v>123</v>
      </c>
      <c r="W4" s="9" t="s">
        <v>124</v>
      </c>
      <c r="X4" s="9" t="s">
        <v>125</v>
      </c>
      <c r="Y4" s="9" t="s">
        <v>37</v>
      </c>
      <c r="Z4" s="9" t="s">
        <v>126</v>
      </c>
      <c r="AA4" s="9" t="s">
        <v>127</v>
      </c>
      <c r="AB4" s="9" t="s">
        <v>128</v>
      </c>
      <c r="AC4" s="9" t="s">
        <v>40</v>
      </c>
      <c r="AD4" s="9" t="s">
        <v>129</v>
      </c>
      <c r="AE4" s="9" t="s">
        <v>130</v>
      </c>
    </row>
    <row r="5" customFormat="false" ht="15" hidden="false" customHeight="false" outlineLevel="0" collapsed="false">
      <c r="A5" s="21" t="n">
        <v>1</v>
      </c>
      <c r="B5" s="14" t="str">
        <f aca="false">INDEX(C_Name,A5)</f>
        <v>문래동 대단지 (단지 미특정, 입력 필요)</v>
      </c>
      <c r="C5" s="21" t="n">
        <v>1</v>
      </c>
      <c r="D5" s="8" t="n">
        <f aca="false">CHOOSE(C5,G1,G2,G3)</f>
        <v>0.02</v>
      </c>
      <c r="E5" s="21" t="n">
        <v>3</v>
      </c>
      <c r="F5" s="21" t="n">
        <f aca="false">MAX(0,E5-NonRes)</f>
        <v>3</v>
      </c>
      <c r="G5" s="14" t="n">
        <f aca="false">INDEX(C_Price,A5)</f>
        <v>12.5</v>
      </c>
      <c r="H5" s="14" t="n">
        <f aca="false">INDEX(C_Acq,A5)</f>
        <v>0.4125</v>
      </c>
      <c r="I5" s="14" t="n">
        <f aca="false">INDEX(C_Fee,A5)</f>
        <v>0.1025</v>
      </c>
      <c r="J5" s="14" t="n">
        <f aca="false">INDEX(C_Loan,A5)</f>
        <v>5</v>
      </c>
      <c r="K5" s="30" t="n">
        <f aca="false">G5-J5+H5+I5</f>
        <v>8.015</v>
      </c>
      <c r="L5" s="30" t="n">
        <f aca="false">G5*(1+D5)^E5</f>
        <v>13.2651</v>
      </c>
      <c r="M5" s="30" t="n">
        <f aca="false">L5*LOOKUP(L5,FeeLo,FeeR)*(1+VAT)</f>
        <v>0.08754966</v>
      </c>
      <c r="N5" s="30" t="n">
        <f aca="false">-CUMIPMT(Rm,LoanYears*12,J5,1,E5*12,0)</f>
        <v>0.584283810766211</v>
      </c>
      <c r="O5" s="30" t="n">
        <f aca="false">J5*(1+Rm)^(E5*12)-(J5*Rm/(1-(1+Rm)^(-LoanYears*12)))*((1+Rm)^(E5*12)-1)/Rm</f>
        <v>4.72493627892839</v>
      </c>
      <c r="P5" s="16" t="n">
        <f aca="false">SUMIFS(Sch_Total,Sch_Idx,A5,Sch_Scen,C5,Sch_Year,"&lt;="&amp;E5)</f>
        <v>0.066010392</v>
      </c>
      <c r="Q5" s="30" t="n">
        <f aca="false">H5+I5+M5</f>
        <v>0.60254966</v>
      </c>
      <c r="R5" s="30" t="n">
        <f aca="false">L5-G5-Q5</f>
        <v>0.162550340000002</v>
      </c>
      <c r="S5" s="30" t="n">
        <f aca="false">MAX(0,IF(F5&gt;=2,IF(L5&gt;Exempt,R5*(L5-Exempt)/L5,0),R5))</f>
        <v>0.015502516764593</v>
      </c>
      <c r="T5" s="8" t="n">
        <f aca="false">IF(F5&gt;=2,MIN(MaxDed,MIN(0.4,HoldRate*E5)+MIN(0.4,LiveRate*F5)),IF(E5&gt;=3,MIN(0.3,0.02*E5),0))</f>
        <v>0.24</v>
      </c>
      <c r="U5" s="30" t="n">
        <f aca="false">S5*(1-T5)</f>
        <v>0.0117819127410907</v>
      </c>
      <c r="V5" s="30" t="n">
        <f aca="false">MAX(0,U5-InitDed)</f>
        <v>0</v>
      </c>
      <c r="W5" s="16" t="n">
        <f aca="false">SUMPRODUCT((V5&gt;CLo)*(V5-CLo)*CD)*(1+LocalTax)</f>
        <v>0</v>
      </c>
      <c r="X5" s="30" t="n">
        <f aca="false">H5+P5+W5</f>
        <v>0.478510392</v>
      </c>
      <c r="Y5" s="16" t="n">
        <f aca="false">(L5-G5)-H5-I5-M5-N5-P5-W5</f>
        <v>-0.487743862766209</v>
      </c>
      <c r="Z5" s="8" t="n">
        <f aca="false">Y5/K5</f>
        <v>-0.0608538818173685</v>
      </c>
      <c r="AA5" s="8" t="n">
        <f aca="false">IF(1+Z5&gt;0,(1+Z5)^(1/E5)-1,-1)</f>
        <v>-0.0207105948900266</v>
      </c>
      <c r="AB5" s="30" t="n">
        <f aca="false">L5-O5-M5-W5</f>
        <v>8.45261406107161</v>
      </c>
      <c r="AC5" s="29" t="n">
        <f aca="false">AB5/K5</f>
        <v>1.05459938378935</v>
      </c>
      <c r="AD5" s="30" t="n">
        <f aca="false">K5*((1+DepRate*(1-DepTax))^E5-1)</f>
        <v>0.625881584402748</v>
      </c>
      <c r="AE5" s="30" t="n">
        <f aca="false">Y5-AD5</f>
        <v>-1.11362544716896</v>
      </c>
    </row>
    <row r="6" customFormat="false" ht="15" hidden="false" customHeight="false" outlineLevel="0" collapsed="false">
      <c r="A6" s="21" t="n">
        <v>1</v>
      </c>
      <c r="B6" s="14" t="str">
        <f aca="false">INDEX(C_Name,A6)</f>
        <v>문래동 대단지 (단지 미특정, 입력 필요)</v>
      </c>
      <c r="C6" s="21" t="n">
        <v>1</v>
      </c>
      <c r="D6" s="8" t="n">
        <f aca="false">CHOOSE(C6,G1,G2,G3)</f>
        <v>0.02</v>
      </c>
      <c r="E6" s="21" t="n">
        <v>5</v>
      </c>
      <c r="F6" s="21" t="n">
        <f aca="false">MAX(0,E6-NonRes)</f>
        <v>5</v>
      </c>
      <c r="G6" s="14" t="n">
        <f aca="false">INDEX(C_Price,A6)</f>
        <v>12.5</v>
      </c>
      <c r="H6" s="14" t="n">
        <f aca="false">INDEX(C_Acq,A6)</f>
        <v>0.4125</v>
      </c>
      <c r="I6" s="14" t="n">
        <f aca="false">INDEX(C_Fee,A6)</f>
        <v>0.1025</v>
      </c>
      <c r="J6" s="14" t="n">
        <f aca="false">INDEX(C_Loan,A6)</f>
        <v>5</v>
      </c>
      <c r="K6" s="30" t="n">
        <f aca="false">G6-J6+H6+I6</f>
        <v>8.015</v>
      </c>
      <c r="L6" s="30" t="n">
        <f aca="false">G6*(1+D6)^E6</f>
        <v>13.80101004</v>
      </c>
      <c r="M6" s="30" t="n">
        <f aca="false">L6*LOOKUP(L6,FeeLo,FeeR)*(1+VAT)</f>
        <v>0.091086666264</v>
      </c>
      <c r="N6" s="30" t="n">
        <f aca="false">-CUMIPMT(Rm,LoanYears*12,J6,1,E6*12,0)</f>
        <v>0.954621543200925</v>
      </c>
      <c r="O6" s="30" t="n">
        <f aca="false">J6*(1+Rm)^(E6*12)-(J6*Rm/(1-(1+Rm)^(-LoanYears*12)))*((1+Rm)^(E6*12)-1)/Rm</f>
        <v>4.52237565680456</v>
      </c>
      <c r="P6" s="16" t="n">
        <f aca="false">SUMIFS(Sch_Total,Sch_Idx,A6,Sch_Scen,C6,Sch_Year,"&lt;="&amp;E6)</f>
        <v>0.1196690865336</v>
      </c>
      <c r="Q6" s="30" t="n">
        <f aca="false">H6+I6+M6</f>
        <v>0.606086666264</v>
      </c>
      <c r="R6" s="30" t="n">
        <f aca="false">L6-G6-Q6</f>
        <v>0.694923373736</v>
      </c>
      <c r="S6" s="30" t="n">
        <f aca="false">MAX(0,IF(F6&gt;=2,IF(L6&gt;Exempt,R6*(L6-Exempt)/L6,0),R6))</f>
        <v>0.0906864040749011</v>
      </c>
      <c r="T6" s="8" t="n">
        <f aca="false">IF(F6&gt;=2,MIN(MaxDed,MIN(0.4,HoldRate*E6)+MIN(0.4,LiveRate*F6)),IF(E6&gt;=3,MIN(0.3,0.02*E6),0))</f>
        <v>0.4</v>
      </c>
      <c r="U6" s="30" t="n">
        <f aca="false">S6*(1-T6)</f>
        <v>0.0544118424449407</v>
      </c>
      <c r="V6" s="30" t="n">
        <f aca="false">MAX(0,U6-InitDed)</f>
        <v>0.0294118424449407</v>
      </c>
      <c r="W6" s="16" t="n">
        <f aca="false">SUMPRODUCT((V6&gt;CLo)*(V6-CLo)*CD)*(1+LocalTax)</f>
        <v>0.00194118160136608</v>
      </c>
      <c r="X6" s="30" t="n">
        <f aca="false">H6+P6+W6</f>
        <v>0.534110268134966</v>
      </c>
      <c r="Y6" s="16" t="n">
        <f aca="false">(L6-G6)-H6-I6-M6-N6-P6-W6</f>
        <v>-0.381308437599892</v>
      </c>
      <c r="Z6" s="8" t="n">
        <f aca="false">Y6/K6</f>
        <v>-0.047574352788508</v>
      </c>
      <c r="AA6" s="8" t="n">
        <f aca="false">IF(1+Z6&gt;0,(1+Z6)^(1/E6)-1,-1)</f>
        <v>-0.00970128311585061</v>
      </c>
      <c r="AB6" s="30" t="n">
        <f aca="false">L6-O6-M6-W6</f>
        <v>9.18560653533008</v>
      </c>
      <c r="AC6" s="29" t="n">
        <f aca="false">AB6/K6</f>
        <v>1.1460519694735</v>
      </c>
      <c r="AD6" s="30" t="n">
        <f aca="false">K6*((1+DepRate*(1-DepTax))^E6-1)</f>
        <v>1.07005870911069</v>
      </c>
      <c r="AE6" s="30" t="n">
        <f aca="false">Y6-AD6</f>
        <v>-1.45136714671058</v>
      </c>
    </row>
    <row r="7" customFormat="false" ht="15" hidden="false" customHeight="false" outlineLevel="0" collapsed="false">
      <c r="A7" s="21" t="n">
        <v>1</v>
      </c>
      <c r="B7" s="14" t="str">
        <f aca="false">INDEX(C_Name,A7)</f>
        <v>문래동 대단지 (단지 미특정, 입력 필요)</v>
      </c>
      <c r="C7" s="21" t="n">
        <v>1</v>
      </c>
      <c r="D7" s="8" t="n">
        <f aca="false">CHOOSE(C7,G1,G2,G3)</f>
        <v>0.02</v>
      </c>
      <c r="E7" s="21" t="n">
        <v>7</v>
      </c>
      <c r="F7" s="21" t="n">
        <f aca="false">MAX(0,E7-NonRes)</f>
        <v>7</v>
      </c>
      <c r="G7" s="14" t="n">
        <f aca="false">INDEX(C_Price,A7)</f>
        <v>12.5</v>
      </c>
      <c r="H7" s="14" t="n">
        <f aca="false">INDEX(C_Acq,A7)</f>
        <v>0.4125</v>
      </c>
      <c r="I7" s="14" t="n">
        <f aca="false">INDEX(C_Fee,A7)</f>
        <v>0.1025</v>
      </c>
      <c r="J7" s="14" t="n">
        <f aca="false">INDEX(C_Loan,A7)</f>
        <v>5</v>
      </c>
      <c r="K7" s="30" t="n">
        <f aca="false">G7-J7+H7+I7</f>
        <v>8.015</v>
      </c>
      <c r="L7" s="30" t="n">
        <f aca="false">G7*(1+D7)^E7</f>
        <v>14.358570845616</v>
      </c>
      <c r="M7" s="30" t="n">
        <f aca="false">L7*LOOKUP(L7,FeeLo,FeeR)*(1+VAT)</f>
        <v>0.0947665675810656</v>
      </c>
      <c r="N7" s="30" t="n">
        <f aca="false">-CUMIPMT(Rm,LoanYears*12,J7,1,E7*12,0)</f>
        <v>1.30811778610316</v>
      </c>
      <c r="O7" s="30" t="n">
        <f aca="false">J7*(1+Rm)^(E7*12)-(J7*Rm/(1-(1+Rm)^(-LoanYears*12)))*((1+Rm)^(E7*12)-1)/Rm</f>
        <v>4.30297354514824</v>
      </c>
      <c r="P7" s="16" t="n">
        <f aca="false">SUMIFS(Sch_Total,Sch_Idx,A7,Sch_Scen,C7,Sch_Year,"&lt;="&amp;E7)</f>
        <v>0.176106440326357</v>
      </c>
      <c r="Q7" s="30" t="n">
        <f aca="false">H7+I7+M7</f>
        <v>0.609766567581066</v>
      </c>
      <c r="R7" s="30" t="n">
        <f aca="false">L7-G7-Q7</f>
        <v>1.24880427803493</v>
      </c>
      <c r="S7" s="30" t="n">
        <f aca="false">MAX(0,IF(F7&gt;=2,IF(L7&gt;Exempt,R7*(L7-Exempt)/L7,0),R7))</f>
        <v>0.205131373708619</v>
      </c>
      <c r="T7" s="8" t="n">
        <f aca="false">IF(F7&gt;=2,MIN(MaxDed,MIN(0.4,HoldRate*E7)+MIN(0.4,LiveRate*F7)),IF(E7&gt;=3,MIN(0.3,0.02*E7),0))</f>
        <v>0.56</v>
      </c>
      <c r="U7" s="30" t="n">
        <f aca="false">S7*(1-T7)</f>
        <v>0.0902578044317923</v>
      </c>
      <c r="V7" s="30" t="n">
        <f aca="false">MAX(0,U7-InitDed)</f>
        <v>0.0652578044317923</v>
      </c>
      <c r="W7" s="16" t="n">
        <f aca="false">SUMPRODUCT((V7&gt;CLo)*(V7-CLo)*CD)*(1+LocalTax)</f>
        <v>0.00430701509249829</v>
      </c>
      <c r="X7" s="30" t="n">
        <f aca="false">H7+P7+W7</f>
        <v>0.592913455418856</v>
      </c>
      <c r="Y7" s="16" t="n">
        <f aca="false">(L7-G7)-H7-I7-M7-N7-P7-W7</f>
        <v>-0.239726963487084</v>
      </c>
      <c r="Z7" s="8" t="n">
        <f aca="false">Y7/K7</f>
        <v>-0.0299097895804222</v>
      </c>
      <c r="AA7" s="8" t="n">
        <f aca="false">IF(1+Z7&gt;0,(1+Z7)^(1/E7)-1,-1)</f>
        <v>-0.0043286345347705</v>
      </c>
      <c r="AB7" s="30" t="n">
        <f aca="false">L7-O7-M7-W7</f>
        <v>9.95652371779419</v>
      </c>
      <c r="AC7" s="29" t="n">
        <f aca="false">AB7/K7</f>
        <v>1.24223627171481</v>
      </c>
      <c r="AD7" s="30" t="n">
        <f aca="false">K7*((1+DepRate*(1-DepTax))^E7-1)</f>
        <v>1.53706837887629</v>
      </c>
      <c r="AE7" s="30" t="n">
        <f aca="false">Y7-AD7</f>
        <v>-1.77679534236337</v>
      </c>
    </row>
    <row r="8" customFormat="false" ht="15" hidden="false" customHeight="false" outlineLevel="0" collapsed="false">
      <c r="A8" s="21" t="n">
        <v>1</v>
      </c>
      <c r="B8" s="14" t="str">
        <f aca="false">INDEX(C_Name,A8)</f>
        <v>문래동 대단지 (단지 미특정, 입력 필요)</v>
      </c>
      <c r="C8" s="21" t="n">
        <v>1</v>
      </c>
      <c r="D8" s="8" t="n">
        <f aca="false">CHOOSE(C8,G1,G2,G3)</f>
        <v>0.02</v>
      </c>
      <c r="E8" s="21" t="n">
        <v>10</v>
      </c>
      <c r="F8" s="21" t="n">
        <f aca="false">MAX(0,E8-NonRes)</f>
        <v>10</v>
      </c>
      <c r="G8" s="14" t="n">
        <f aca="false">INDEX(C_Price,A8)</f>
        <v>12.5</v>
      </c>
      <c r="H8" s="14" t="n">
        <f aca="false">INDEX(C_Acq,A8)</f>
        <v>0.4125</v>
      </c>
      <c r="I8" s="14" t="n">
        <f aca="false">INDEX(C_Fee,A8)</f>
        <v>0.1025</v>
      </c>
      <c r="J8" s="14" t="n">
        <f aca="false">INDEX(C_Loan,A8)</f>
        <v>5</v>
      </c>
      <c r="K8" s="30" t="n">
        <f aca="false">G8-J8+H8+I8</f>
        <v>8.015</v>
      </c>
      <c r="L8" s="30" t="n">
        <f aca="false">G8*(1+D8)^E8</f>
        <v>15.2374302499345</v>
      </c>
      <c r="M8" s="30" t="n">
        <f aca="false">L8*LOOKUP(L8,FeeLo,FeeR)*(1+VAT)</f>
        <v>0.117328212924495</v>
      </c>
      <c r="N8" s="30" t="n">
        <f aca="false">-CUMIPMT(Rm,LoanYears*12,J8,1,E8*12,0)</f>
        <v>1.80368973337181</v>
      </c>
      <c r="O8" s="30" t="n">
        <f aca="false">J8*(1+Rm)^(E8*12)-(J8*Rm/(1-(1+Rm)^(-LoanYears*12)))*((1+Rm)^(E8*12)-1)/Rm</f>
        <v>3.93919796057907</v>
      </c>
      <c r="P8" s="16" t="n">
        <f aca="false">SUMIFS(Sch_Total,Sch_Idx,A8,Sch_Scen,C8,Sch_Year,"&lt;="&amp;E8)</f>
        <v>0.266219256276589</v>
      </c>
      <c r="Q8" s="30" t="n">
        <f aca="false">H8+I8+M8</f>
        <v>0.632328212924495</v>
      </c>
      <c r="R8" s="30" t="n">
        <f aca="false">L8-G8-Q8</f>
        <v>2.10510203700997</v>
      </c>
      <c r="S8" s="30" t="n">
        <f aca="false">MAX(0,IF(F8&gt;=2,IF(L8&gt;Exempt,R8*(L8-Exempt)/L8,0),R8))</f>
        <v>0.447261834970109</v>
      </c>
      <c r="T8" s="8" t="n">
        <f aca="false">IF(F8&gt;=2,MIN(MaxDed,MIN(0.4,HoldRate*E8)+MIN(0.4,LiveRate*F8)),IF(E8&gt;=3,MIN(0.3,0.02*E8),0))</f>
        <v>0.8</v>
      </c>
      <c r="U8" s="30" t="n">
        <f aca="false">S8*(1-T8)</f>
        <v>0.0894523669940219</v>
      </c>
      <c r="V8" s="30" t="n">
        <f aca="false">MAX(0,U8-InitDed)</f>
        <v>0.0644523669940219</v>
      </c>
      <c r="W8" s="16" t="n">
        <f aca="false">SUMPRODUCT((V8&gt;CLo)*(V8-CLo)*CD)*(1+LocalTax)</f>
        <v>0.00425385622160544</v>
      </c>
      <c r="X8" s="30" t="n">
        <f aca="false">H8+P8+W8</f>
        <v>0.682973112498195</v>
      </c>
      <c r="Y8" s="16" t="n">
        <f aca="false">(L8-G8)-H8-I8-M8-N8-P8-W8</f>
        <v>0.0309391911399632</v>
      </c>
      <c r="Z8" s="8" t="n">
        <f aca="false">Y8/K8</f>
        <v>0.00386016109045081</v>
      </c>
      <c r="AA8" s="8" t="n">
        <f aca="false">IF(1+Z8&gt;0,(1+Z8)^(1/E8)-1,-1)</f>
        <v>0.000385347205817288</v>
      </c>
      <c r="AB8" s="30" t="n">
        <f aca="false">L8-O8-M8-W8</f>
        <v>11.1766502202093</v>
      </c>
      <c r="AC8" s="29" t="n">
        <f aca="false">AB8/K8</f>
        <v>1.39446665255263</v>
      </c>
      <c r="AD8" s="30" t="n">
        <f aca="false">K8*((1+DepRate*(1-DepTax))^E8-1)</f>
        <v>2.28297776019812</v>
      </c>
      <c r="AE8" s="30" t="n">
        <f aca="false">Y8-AD8</f>
        <v>-2.25203856905816</v>
      </c>
    </row>
    <row r="9" customFormat="false" ht="15" hidden="false" customHeight="false" outlineLevel="0" collapsed="false">
      <c r="A9" s="21" t="n">
        <v>1</v>
      </c>
      <c r="B9" s="14" t="str">
        <f aca="false">INDEX(C_Name,A9)</f>
        <v>문래동 대단지 (단지 미특정, 입력 필요)</v>
      </c>
      <c r="C9" s="21" t="n">
        <v>2</v>
      </c>
      <c r="D9" s="8" t="n">
        <f aca="false">CHOOSE(C9,G1,G2,G3)</f>
        <v>0.04</v>
      </c>
      <c r="E9" s="21" t="n">
        <v>3</v>
      </c>
      <c r="F9" s="21" t="n">
        <f aca="false">MAX(0,E9-NonRes)</f>
        <v>3</v>
      </c>
      <c r="G9" s="14" t="n">
        <f aca="false">INDEX(C_Price,A9)</f>
        <v>12.5</v>
      </c>
      <c r="H9" s="14" t="n">
        <f aca="false">INDEX(C_Acq,A9)</f>
        <v>0.4125</v>
      </c>
      <c r="I9" s="14" t="n">
        <f aca="false">INDEX(C_Fee,A9)</f>
        <v>0.1025</v>
      </c>
      <c r="J9" s="14" t="n">
        <f aca="false">INDEX(C_Loan,A9)</f>
        <v>5</v>
      </c>
      <c r="K9" s="30" t="n">
        <f aca="false">G9-J9+H9+I9</f>
        <v>8.015</v>
      </c>
      <c r="L9" s="30" t="n">
        <f aca="false">G9*(1+D9)^E9</f>
        <v>14.0608</v>
      </c>
      <c r="M9" s="30" t="n">
        <f aca="false">L9*LOOKUP(L9,FeeLo,FeeR)*(1+VAT)</f>
        <v>0.09280128</v>
      </c>
      <c r="N9" s="30" t="n">
        <f aca="false">-CUMIPMT(Rm,LoanYears*12,J9,1,E9*12,0)</f>
        <v>0.584283810766211</v>
      </c>
      <c r="O9" s="30" t="n">
        <f aca="false">J9*(1+Rm)^(E9*12)-(J9*Rm/(1-(1+Rm)^(-LoanYears*12)))*((1+Rm)^(E9*12)-1)/Rm</f>
        <v>4.72493627892839</v>
      </c>
      <c r="P9" s="16" t="n">
        <f aca="false">SUMIFS(Sch_Total,Sch_Idx,A9,Sch_Scen,C9,Sch_Year,"&lt;="&amp;E9)</f>
        <v>0.071142336</v>
      </c>
      <c r="Q9" s="30" t="n">
        <f aca="false">H9+I9+M9</f>
        <v>0.60780128</v>
      </c>
      <c r="R9" s="30" t="n">
        <f aca="false">L9-G9-Q9</f>
        <v>0.95299872</v>
      </c>
      <c r="S9" s="30" t="n">
        <f aca="false">MAX(0,IF(F9&gt;=2,IF(L9&gt;Exempt,R9*(L9-Exempt)/L9,0),R9))</f>
        <v>0.139674823777879</v>
      </c>
      <c r="T9" s="8" t="n">
        <f aca="false">IF(F9&gt;=2,MIN(MaxDed,MIN(0.4,HoldRate*E9)+MIN(0.4,LiveRate*F9)),IF(E9&gt;=3,MIN(0.3,0.02*E9),0))</f>
        <v>0.24</v>
      </c>
      <c r="U9" s="30" t="n">
        <f aca="false">S9*(1-T9)</f>
        <v>0.106152866071188</v>
      </c>
      <c r="V9" s="30" t="n">
        <f aca="false">MAX(0,U9-InitDed)</f>
        <v>0.0811528660711881</v>
      </c>
      <c r="W9" s="16" t="n">
        <f aca="false">SUMPRODUCT((V9&gt;CLo)*(V9-CLo)*CD)*(1+LocalTax)</f>
        <v>0.00535608916069841</v>
      </c>
      <c r="X9" s="30" t="n">
        <f aca="false">H9+P9+W9</f>
        <v>0.488998425160698</v>
      </c>
      <c r="Y9" s="16" t="n">
        <f aca="false">(L9-G9)-H9-I9-M9-N9-P9-W9</f>
        <v>0.292216484073091</v>
      </c>
      <c r="Z9" s="8" t="n">
        <f aca="false">Y9/K9</f>
        <v>0.0364587004458005</v>
      </c>
      <c r="AA9" s="8" t="n">
        <f aca="false">IF(1+Z9&gt;0,(1+Z9)^(1/E9)-1,-1)</f>
        <v>0.0120081278431017</v>
      </c>
      <c r="AB9" s="30" t="n">
        <f aca="false">L9-O9-M9-W9</f>
        <v>9.23770635191091</v>
      </c>
      <c r="AC9" s="29" t="n">
        <f aca="false">AB9/K9</f>
        <v>1.15255225850417</v>
      </c>
      <c r="AD9" s="30" t="n">
        <f aca="false">K9*((1+DepRate*(1-DepTax))^E9-1)</f>
        <v>0.625881584402748</v>
      </c>
      <c r="AE9" s="30" t="n">
        <f aca="false">Y9-AD9</f>
        <v>-0.333665100329657</v>
      </c>
    </row>
    <row r="10" customFormat="false" ht="15" hidden="false" customHeight="false" outlineLevel="0" collapsed="false">
      <c r="A10" s="21" t="n">
        <v>1</v>
      </c>
      <c r="B10" s="14" t="str">
        <f aca="false">INDEX(C_Name,A10)</f>
        <v>문래동 대단지 (단지 미특정, 입력 필요)</v>
      </c>
      <c r="C10" s="21" t="n">
        <v>2</v>
      </c>
      <c r="D10" s="8" t="n">
        <f aca="false">CHOOSE(C10,G1,G2,G3)</f>
        <v>0.04</v>
      </c>
      <c r="E10" s="21" t="n">
        <v>5</v>
      </c>
      <c r="F10" s="21" t="n">
        <f aca="false">MAX(0,E10-NonRes)</f>
        <v>5</v>
      </c>
      <c r="G10" s="14" t="n">
        <f aca="false">INDEX(C_Price,A10)</f>
        <v>12.5</v>
      </c>
      <c r="H10" s="14" t="n">
        <f aca="false">INDEX(C_Acq,A10)</f>
        <v>0.4125</v>
      </c>
      <c r="I10" s="14" t="n">
        <f aca="false">INDEX(C_Fee,A10)</f>
        <v>0.1025</v>
      </c>
      <c r="J10" s="14" t="n">
        <f aca="false">INDEX(C_Loan,A10)</f>
        <v>5</v>
      </c>
      <c r="K10" s="30" t="n">
        <f aca="false">G10-J10+H10+I10</f>
        <v>8.015</v>
      </c>
      <c r="L10" s="30" t="n">
        <f aca="false">G10*(1+D10)^E10</f>
        <v>15.20816128</v>
      </c>
      <c r="M10" s="30" t="n">
        <f aca="false">L10*LOOKUP(L10,FeeLo,FeeR)*(1+VAT)</f>
        <v>0.117102841856</v>
      </c>
      <c r="N10" s="30" t="n">
        <f aca="false">-CUMIPMT(Rm,LoanYears*12,J10,1,E10*12,0)</f>
        <v>0.954621543200925</v>
      </c>
      <c r="O10" s="30" t="n">
        <f aca="false">J10*(1+Rm)^(E10*12)-(J10*Rm/(1-(1+Rm)^(-LoanYears*12)))*((1+Rm)^(E10*12)-1)/Rm</f>
        <v>4.52237565680456</v>
      </c>
      <c r="P10" s="16" t="n">
        <f aca="false">SUMIFS(Sch_Total,Sch_Idx,A10,Sch_Scen,C10,Sch_Year,"&lt;="&amp;E10)</f>
        <v>0.1296485093376</v>
      </c>
      <c r="Q10" s="30" t="n">
        <f aca="false">H10+I10+M10</f>
        <v>0.632102841856</v>
      </c>
      <c r="R10" s="30" t="n">
        <f aca="false">L10-G10-Q10</f>
        <v>2.076058438144</v>
      </c>
      <c r="S10" s="30" t="n">
        <f aca="false">MAX(0,IF(F10&gt;=2,IF(L10&gt;Exempt,R10*(L10-Exempt)/L10,0),R10))</f>
        <v>0.437944480838046</v>
      </c>
      <c r="T10" s="8" t="n">
        <f aca="false">IF(F10&gt;=2,MIN(MaxDed,MIN(0.4,HoldRate*E10)+MIN(0.4,LiveRate*F10)),IF(E10&gt;=3,MIN(0.3,0.02*E10),0))</f>
        <v>0.4</v>
      </c>
      <c r="U10" s="30" t="n">
        <f aca="false">S10*(1-T10)</f>
        <v>0.262766688502827</v>
      </c>
      <c r="V10" s="30" t="n">
        <f aca="false">MAX(0,U10-InitDed)</f>
        <v>0.237766688502827</v>
      </c>
      <c r="W10" s="16" t="n">
        <f aca="false">SUMPRODUCT((V10&gt;CLo)*(V10-CLo)*CD)*(1+LocalTax)</f>
        <v>0.0253715036029665</v>
      </c>
      <c r="X10" s="30" t="n">
        <f aca="false">H10+P10+W10</f>
        <v>0.567520012940567</v>
      </c>
      <c r="Y10" s="16" t="n">
        <f aca="false">(L10-G10)-H10-I10-M10-N10-P10-W10</f>
        <v>0.96641688200251</v>
      </c>
      <c r="Z10" s="8" t="n">
        <f aca="false">Y10/K10</f>
        <v>0.120576030193701</v>
      </c>
      <c r="AA10" s="8" t="n">
        <f aca="false">IF(1+Z10&gt;0,(1+Z10)^(1/E10)-1,-1)</f>
        <v>0.0230297555987782</v>
      </c>
      <c r="AB10" s="30" t="n">
        <f aca="false">L10-O10-M10-W10</f>
        <v>10.5433112777365</v>
      </c>
      <c r="AC10" s="29" t="n">
        <f aca="false">AB10/K10</f>
        <v>1.31544744575627</v>
      </c>
      <c r="AD10" s="30" t="n">
        <f aca="false">K10*((1+DepRate*(1-DepTax))^E10-1)</f>
        <v>1.07005870911069</v>
      </c>
      <c r="AE10" s="30" t="n">
        <f aca="false">Y10-AD10</f>
        <v>-0.103641827108177</v>
      </c>
    </row>
    <row r="11" customFormat="false" ht="15" hidden="false" customHeight="false" outlineLevel="0" collapsed="false">
      <c r="A11" s="21" t="n">
        <v>1</v>
      </c>
      <c r="B11" s="14" t="str">
        <f aca="false">INDEX(C_Name,A11)</f>
        <v>문래동 대단지 (단지 미특정, 입력 필요)</v>
      </c>
      <c r="C11" s="21" t="n">
        <v>2</v>
      </c>
      <c r="D11" s="8" t="n">
        <f aca="false">CHOOSE(C11,G1,G2,G3)</f>
        <v>0.04</v>
      </c>
      <c r="E11" s="21" t="n">
        <v>7</v>
      </c>
      <c r="F11" s="21" t="n">
        <f aca="false">MAX(0,E11-NonRes)</f>
        <v>7</v>
      </c>
      <c r="G11" s="14" t="n">
        <f aca="false">INDEX(C_Price,A11)</f>
        <v>12.5</v>
      </c>
      <c r="H11" s="14" t="n">
        <f aca="false">INDEX(C_Acq,A11)</f>
        <v>0.4125</v>
      </c>
      <c r="I11" s="14" t="n">
        <f aca="false">INDEX(C_Fee,A11)</f>
        <v>0.1025</v>
      </c>
      <c r="J11" s="14" t="n">
        <f aca="false">INDEX(C_Loan,A11)</f>
        <v>5</v>
      </c>
      <c r="K11" s="30" t="n">
        <f aca="false">G11-J11+H11+I11</f>
        <v>8.015</v>
      </c>
      <c r="L11" s="30" t="n">
        <f aca="false">G11*(1+D11)^E11</f>
        <v>16.449147240448</v>
      </c>
      <c r="M11" s="30" t="n">
        <f aca="false">L11*LOOKUP(L11,FeeLo,FeeR)*(1+VAT)</f>
        <v>0.12665843375145</v>
      </c>
      <c r="N11" s="30" t="n">
        <f aca="false">-CUMIPMT(Rm,LoanYears*12,J11,1,E11*12,0)</f>
        <v>1.30811778610316</v>
      </c>
      <c r="O11" s="30" t="n">
        <f aca="false">J11*(1+Rm)^(E11*12)-(J11*Rm/(1-(1+Rm)^(-LoanYears*12)))*((1+Rm)^(E11*12)-1)/Rm</f>
        <v>4.30297354514824</v>
      </c>
      <c r="P11" s="16" t="n">
        <f aca="false">SUMIFS(Sch_Total,Sch_Idx,A11,Sch_Scen,C11,Sch_Year,"&lt;="&amp;E11)</f>
        <v>0.194162578419548</v>
      </c>
      <c r="Q11" s="30" t="n">
        <f aca="false">H11+I11+M11</f>
        <v>0.64165843375145</v>
      </c>
      <c r="R11" s="30" t="n">
        <f aca="false">L11-G11-Q11</f>
        <v>3.30748880669655</v>
      </c>
      <c r="S11" s="30" t="n">
        <f aca="false">MAX(0,IF(F11&gt;=2,IF(L11&gt;Exempt,R11*(L11-Exempt)/L11,0),R11))</f>
        <v>0.894605931968413</v>
      </c>
      <c r="T11" s="8" t="n">
        <f aca="false">IF(F11&gt;=2,MIN(MaxDed,MIN(0.4,HoldRate*E11)+MIN(0.4,LiveRate*F11)),IF(E11&gt;=3,MIN(0.3,0.02*E11),0))</f>
        <v>0.56</v>
      </c>
      <c r="U11" s="30" t="n">
        <f aca="false">S11*(1-T11)</f>
        <v>0.393626610066101</v>
      </c>
      <c r="V11" s="30" t="n">
        <f aca="false">MAX(0,U11-InitDed)</f>
        <v>0.368626610066101</v>
      </c>
      <c r="W11" s="16" t="n">
        <f aca="false">SUMPRODUCT((V11&gt;CLo)*(V11-CLo)*CD)*(1+LocalTax)</f>
        <v>0.0469633906609067</v>
      </c>
      <c r="X11" s="30" t="n">
        <f aca="false">H11+P11+W11</f>
        <v>0.653625969080455</v>
      </c>
      <c r="Y11" s="16" t="n">
        <f aca="false">(L11-G11)-H11-I11-M11-N11-P11-W11</f>
        <v>1.75824505151294</v>
      </c>
      <c r="Z11" s="8" t="n">
        <f aca="false">Y11/K11</f>
        <v>0.219369313975413</v>
      </c>
      <c r="AA11" s="8" t="n">
        <f aca="false">IF(1+Z11&gt;0,(1+Z11)^(1/E11)-1,-1)</f>
        <v>0.0287386041960411</v>
      </c>
      <c r="AB11" s="30" t="n">
        <f aca="false">L11-O11-M11-W11</f>
        <v>11.9725518708874</v>
      </c>
      <c r="AC11" s="29" t="n">
        <f aca="false">AB11/K11</f>
        <v>1.4937681685449</v>
      </c>
      <c r="AD11" s="30" t="n">
        <f aca="false">K11*((1+DepRate*(1-DepTax))^E11-1)</f>
        <v>1.53706837887629</v>
      </c>
      <c r="AE11" s="30" t="n">
        <f aca="false">Y11-AD11</f>
        <v>0.221176672636646</v>
      </c>
    </row>
    <row r="12" customFormat="false" ht="15" hidden="false" customHeight="false" outlineLevel="0" collapsed="false">
      <c r="A12" s="21" t="n">
        <v>1</v>
      </c>
      <c r="B12" s="14" t="str">
        <f aca="false">INDEX(C_Name,A12)</f>
        <v>문래동 대단지 (단지 미특정, 입력 필요)</v>
      </c>
      <c r="C12" s="21" t="n">
        <v>2</v>
      </c>
      <c r="D12" s="8" t="n">
        <f aca="false">CHOOSE(C12,G1,G2,G3)</f>
        <v>0.04</v>
      </c>
      <c r="E12" s="21" t="n">
        <v>10</v>
      </c>
      <c r="F12" s="21" t="n">
        <f aca="false">MAX(0,E12-NonRes)</f>
        <v>10</v>
      </c>
      <c r="G12" s="14" t="n">
        <f aca="false">INDEX(C_Price,A12)</f>
        <v>12.5</v>
      </c>
      <c r="H12" s="14" t="n">
        <f aca="false">INDEX(C_Acq,A12)</f>
        <v>0.4125</v>
      </c>
      <c r="I12" s="14" t="n">
        <f aca="false">INDEX(C_Fee,A12)</f>
        <v>0.1025</v>
      </c>
      <c r="J12" s="14" t="n">
        <f aca="false">INDEX(C_Loan,A12)</f>
        <v>5</v>
      </c>
      <c r="K12" s="30" t="n">
        <f aca="false">G12-J12+H12+I12</f>
        <v>8.015</v>
      </c>
      <c r="L12" s="30" t="n">
        <f aca="false">G12*(1+D12)^E12</f>
        <v>18.5030535614793</v>
      </c>
      <c r="M12" s="30" t="n">
        <f aca="false">L12*LOOKUP(L12,FeeLo,FeeR)*(1+VAT)</f>
        <v>0.142473512423391</v>
      </c>
      <c r="N12" s="30" t="n">
        <f aca="false">-CUMIPMT(Rm,LoanYears*12,J12,1,E12*12,0)</f>
        <v>1.80368973337181</v>
      </c>
      <c r="O12" s="30" t="n">
        <f aca="false">J12*(1+Rm)^(E12*12)-(J12*Rm/(1-(1+Rm)^(-LoanYears*12)))*((1+Rm)^(E12*12)-1)/Rm</f>
        <v>3.93919796057907</v>
      </c>
      <c r="P12" s="16" t="n">
        <f aca="false">SUMIFS(Sch_Total,Sch_Idx,A12,Sch_Scen,C12,Sch_Year,"&lt;="&amp;E12)</f>
        <v>0.304275578815814</v>
      </c>
      <c r="Q12" s="30" t="n">
        <f aca="false">H12+I12+M12</f>
        <v>0.657473512423391</v>
      </c>
      <c r="R12" s="30" t="n">
        <f aca="false">L12-G12-Q12</f>
        <v>5.34558004905592</v>
      </c>
      <c r="S12" s="30" t="n">
        <f aca="false">MAX(0,IF(F12&gt;=2,IF(L12&gt;Exempt,R12*(L12-Exempt)/L12,0),R12))</f>
        <v>1.87874900003297</v>
      </c>
      <c r="T12" s="8" t="n">
        <f aca="false">IF(F12&gt;=2,MIN(MaxDed,MIN(0.4,HoldRate*E12)+MIN(0.4,LiveRate*F12)),IF(E12&gt;=3,MIN(0.3,0.02*E12),0))</f>
        <v>0.8</v>
      </c>
      <c r="U12" s="30" t="n">
        <f aca="false">S12*(1-T12)</f>
        <v>0.375749800006595</v>
      </c>
      <c r="V12" s="30" t="n">
        <f aca="false">MAX(0,U12-InitDed)</f>
        <v>0.350749800006595</v>
      </c>
      <c r="W12" s="16" t="n">
        <f aca="false">SUMPRODUCT((V12&gt;CLo)*(V12-CLo)*CD)*(1+LocalTax)</f>
        <v>0.0440137170010881</v>
      </c>
      <c r="X12" s="30" t="n">
        <f aca="false">H12+P12+W12</f>
        <v>0.760789295816902</v>
      </c>
      <c r="Y12" s="16" t="n">
        <f aca="false">(L12-G12)-H12-I12-M12-N12-P12-W12</f>
        <v>3.1936010198672</v>
      </c>
      <c r="Z12" s="8" t="n">
        <f aca="false">Y12/K12</f>
        <v>0.398453028055796</v>
      </c>
      <c r="AA12" s="8" t="n">
        <f aca="false">IF(1+Z12&gt;0,(1+Z12)^(1/E12)-1,-1)</f>
        <v>0.034105358061638</v>
      </c>
      <c r="AB12" s="30" t="n">
        <f aca="false">L12-O12-M12-W12</f>
        <v>14.3773683714758</v>
      </c>
      <c r="AC12" s="29" t="n">
        <f aca="false">AB12/K12</f>
        <v>1.79380765707745</v>
      </c>
      <c r="AD12" s="30" t="n">
        <f aca="false">K12*((1+DepRate*(1-DepTax))^E12-1)</f>
        <v>2.28297776019812</v>
      </c>
      <c r="AE12" s="30" t="n">
        <f aca="false">Y12-AD12</f>
        <v>0.91062325966908</v>
      </c>
    </row>
    <row r="13" customFormat="false" ht="15" hidden="false" customHeight="false" outlineLevel="0" collapsed="false">
      <c r="A13" s="21" t="n">
        <v>1</v>
      </c>
      <c r="B13" s="14" t="str">
        <f aca="false">INDEX(C_Name,A13)</f>
        <v>문래동 대단지 (단지 미특정, 입력 필요)</v>
      </c>
      <c r="C13" s="21" t="n">
        <v>3</v>
      </c>
      <c r="D13" s="8" t="n">
        <f aca="false">CHOOSE(C13,G1,G2,G3)</f>
        <v>0.06</v>
      </c>
      <c r="E13" s="21" t="n">
        <v>3</v>
      </c>
      <c r="F13" s="21" t="n">
        <f aca="false">MAX(0,E13-NonRes)</f>
        <v>3</v>
      </c>
      <c r="G13" s="14" t="n">
        <f aca="false">INDEX(C_Price,A13)</f>
        <v>12.5</v>
      </c>
      <c r="H13" s="14" t="n">
        <f aca="false">INDEX(C_Acq,A13)</f>
        <v>0.4125</v>
      </c>
      <c r="I13" s="14" t="n">
        <f aca="false">INDEX(C_Fee,A13)</f>
        <v>0.1025</v>
      </c>
      <c r="J13" s="14" t="n">
        <f aca="false">INDEX(C_Loan,A13)</f>
        <v>5</v>
      </c>
      <c r="K13" s="30" t="n">
        <f aca="false">G13-J13+H13+I13</f>
        <v>8.015</v>
      </c>
      <c r="L13" s="30" t="n">
        <f aca="false">G13*(1+D13)^E13</f>
        <v>14.8877</v>
      </c>
      <c r="M13" s="30" t="n">
        <f aca="false">L13*LOOKUP(L13,FeeLo,FeeR)*(1+VAT)</f>
        <v>0.09825882</v>
      </c>
      <c r="N13" s="30" t="n">
        <f aca="false">-CUMIPMT(Rm,LoanYears*12,J13,1,E13*12,0)</f>
        <v>0.584283810766211</v>
      </c>
      <c r="O13" s="30" t="n">
        <f aca="false">J13*(1+Rm)^(E13*12)-(J13*Rm/(1-(1+Rm)^(-LoanYears*12)))*((1+Rm)^(E13*12)-1)/Rm</f>
        <v>4.72493627892839</v>
      </c>
      <c r="P13" s="16" t="n">
        <f aca="false">SUMIFS(Sch_Total,Sch_Idx,A13,Sch_Scen,C13,Sch_Year,"&lt;="&amp;E13)</f>
        <v>0.076360806</v>
      </c>
      <c r="Q13" s="30" t="n">
        <f aca="false">H13+I13+M13</f>
        <v>0.61325882</v>
      </c>
      <c r="R13" s="30" t="n">
        <f aca="false">L13-G13-Q13</f>
        <v>1.77444118</v>
      </c>
      <c r="S13" s="30" t="n">
        <f aca="false">MAX(0,IF(F13&gt;=2,IF(L13&gt;Exempt,R13*(L13-Exempt)/L13,0),R13))</f>
        <v>0.344180349918792</v>
      </c>
      <c r="T13" s="8" t="n">
        <f aca="false">IF(F13&gt;=2,MIN(MaxDed,MIN(0.4,HoldRate*E13)+MIN(0.4,LiveRate*F13)),IF(E13&gt;=3,MIN(0.3,0.02*E13),0))</f>
        <v>0.24</v>
      </c>
      <c r="U13" s="30" t="n">
        <f aca="false">S13*(1-T13)</f>
        <v>0.261577065938282</v>
      </c>
      <c r="V13" s="30" t="n">
        <f aca="false">MAX(0,U13-InitDed)</f>
        <v>0.236577065938282</v>
      </c>
      <c r="W13" s="16" t="n">
        <f aca="false">SUMPRODUCT((V13&gt;CLo)*(V13-CLo)*CD)*(1+LocalTax)</f>
        <v>0.0251752158798165</v>
      </c>
      <c r="X13" s="30" t="n">
        <f aca="false">H13+P13+W13</f>
        <v>0.514036021879817</v>
      </c>
      <c r="Y13" s="16" t="n">
        <f aca="false">(L13-G13)-H13-I13-M13-N13-P13-W13</f>
        <v>1.08862134735397</v>
      </c>
      <c r="Z13" s="8" t="n">
        <f aca="false">Y13/K13</f>
        <v>0.135823000293696</v>
      </c>
      <c r="AA13" s="8" t="n">
        <f aca="false">IF(1+Z13&gt;0,(1+Z13)^(1/E13)-1,-1)</f>
        <v>0.0433664947868393</v>
      </c>
      <c r="AB13" s="30" t="n">
        <f aca="false">L13-O13-M13-W13</f>
        <v>10.0393296851918</v>
      </c>
      <c r="AC13" s="29" t="n">
        <f aca="false">AB13/K13</f>
        <v>1.25256764631214</v>
      </c>
      <c r="AD13" s="30" t="n">
        <f aca="false">K13*((1+DepRate*(1-DepTax))^E13-1)</f>
        <v>0.625881584402748</v>
      </c>
      <c r="AE13" s="30" t="n">
        <f aca="false">Y13-AD13</f>
        <v>0.462739762951225</v>
      </c>
    </row>
    <row r="14" customFormat="false" ht="15" hidden="false" customHeight="false" outlineLevel="0" collapsed="false">
      <c r="A14" s="21" t="n">
        <v>1</v>
      </c>
      <c r="B14" s="14" t="str">
        <f aca="false">INDEX(C_Name,A14)</f>
        <v>문래동 대단지 (단지 미특정, 입력 필요)</v>
      </c>
      <c r="C14" s="21" t="n">
        <v>3</v>
      </c>
      <c r="D14" s="8" t="n">
        <f aca="false">CHOOSE(C14,G1,G2,G3)</f>
        <v>0.06</v>
      </c>
      <c r="E14" s="21" t="n">
        <v>5</v>
      </c>
      <c r="F14" s="21" t="n">
        <f aca="false">MAX(0,E14-NonRes)</f>
        <v>5</v>
      </c>
      <c r="G14" s="14" t="n">
        <f aca="false">INDEX(C_Price,A14)</f>
        <v>12.5</v>
      </c>
      <c r="H14" s="14" t="n">
        <f aca="false">INDEX(C_Acq,A14)</f>
        <v>0.4125</v>
      </c>
      <c r="I14" s="14" t="n">
        <f aca="false">INDEX(C_Fee,A14)</f>
        <v>0.1025</v>
      </c>
      <c r="J14" s="14" t="n">
        <f aca="false">INDEX(C_Loan,A14)</f>
        <v>5</v>
      </c>
      <c r="K14" s="30" t="n">
        <f aca="false">G14-J14+H14+I14</f>
        <v>8.015</v>
      </c>
      <c r="L14" s="30" t="n">
        <f aca="false">G14*(1+D14)^E14</f>
        <v>16.72781972</v>
      </c>
      <c r="M14" s="30" t="n">
        <f aca="false">L14*LOOKUP(L14,FeeLo,FeeR)*(1+VAT)</f>
        <v>0.128804211844</v>
      </c>
      <c r="N14" s="30" t="n">
        <f aca="false">-CUMIPMT(Rm,LoanYears*12,J14,1,E14*12,0)</f>
        <v>0.954621543200925</v>
      </c>
      <c r="O14" s="30" t="n">
        <f aca="false">J14*(1+Rm)^(E14*12)-(J14*Rm/(1-(1+Rm)^(-LoanYears*12)))*((1+Rm)^(E14*12)-1)/Rm</f>
        <v>4.52237565680456</v>
      </c>
      <c r="P14" s="16" t="n">
        <f aca="false">SUMIFS(Sch_Total,Sch_Idx,A14,Sch_Scen,C14,Sch_Year,"&lt;="&amp;E14)</f>
        <v>0.1399611276216</v>
      </c>
      <c r="Q14" s="30" t="n">
        <f aca="false">H14+I14+M14</f>
        <v>0.643804211844</v>
      </c>
      <c r="R14" s="30" t="n">
        <f aca="false">L14-G14-Q14</f>
        <v>3.584015508156</v>
      </c>
      <c r="S14" s="30" t="n">
        <f aca="false">MAX(0,IF(F14&gt;=2,IF(L14&gt;Exempt,R14*(L14-Exempt)/L14,0),R14))</f>
        <v>1.01295802321367</v>
      </c>
      <c r="T14" s="8" t="n">
        <f aca="false">IF(F14&gt;=2,MIN(MaxDed,MIN(0.4,HoldRate*E14)+MIN(0.4,LiveRate*F14)),IF(E14&gt;=3,MIN(0.3,0.02*E14),0))</f>
        <v>0.4</v>
      </c>
      <c r="U14" s="30" t="n">
        <f aca="false">S14*(1-T14)</f>
        <v>0.6077748139282</v>
      </c>
      <c r="V14" s="30" t="n">
        <f aca="false">MAX(0,U14-InitDed)</f>
        <v>0.5827748139282</v>
      </c>
      <c r="W14" s="16" t="n">
        <f aca="false">SUMPRODUCT((V14&gt;CLo)*(V14-CLo)*CD)*(1+LocalTax)</f>
        <v>0.0904925508770447</v>
      </c>
      <c r="X14" s="30" t="n">
        <f aca="false">H14+P14+W14</f>
        <v>0.642953678498645</v>
      </c>
      <c r="Y14" s="16" t="n">
        <f aca="false">(L14-G14)-H14-I14-M14-N14-P14-W14</f>
        <v>2.39894028645643</v>
      </c>
      <c r="Z14" s="8" t="n">
        <f aca="false">Y14/K14</f>
        <v>0.299306336426255</v>
      </c>
      <c r="AA14" s="8" t="n">
        <f aca="false">IF(1+Z14&gt;0,(1+Z14)^(1/E14)-1,-1)</f>
        <v>0.0537614612848554</v>
      </c>
      <c r="AB14" s="30" t="n">
        <f aca="false">L14-O14-M14-W14</f>
        <v>11.9861473004744</v>
      </c>
      <c r="AC14" s="29" t="n">
        <f aca="false">AB14/K14</f>
        <v>1.49546441677784</v>
      </c>
      <c r="AD14" s="30" t="n">
        <f aca="false">K14*((1+DepRate*(1-DepTax))^E14-1)</f>
        <v>1.07005870911069</v>
      </c>
      <c r="AE14" s="30" t="n">
        <f aca="false">Y14-AD14</f>
        <v>1.32888157734575</v>
      </c>
    </row>
    <row r="15" customFormat="false" ht="15" hidden="false" customHeight="false" outlineLevel="0" collapsed="false">
      <c r="A15" s="21" t="n">
        <v>1</v>
      </c>
      <c r="B15" s="14" t="str">
        <f aca="false">INDEX(C_Name,A15)</f>
        <v>문래동 대단지 (단지 미특정, 입력 필요)</v>
      </c>
      <c r="C15" s="21" t="n">
        <v>3</v>
      </c>
      <c r="D15" s="8" t="n">
        <f aca="false">CHOOSE(C15,G1,G2,G3)</f>
        <v>0.06</v>
      </c>
      <c r="E15" s="21" t="n">
        <v>7</v>
      </c>
      <c r="F15" s="21" t="n">
        <f aca="false">MAX(0,E15-NonRes)</f>
        <v>7</v>
      </c>
      <c r="G15" s="14" t="n">
        <f aca="false">INDEX(C_Price,A15)</f>
        <v>12.5</v>
      </c>
      <c r="H15" s="14" t="n">
        <f aca="false">INDEX(C_Acq,A15)</f>
        <v>0.4125</v>
      </c>
      <c r="I15" s="14" t="n">
        <f aca="false">INDEX(C_Fee,A15)</f>
        <v>0.1025</v>
      </c>
      <c r="J15" s="14" t="n">
        <f aca="false">INDEX(C_Loan,A15)</f>
        <v>5</v>
      </c>
      <c r="K15" s="30" t="n">
        <f aca="false">G15-J15+H15+I15</f>
        <v>8.015</v>
      </c>
      <c r="L15" s="30" t="n">
        <f aca="false">G15*(1+D15)^E15</f>
        <v>18.795378237392</v>
      </c>
      <c r="M15" s="30" t="n">
        <f aca="false">L15*LOOKUP(L15,FeeLo,FeeR)*(1+VAT)</f>
        <v>0.144724412427918</v>
      </c>
      <c r="N15" s="30" t="n">
        <f aca="false">-CUMIPMT(Rm,LoanYears*12,J15,1,E15*12,0)</f>
        <v>1.30811778610316</v>
      </c>
      <c r="O15" s="30" t="n">
        <f aca="false">J15*(1+Rm)^(E15*12)-(J15*Rm/(1-(1+Rm)^(-LoanYears*12)))*((1+Rm)^(E15*12)-1)/Rm</f>
        <v>4.30297354514824</v>
      </c>
      <c r="P15" s="16" t="n">
        <f aca="false">SUMIFS(Sch_Total,Sch_Idx,A15,Sch_Scen,C15,Sch_Year,"&lt;="&amp;E15)</f>
        <v>0.214136299431179</v>
      </c>
      <c r="Q15" s="30" t="n">
        <f aca="false">H15+I15+M15</f>
        <v>0.659724412427919</v>
      </c>
      <c r="R15" s="30" t="n">
        <f aca="false">L15-G15-Q15</f>
        <v>5.63565382496409</v>
      </c>
      <c r="S15" s="30" t="n">
        <f aca="false">MAX(0,IF(F15&gt;=2,IF(L15&gt;Exempt,R15*(L15-Exempt)/L15,0),R15))</f>
        <v>2.03754342540701</v>
      </c>
      <c r="T15" s="8" t="n">
        <f aca="false">IF(F15&gt;=2,MIN(MaxDed,MIN(0.4,HoldRate*E15)+MIN(0.4,LiveRate*F15)),IF(E15&gt;=3,MIN(0.3,0.02*E15),0))</f>
        <v>0.56</v>
      </c>
      <c r="U15" s="30" t="n">
        <f aca="false">S15*(1-T15)</f>
        <v>0.896519107179082</v>
      </c>
      <c r="V15" s="30" t="n">
        <f aca="false">MAX(0,U15-InitDed)</f>
        <v>0.871519107179082</v>
      </c>
      <c r="W15" s="16" t="n">
        <f aca="false">SUMPRODUCT((V15&gt;CLo)*(V15-CLo)*CD)*(1+LocalTax)</f>
        <v>0.166721044295278</v>
      </c>
      <c r="X15" s="30" t="n">
        <f aca="false">H15+P15+W15</f>
        <v>0.793357343726456</v>
      </c>
      <c r="Y15" s="16" t="n">
        <f aca="false">(L15-G15)-H15-I15-M15-N15-P15-W15</f>
        <v>3.94667869513447</v>
      </c>
      <c r="Z15" s="8" t="n">
        <f aca="false">Y15/K15</f>
        <v>0.492411565207046</v>
      </c>
      <c r="AA15" s="8" t="n">
        <f aca="false">IF(1+Z15&gt;0,(1+Z15)^(1/E15)-1,-1)</f>
        <v>0.0588665510204094</v>
      </c>
      <c r="AB15" s="30" t="n">
        <f aca="false">L15-O15-M15-W15</f>
        <v>14.1809592355206</v>
      </c>
      <c r="AC15" s="29" t="n">
        <f aca="false">AB15/K15</f>
        <v>1.76930246232322</v>
      </c>
      <c r="AD15" s="30" t="n">
        <f aca="false">K15*((1+DepRate*(1-DepTax))^E15-1)</f>
        <v>1.53706837887629</v>
      </c>
      <c r="AE15" s="30" t="n">
        <f aca="false">Y15-AD15</f>
        <v>2.40961031625818</v>
      </c>
    </row>
    <row r="16" customFormat="false" ht="15" hidden="false" customHeight="false" outlineLevel="0" collapsed="false">
      <c r="A16" s="21" t="n">
        <v>1</v>
      </c>
      <c r="B16" s="14" t="str">
        <f aca="false">INDEX(C_Name,A16)</f>
        <v>문래동 대단지 (단지 미특정, 입력 필요)</v>
      </c>
      <c r="C16" s="21" t="n">
        <v>3</v>
      </c>
      <c r="D16" s="8" t="n">
        <f aca="false">CHOOSE(C16,G1,G2,G3)</f>
        <v>0.06</v>
      </c>
      <c r="E16" s="21" t="n">
        <v>10</v>
      </c>
      <c r="F16" s="21" t="n">
        <f aca="false">MAX(0,E16-NonRes)</f>
        <v>10</v>
      </c>
      <c r="G16" s="14" t="n">
        <f aca="false">INDEX(C_Price,A16)</f>
        <v>12.5</v>
      </c>
      <c r="H16" s="14" t="n">
        <f aca="false">INDEX(C_Acq,A16)</f>
        <v>0.4125</v>
      </c>
      <c r="I16" s="14" t="n">
        <f aca="false">INDEX(C_Fee,A16)</f>
        <v>0.1025</v>
      </c>
      <c r="J16" s="14" t="n">
        <f aca="false">INDEX(C_Loan,A16)</f>
        <v>5</v>
      </c>
      <c r="K16" s="30" t="n">
        <f aca="false">G16-J16+H16+I16</f>
        <v>8.015</v>
      </c>
      <c r="L16" s="30" t="n">
        <f aca="false">G16*(1+D16)^E16</f>
        <v>22.3855962067857</v>
      </c>
      <c r="M16" s="30" t="n">
        <f aca="false">L16*LOOKUP(L16,FeeLo,FeeR)*(1+VAT)</f>
        <v>0.17236909079225</v>
      </c>
      <c r="N16" s="30" t="n">
        <f aca="false">-CUMIPMT(Rm,LoanYears*12,J16,1,E16*12,0)</f>
        <v>1.80368973337181</v>
      </c>
      <c r="O16" s="30" t="n">
        <f aca="false">J16*(1+Rm)^(E16*12)-(J16*Rm/(1-(1+Rm)^(-LoanYears*12)))*((1+Rm)^(E16*12)-1)/Rm</f>
        <v>3.93919796057907</v>
      </c>
      <c r="P16" s="16" t="n">
        <f aca="false">SUMIFS(Sch_Total,Sch_Idx,A16,Sch_Scen,C16,Sch_Year,"&lt;="&amp;E16)</f>
        <v>0.364080848094738</v>
      </c>
      <c r="Q16" s="30" t="n">
        <f aca="false">H16+I16+M16</f>
        <v>0.68736909079225</v>
      </c>
      <c r="R16" s="30" t="n">
        <f aca="false">L16-G16-Q16</f>
        <v>9.19822711599343</v>
      </c>
      <c r="S16" s="30" t="n">
        <f aca="false">MAX(0,IF(F16&gt;=2,IF(L16&gt;Exempt,R16*(L16-Exempt)/L16,0),R16))</f>
        <v>4.26743481668168</v>
      </c>
      <c r="T16" s="8" t="n">
        <f aca="false">IF(F16&gt;=2,MIN(MaxDed,MIN(0.4,HoldRate*E16)+MIN(0.4,LiveRate*F16)),IF(E16&gt;=3,MIN(0.3,0.02*E16),0))</f>
        <v>0.8</v>
      </c>
      <c r="U16" s="30" t="n">
        <f aca="false">S16*(1-T16)</f>
        <v>0.853486963336336</v>
      </c>
      <c r="V16" s="30" t="n">
        <f aca="false">MAX(0,U16-InitDed)</f>
        <v>0.828486963336336</v>
      </c>
      <c r="W16" s="16" t="n">
        <f aca="false">SUMPRODUCT((V16&gt;CLo)*(V16-CLo)*CD)*(1+LocalTax)</f>
        <v>0.155360558320793</v>
      </c>
      <c r="X16" s="30" t="n">
        <f aca="false">H16+P16+W16</f>
        <v>0.931941406415531</v>
      </c>
      <c r="Y16" s="16" t="n">
        <f aca="false">(L16-G16)-H16-I16-M16-N16-P16-W16</f>
        <v>6.87509597620609</v>
      </c>
      <c r="Z16" s="8" t="n">
        <f aca="false">Y16/K16</f>
        <v>0.857778662034447</v>
      </c>
      <c r="AA16" s="8" t="n">
        <f aca="false">IF(1+Z16&gt;0,(1+Z16)^(1/E16)-1,-1)</f>
        <v>0.0638965413618207</v>
      </c>
      <c r="AB16" s="30" t="n">
        <f aca="false">L16-O16-M16-W16</f>
        <v>18.1186685970936</v>
      </c>
      <c r="AC16" s="29" t="n">
        <f aca="false">AB16/K16</f>
        <v>2.26059495908841</v>
      </c>
      <c r="AD16" s="30" t="n">
        <f aca="false">K16*((1+DepRate*(1-DepTax))^E16-1)</f>
        <v>2.28297776019812</v>
      </c>
      <c r="AE16" s="30" t="n">
        <f aca="false">Y16-AD16</f>
        <v>4.59211821600797</v>
      </c>
    </row>
    <row r="17" customFormat="false" ht="15" hidden="false" customHeight="false" outlineLevel="0" collapsed="false">
      <c r="A17" s="21" t="n">
        <v>2</v>
      </c>
      <c r="B17" s="14" t="str">
        <f aca="false">INDEX(C_Name,A17)</f>
        <v>신길삼성래미안 84㎡</v>
      </c>
      <c r="C17" s="21" t="n">
        <v>1</v>
      </c>
      <c r="D17" s="8" t="n">
        <f aca="false">CHOOSE(C17,G1,G2,G3)</f>
        <v>0.02</v>
      </c>
      <c r="E17" s="21" t="n">
        <v>3</v>
      </c>
      <c r="F17" s="21" t="n">
        <f aca="false">MAX(0,E17-NonRes)</f>
        <v>3</v>
      </c>
      <c r="G17" s="14" t="n">
        <f aca="false">INDEX(C_Price,A17)</f>
        <v>13</v>
      </c>
      <c r="H17" s="14" t="n">
        <f aca="false">INDEX(C_Acq,A17)</f>
        <v>0.429</v>
      </c>
      <c r="I17" s="14" t="n">
        <f aca="false">INDEX(C_Fee,A17)</f>
        <v>0.1058</v>
      </c>
      <c r="J17" s="14" t="n">
        <f aca="false">INDEX(C_Loan,A17)</f>
        <v>5.2</v>
      </c>
      <c r="K17" s="30" t="n">
        <f aca="false">G17-J17+H17+I17</f>
        <v>8.3348</v>
      </c>
      <c r="L17" s="30" t="n">
        <f aca="false">G17*(1+D17)^E17</f>
        <v>13.795704</v>
      </c>
      <c r="M17" s="30" t="n">
        <f aca="false">L17*LOOKUP(L17,FeeLo,FeeR)*(1+VAT)</f>
        <v>0.0910516464</v>
      </c>
      <c r="N17" s="30" t="n">
        <f aca="false">-CUMIPMT(Rm,LoanYears*12,J17,1,E17*12,0)</f>
        <v>0.607655163196859</v>
      </c>
      <c r="O17" s="30" t="n">
        <f aca="false">J17*(1+Rm)^(E17*12)-(J17*Rm/(1-(1+Rm)^(-LoanYears*12)))*((1+Rm)^(E17*12)-1)/Rm</f>
        <v>4.91393373008552</v>
      </c>
      <c r="P17" s="16" t="n">
        <f aca="false">SUMIFS(Sch_Total,Sch_Idx,A17,Sch_Scen,C17,Sch_Year,"&lt;="&amp;E17)</f>
        <v>0.07621145136</v>
      </c>
      <c r="Q17" s="30" t="n">
        <f aca="false">H17+I17+M17</f>
        <v>0.6258516464</v>
      </c>
      <c r="R17" s="30" t="n">
        <f aca="false">L17-G17-Q17</f>
        <v>0.169852353600002</v>
      </c>
      <c r="S17" s="30" t="n">
        <f aca="false">MAX(0,IF(F17&gt;=2,IF(L17&gt;Exempt,R17*(L17-Exempt)/L17,0),R17))</f>
        <v>0.0221086615636968</v>
      </c>
      <c r="T17" s="8" t="n">
        <f aca="false">IF(F17&gt;=2,MIN(MaxDed,MIN(0.4,HoldRate*E17)+MIN(0.4,LiveRate*F17)),IF(E17&gt;=3,MIN(0.3,0.02*E17),0))</f>
        <v>0.24</v>
      </c>
      <c r="U17" s="30" t="n">
        <f aca="false">S17*(1-T17)</f>
        <v>0.0168025827884096</v>
      </c>
      <c r="V17" s="30" t="n">
        <f aca="false">MAX(0,U17-InitDed)</f>
        <v>0</v>
      </c>
      <c r="W17" s="16" t="n">
        <f aca="false">SUMPRODUCT((V17&gt;CLo)*(V17-CLo)*CD)*(1+LocalTax)</f>
        <v>0</v>
      </c>
      <c r="X17" s="30" t="n">
        <f aca="false">H17+P17+W17</f>
        <v>0.50521145136</v>
      </c>
      <c r="Y17" s="16" t="n">
        <f aca="false">(L17-G17)-H17-I17-M17-N17-P17-W17</f>
        <v>-0.514014260956857</v>
      </c>
      <c r="Z17" s="8" t="n">
        <f aca="false">Y17/K17</f>
        <v>-0.0616708572439479</v>
      </c>
      <c r="AA17" s="8" t="n">
        <f aca="false">IF(1+Z17&gt;0,(1+Z17)^(1/E17)-1,-1)</f>
        <v>-0.0209946428029959</v>
      </c>
      <c r="AB17" s="30" t="n">
        <f aca="false">L17-O17-M17-W17</f>
        <v>8.79071862351448</v>
      </c>
      <c r="AC17" s="29" t="n">
        <f aca="false">AB17/K17</f>
        <v>1.05470060751481</v>
      </c>
      <c r="AD17" s="30" t="n">
        <f aca="false">K17*((1+DepRate*(1-DepTax))^E17-1)</f>
        <v>0.65085437675359</v>
      </c>
      <c r="AE17" s="30" t="n">
        <f aca="false">Y17-AD17</f>
        <v>-1.16486863771045</v>
      </c>
    </row>
    <row r="18" customFormat="false" ht="15" hidden="false" customHeight="false" outlineLevel="0" collapsed="false">
      <c r="A18" s="21" t="n">
        <v>2</v>
      </c>
      <c r="B18" s="14" t="str">
        <f aca="false">INDEX(C_Name,A18)</f>
        <v>신길삼성래미안 84㎡</v>
      </c>
      <c r="C18" s="21" t="n">
        <v>1</v>
      </c>
      <c r="D18" s="8" t="n">
        <f aca="false">CHOOSE(C18,G1,G2,G3)</f>
        <v>0.02</v>
      </c>
      <c r="E18" s="21" t="n">
        <v>5</v>
      </c>
      <c r="F18" s="21" t="n">
        <f aca="false">MAX(0,E18-NonRes)</f>
        <v>5</v>
      </c>
      <c r="G18" s="14" t="n">
        <f aca="false">INDEX(C_Price,A18)</f>
        <v>13</v>
      </c>
      <c r="H18" s="14" t="n">
        <f aca="false">INDEX(C_Acq,A18)</f>
        <v>0.429</v>
      </c>
      <c r="I18" s="14" t="n">
        <f aca="false">INDEX(C_Fee,A18)</f>
        <v>0.1058</v>
      </c>
      <c r="J18" s="14" t="n">
        <f aca="false">INDEX(C_Loan,A18)</f>
        <v>5.2</v>
      </c>
      <c r="K18" s="30" t="n">
        <f aca="false">G18-J18+H18+I18</f>
        <v>8.3348</v>
      </c>
      <c r="L18" s="30" t="n">
        <f aca="false">G18*(1+D18)^E18</f>
        <v>14.3530504416</v>
      </c>
      <c r="M18" s="30" t="n">
        <f aca="false">L18*LOOKUP(L18,FeeLo,FeeR)*(1+VAT)</f>
        <v>0.09473013291456</v>
      </c>
      <c r="N18" s="30" t="n">
        <f aca="false">-CUMIPMT(Rm,LoanYears*12,J18,1,E18*12,0)</f>
        <v>0.992806404928962</v>
      </c>
      <c r="O18" s="30" t="n">
        <f aca="false">J18*(1+Rm)^(E18*12)-(J18*Rm/(1-(1+Rm)^(-LoanYears*12)))*((1+Rm)^(E18*12)-1)/Rm</f>
        <v>4.70327068307674</v>
      </c>
      <c r="P18" s="16" t="n">
        <f aca="false">SUMIFS(Sch_Total,Sch_Idx,A18,Sch_Scen,C18,Sch_Year,"&lt;="&amp;E18)</f>
        <v>0.132621293674944</v>
      </c>
      <c r="Q18" s="30" t="n">
        <f aca="false">H18+I18+M18</f>
        <v>0.62953013291456</v>
      </c>
      <c r="R18" s="30" t="n">
        <f aca="false">L18-G18-Q18</f>
        <v>0.723520308685441</v>
      </c>
      <c r="S18" s="30" t="n">
        <f aca="false">MAX(0,IF(F18&gt;=2,IF(L18&gt;Exempt,R18*(L18-Exempt)/L18,0),R18))</f>
        <v>0.118614491657082</v>
      </c>
      <c r="T18" s="8" t="n">
        <f aca="false">IF(F18&gt;=2,MIN(MaxDed,MIN(0.4,HoldRate*E18)+MIN(0.4,LiveRate*F18)),IF(E18&gt;=3,MIN(0.3,0.02*E18),0))</f>
        <v>0.4</v>
      </c>
      <c r="U18" s="30" t="n">
        <f aca="false">S18*(1-T18)</f>
        <v>0.0711686949942494</v>
      </c>
      <c r="V18" s="30" t="n">
        <f aca="false">MAX(0,U18-InitDed)</f>
        <v>0.0461686949942494</v>
      </c>
      <c r="W18" s="16" t="n">
        <f aca="false">SUMPRODUCT((V18&gt;CLo)*(V18-CLo)*CD)*(1+LocalTax)</f>
        <v>0.00304713386962046</v>
      </c>
      <c r="X18" s="30" t="n">
        <f aca="false">H18+P18+W18</f>
        <v>0.564668427544565</v>
      </c>
      <c r="Y18" s="16" t="n">
        <f aca="false">(L18-G18)-H18-I18-M18-N18-P18-W18</f>
        <v>-0.404954523788086</v>
      </c>
      <c r="Z18" s="8" t="n">
        <f aca="false">Y18/K18</f>
        <v>-0.0485859917200276</v>
      </c>
      <c r="AA18" s="8" t="n">
        <f aca="false">IF(1+Z18&gt;0,(1+Z18)^(1/E18)-1,-1)</f>
        <v>-0.00991174587563004</v>
      </c>
      <c r="AB18" s="30" t="n">
        <f aca="false">L18-O18-M18-W18</f>
        <v>9.55200249173908</v>
      </c>
      <c r="AC18" s="29" t="n">
        <f aca="false">AB18/K18</f>
        <v>1.14603859621576</v>
      </c>
      <c r="AD18" s="30" t="n">
        <f aca="false">K18*((1+DepRate*(1-DepTax))^E18-1)</f>
        <v>1.11275425186472</v>
      </c>
      <c r="AE18" s="30" t="n">
        <f aca="false">Y18-AD18</f>
        <v>-1.51770877565281</v>
      </c>
    </row>
    <row r="19" customFormat="false" ht="15" hidden="false" customHeight="false" outlineLevel="0" collapsed="false">
      <c r="A19" s="21" t="n">
        <v>2</v>
      </c>
      <c r="B19" s="14" t="str">
        <f aca="false">INDEX(C_Name,A19)</f>
        <v>신길삼성래미안 84㎡</v>
      </c>
      <c r="C19" s="21" t="n">
        <v>1</v>
      </c>
      <c r="D19" s="8" t="n">
        <f aca="false">CHOOSE(C19,G1,G2,G3)</f>
        <v>0.02</v>
      </c>
      <c r="E19" s="21" t="n">
        <v>7</v>
      </c>
      <c r="F19" s="21" t="n">
        <f aca="false">MAX(0,E19-NonRes)</f>
        <v>7</v>
      </c>
      <c r="G19" s="14" t="n">
        <f aca="false">INDEX(C_Price,A19)</f>
        <v>13</v>
      </c>
      <c r="H19" s="14" t="n">
        <f aca="false">INDEX(C_Acq,A19)</f>
        <v>0.429</v>
      </c>
      <c r="I19" s="14" t="n">
        <f aca="false">INDEX(C_Fee,A19)</f>
        <v>0.1058</v>
      </c>
      <c r="J19" s="14" t="n">
        <f aca="false">INDEX(C_Loan,A19)</f>
        <v>5.2</v>
      </c>
      <c r="K19" s="30" t="n">
        <f aca="false">G19-J19+H19+I19</f>
        <v>8.3348</v>
      </c>
      <c r="L19" s="30" t="n">
        <f aca="false">G19*(1+D19)^E19</f>
        <v>14.9329136794406</v>
      </c>
      <c r="M19" s="30" t="n">
        <f aca="false">L19*LOOKUP(L19,FeeLo,FeeR)*(1+VAT)</f>
        <v>0.0985572302843082</v>
      </c>
      <c r="N19" s="30" t="n">
        <f aca="false">-CUMIPMT(Rm,LoanYears*12,J19,1,E19*12,0)</f>
        <v>1.36044249754729</v>
      </c>
      <c r="O19" s="30" t="n">
        <f aca="false">J19*(1+Rm)^(E19*12)-(J19*Rm/(1-(1+Rm)^(-LoanYears*12)))*((1+Rm)^(E19*12)-1)/Rm</f>
        <v>4.47509248695418</v>
      </c>
      <c r="P19" s="16" t="n">
        <f aca="false">SUMIFS(Sch_Total,Sch_Idx,A19,Sch_Scen,C19,Sch_Year,"&lt;="&amp;E19)</f>
        <v>0.191920941619412</v>
      </c>
      <c r="Q19" s="30" t="n">
        <f aca="false">H19+I19+M19</f>
        <v>0.633357230284308</v>
      </c>
      <c r="R19" s="30" t="n">
        <f aca="false">L19-G19-Q19</f>
        <v>1.29955644915633</v>
      </c>
      <c r="S19" s="30" t="n">
        <f aca="false">MAX(0,IF(F19&gt;=2,IF(L19&gt;Exempt,R19*(L19-Exempt)/L19,0),R19))</f>
        <v>0.255240669621194</v>
      </c>
      <c r="T19" s="8" t="n">
        <f aca="false">IF(F19&gt;=2,MIN(MaxDed,MIN(0.4,HoldRate*E19)+MIN(0.4,LiveRate*F19)),IF(E19&gt;=3,MIN(0.3,0.02*E19),0))</f>
        <v>0.56</v>
      </c>
      <c r="U19" s="30" t="n">
        <f aca="false">S19*(1-T19)</f>
        <v>0.112305894633325</v>
      </c>
      <c r="V19" s="30" t="n">
        <f aca="false">MAX(0,U19-InitDed)</f>
        <v>0.0873058946333251</v>
      </c>
      <c r="W19" s="16" t="n">
        <f aca="false">SUMPRODUCT((V19&gt;CLo)*(V19-CLo)*CD)*(1+LocalTax)</f>
        <v>0.00576218904579946</v>
      </c>
      <c r="X19" s="30" t="n">
        <f aca="false">H19+P19+W19</f>
        <v>0.626683130665211</v>
      </c>
      <c r="Y19" s="16" t="n">
        <f aca="false">(L19-G19)-H19-I19-M19-N19-P19-W19</f>
        <v>-0.258569179056169</v>
      </c>
      <c r="Z19" s="8" t="n">
        <f aca="false">Y19/K19</f>
        <v>-0.0310228414666422</v>
      </c>
      <c r="AA19" s="8" t="n">
        <f aca="false">IF(1+Z19&gt;0,(1+Z19)^(1/E19)-1,-1)</f>
        <v>-0.00449191525980863</v>
      </c>
      <c r="AB19" s="30" t="n">
        <f aca="false">L19-O19-M19-W19</f>
        <v>10.3535017731564</v>
      </c>
      <c r="AC19" s="29" t="n">
        <f aca="false">AB19/K19</f>
        <v>1.24220158529975</v>
      </c>
      <c r="AD19" s="30" t="n">
        <f aca="false">K19*((1+DepRate*(1-DepTax))^E19-1)</f>
        <v>1.59839769485441</v>
      </c>
      <c r="AE19" s="30" t="n">
        <f aca="false">Y19-AD19</f>
        <v>-1.85696687391058</v>
      </c>
    </row>
    <row r="20" customFormat="false" ht="15" hidden="false" customHeight="false" outlineLevel="0" collapsed="false">
      <c r="A20" s="21" t="n">
        <v>2</v>
      </c>
      <c r="B20" s="14" t="str">
        <f aca="false">INDEX(C_Name,A20)</f>
        <v>신길삼성래미안 84㎡</v>
      </c>
      <c r="C20" s="21" t="n">
        <v>1</v>
      </c>
      <c r="D20" s="8" t="n">
        <f aca="false">CHOOSE(C20,G1,G2,G3)</f>
        <v>0.02</v>
      </c>
      <c r="E20" s="21" t="n">
        <v>10</v>
      </c>
      <c r="F20" s="21" t="n">
        <f aca="false">MAX(0,E20-NonRes)</f>
        <v>10</v>
      </c>
      <c r="G20" s="14" t="n">
        <f aca="false">INDEX(C_Price,A20)</f>
        <v>13</v>
      </c>
      <c r="H20" s="14" t="n">
        <f aca="false">INDEX(C_Acq,A20)</f>
        <v>0.429</v>
      </c>
      <c r="I20" s="14" t="n">
        <f aca="false">INDEX(C_Fee,A20)</f>
        <v>0.1058</v>
      </c>
      <c r="J20" s="14" t="n">
        <f aca="false">INDEX(C_Loan,A20)</f>
        <v>5.2</v>
      </c>
      <c r="K20" s="30" t="n">
        <f aca="false">G20-J20+H20+I20</f>
        <v>8.3348</v>
      </c>
      <c r="L20" s="30" t="n">
        <f aca="false">G20*(1+D20)^E20</f>
        <v>15.8469274599318</v>
      </c>
      <c r="M20" s="30" t="n">
        <f aca="false">L20*LOOKUP(L20,FeeLo,FeeR)*(1+VAT)</f>
        <v>0.122021341441475</v>
      </c>
      <c r="N20" s="30" t="n">
        <f aca="false">-CUMIPMT(Rm,LoanYears*12,J20,1,E20*12,0)</f>
        <v>1.87583732270669</v>
      </c>
      <c r="O20" s="30" t="n">
        <f aca="false">J20*(1+Rm)^(E20*12)-(J20*Rm/(1-(1+Rm)^(-LoanYears*12)))*((1+Rm)^(E20*12)-1)/Rm</f>
        <v>4.09676587900224</v>
      </c>
      <c r="P20" s="16" t="n">
        <f aca="false">SUMIFS(Sch_Total,Sch_Idx,A20,Sch_Scen,C20,Sch_Year,"&lt;="&amp;E20)</f>
        <v>0.286545470207653</v>
      </c>
      <c r="Q20" s="30" t="n">
        <f aca="false">H20+I20+M20</f>
        <v>0.656821341441475</v>
      </c>
      <c r="R20" s="30" t="n">
        <f aca="false">L20-G20-Q20</f>
        <v>2.19010611849037</v>
      </c>
      <c r="S20" s="30" t="n">
        <f aca="false">MAX(0,IF(F20&gt;=2,IF(L20&gt;Exempt,R20*(L20-Exempt)/L20,0),R20))</f>
        <v>0.531660120782908</v>
      </c>
      <c r="T20" s="8" t="n">
        <f aca="false">IF(F20&gt;=2,MIN(MaxDed,MIN(0.4,HoldRate*E20)+MIN(0.4,LiveRate*F20)),IF(E20&gt;=3,MIN(0.3,0.02*E20),0))</f>
        <v>0.8</v>
      </c>
      <c r="U20" s="30" t="n">
        <f aca="false">S20*(1-T20)</f>
        <v>0.106332024156582</v>
      </c>
      <c r="V20" s="30" t="n">
        <f aca="false">MAX(0,U20-InitDed)</f>
        <v>0.0813320241565816</v>
      </c>
      <c r="W20" s="16" t="n">
        <f aca="false">SUMPRODUCT((V20&gt;CLo)*(V20-CLo)*CD)*(1+LocalTax)</f>
        <v>0.00536791359433439</v>
      </c>
      <c r="X20" s="30" t="n">
        <f aca="false">H20+P20+W20</f>
        <v>0.720913383801987</v>
      </c>
      <c r="Y20" s="16" t="n">
        <f aca="false">(L20-G20)-H20-I20-M20-N20-P20-W20</f>
        <v>0.0223554119816972</v>
      </c>
      <c r="Z20" s="8" t="n">
        <f aca="false">Y20/K20</f>
        <v>0.00268217737458574</v>
      </c>
      <c r="AA20" s="8" t="n">
        <f aca="false">IF(1+Z20&gt;0,(1+Z20)^(1/E20)-1,-1)</f>
        <v>0.000267894552925307</v>
      </c>
      <c r="AB20" s="30" t="n">
        <f aca="false">L20-O20-M20-W20</f>
        <v>11.6227723258938</v>
      </c>
      <c r="AC20" s="29" t="n">
        <f aca="false">AB20/K20</f>
        <v>1.39448724935137</v>
      </c>
      <c r="AD20" s="30" t="n">
        <f aca="false">K20*((1+DepRate*(1-DepTax))^E20-1)</f>
        <v>2.37406900008725</v>
      </c>
      <c r="AE20" s="30" t="n">
        <f aca="false">Y20-AD20</f>
        <v>-2.35171358810555</v>
      </c>
    </row>
    <row r="21" customFormat="false" ht="15" hidden="false" customHeight="false" outlineLevel="0" collapsed="false">
      <c r="A21" s="21" t="n">
        <v>2</v>
      </c>
      <c r="B21" s="14" t="str">
        <f aca="false">INDEX(C_Name,A21)</f>
        <v>신길삼성래미안 84㎡</v>
      </c>
      <c r="C21" s="21" t="n">
        <v>2</v>
      </c>
      <c r="D21" s="8" t="n">
        <f aca="false">CHOOSE(C21,G1,G2,G3)</f>
        <v>0.04</v>
      </c>
      <c r="E21" s="21" t="n">
        <v>3</v>
      </c>
      <c r="F21" s="21" t="n">
        <f aca="false">MAX(0,E21-NonRes)</f>
        <v>3</v>
      </c>
      <c r="G21" s="14" t="n">
        <f aca="false">INDEX(C_Price,A21)</f>
        <v>13</v>
      </c>
      <c r="H21" s="14" t="n">
        <f aca="false">INDEX(C_Acq,A21)</f>
        <v>0.429</v>
      </c>
      <c r="I21" s="14" t="n">
        <f aca="false">INDEX(C_Fee,A21)</f>
        <v>0.1058</v>
      </c>
      <c r="J21" s="14" t="n">
        <f aca="false">INDEX(C_Loan,A21)</f>
        <v>5.2</v>
      </c>
      <c r="K21" s="30" t="n">
        <f aca="false">G21-J21+H21+I21</f>
        <v>8.3348</v>
      </c>
      <c r="L21" s="30" t="n">
        <f aca="false">G21*(1+D21)^E21</f>
        <v>14.623232</v>
      </c>
      <c r="M21" s="30" t="n">
        <f aca="false">L21*LOOKUP(L21,FeeLo,FeeR)*(1+VAT)</f>
        <v>0.0965133312</v>
      </c>
      <c r="N21" s="30" t="n">
        <f aca="false">-CUMIPMT(Rm,LoanYears*12,J21,1,E21*12,0)</f>
        <v>0.607655163196859</v>
      </c>
      <c r="O21" s="30" t="n">
        <f aca="false">J21*(1+Rm)^(E21*12)-(J21*Rm/(1-(1+Rm)^(-LoanYears*12)))*((1+Rm)^(E21*12)-1)/Rm</f>
        <v>4.91393373008552</v>
      </c>
      <c r="P21" s="16" t="n">
        <f aca="false">SUMIFS(Sch_Total,Sch_Idx,A21,Sch_Scen,C21,Sch_Year,"&lt;="&amp;E21)</f>
        <v>0.07825359744</v>
      </c>
      <c r="Q21" s="30" t="n">
        <f aca="false">H21+I21+M21</f>
        <v>0.6313133312</v>
      </c>
      <c r="R21" s="30" t="n">
        <f aca="false">L21-G21-Q21</f>
        <v>0.991918668800002</v>
      </c>
      <c r="S21" s="30" t="n">
        <f aca="false">MAX(0,IF(F21&gt;=2,IF(L21&gt;Exempt,R21*(L21-Exempt)/L21,0),R21))</f>
        <v>0.177938282959168</v>
      </c>
      <c r="T21" s="8" t="n">
        <f aca="false">IF(F21&gt;=2,MIN(MaxDed,MIN(0.4,HoldRate*E21)+MIN(0.4,LiveRate*F21)),IF(E21&gt;=3,MIN(0.3,0.02*E21),0))</f>
        <v>0.24</v>
      </c>
      <c r="U21" s="30" t="n">
        <f aca="false">S21*(1-T21)</f>
        <v>0.135233095048968</v>
      </c>
      <c r="V21" s="30" t="n">
        <f aca="false">MAX(0,U21-InitDed)</f>
        <v>0.110233095048968</v>
      </c>
      <c r="W21" s="16" t="n">
        <f aca="false">SUMPRODUCT((V21&gt;CLo)*(V21-CLo)*CD)*(1+LocalTax)</f>
        <v>0.00727538427323189</v>
      </c>
      <c r="X21" s="30" t="n">
        <f aca="false">H21+P21+W21</f>
        <v>0.514528981713232</v>
      </c>
      <c r="Y21" s="16" t="n">
        <f aca="false">(L21-G21)-H21-I21-M21-N21-P21-W21</f>
        <v>0.29873452388991</v>
      </c>
      <c r="Z21" s="8" t="n">
        <f aca="false">Y21/K21</f>
        <v>0.0358418347038814</v>
      </c>
      <c r="AA21" s="8" t="n">
        <f aca="false">IF(1+Z21&gt;0,(1+Z21)^(1/E21)-1,-1)</f>
        <v>0.0118073168076729</v>
      </c>
      <c r="AB21" s="30" t="n">
        <f aca="false">L21-O21-M21-W21</f>
        <v>9.60550955444125</v>
      </c>
      <c r="AC21" s="29" t="n">
        <f aca="false">AB21/K21</f>
        <v>1.15245831386971</v>
      </c>
      <c r="AD21" s="30" t="n">
        <f aca="false">K21*((1+DepRate*(1-DepTax))^E21-1)</f>
        <v>0.65085437675359</v>
      </c>
      <c r="AE21" s="30" t="n">
        <f aca="false">Y21-AD21</f>
        <v>-0.35211985286368</v>
      </c>
    </row>
    <row r="22" customFormat="false" ht="15" hidden="false" customHeight="false" outlineLevel="0" collapsed="false">
      <c r="A22" s="21" t="n">
        <v>2</v>
      </c>
      <c r="B22" s="14" t="str">
        <f aca="false">INDEX(C_Name,A22)</f>
        <v>신길삼성래미안 84㎡</v>
      </c>
      <c r="C22" s="21" t="n">
        <v>2</v>
      </c>
      <c r="D22" s="8" t="n">
        <f aca="false">CHOOSE(C22,G1,G2,G3)</f>
        <v>0.04</v>
      </c>
      <c r="E22" s="21" t="n">
        <v>5</v>
      </c>
      <c r="F22" s="21" t="n">
        <f aca="false">MAX(0,E22-NonRes)</f>
        <v>5</v>
      </c>
      <c r="G22" s="14" t="n">
        <f aca="false">INDEX(C_Price,A22)</f>
        <v>13</v>
      </c>
      <c r="H22" s="14" t="n">
        <f aca="false">INDEX(C_Acq,A22)</f>
        <v>0.429</v>
      </c>
      <c r="I22" s="14" t="n">
        <f aca="false">INDEX(C_Fee,A22)</f>
        <v>0.1058</v>
      </c>
      <c r="J22" s="14" t="n">
        <f aca="false">INDEX(C_Loan,A22)</f>
        <v>5.2</v>
      </c>
      <c r="K22" s="30" t="n">
        <f aca="false">G22-J22+H22+I22</f>
        <v>8.3348</v>
      </c>
      <c r="L22" s="30" t="n">
        <f aca="false">G22*(1+D22)^E22</f>
        <v>15.8164877312</v>
      </c>
      <c r="M22" s="30" t="n">
        <f aca="false">L22*LOOKUP(L22,FeeLo,FeeR)*(1+VAT)</f>
        <v>0.12178695553024</v>
      </c>
      <c r="N22" s="30" t="n">
        <f aca="false">-CUMIPMT(Rm,LoanYears*12,J22,1,E22*12,0)</f>
        <v>0.992806404928962</v>
      </c>
      <c r="O22" s="30" t="n">
        <f aca="false">J22*(1+Rm)^(E22*12)-(J22*Rm/(1-(1+Rm)^(-LoanYears*12)))*((1+Rm)^(E22*12)-1)/Rm</f>
        <v>4.70327068307674</v>
      </c>
      <c r="P22" s="16" t="n">
        <f aca="false">SUMIFS(Sch_Total,Sch_Idx,A22,Sch_Scen,C22,Sch_Year,"&lt;="&amp;E22)</f>
        <v>0.139704817711104</v>
      </c>
      <c r="Q22" s="30" t="n">
        <f aca="false">H22+I22+M22</f>
        <v>0.65658695553024</v>
      </c>
      <c r="R22" s="30" t="n">
        <f aca="false">L22-G22-Q22</f>
        <v>2.15990077566976</v>
      </c>
      <c r="S22" s="30" t="n">
        <f aca="false">MAX(0,IF(F22&gt;=2,IF(L22&gt;Exempt,R22*(L22-Exempt)/L22,0),R22))</f>
        <v>0.521179856808045</v>
      </c>
      <c r="T22" s="8" t="n">
        <f aca="false">IF(F22&gt;=2,MIN(MaxDed,MIN(0.4,HoldRate*E22)+MIN(0.4,LiveRate*F22)),IF(E22&gt;=3,MIN(0.3,0.02*E22),0))</f>
        <v>0.4</v>
      </c>
      <c r="U22" s="30" t="n">
        <f aca="false">S22*(1-T22)</f>
        <v>0.312707914084827</v>
      </c>
      <c r="V22" s="30" t="n">
        <f aca="false">MAX(0,U22-InitDed)</f>
        <v>0.287707914084827</v>
      </c>
      <c r="W22" s="16" t="n">
        <f aca="false">SUMPRODUCT((V22&gt;CLo)*(V22-CLo)*CD)*(1+LocalTax)</f>
        <v>0.0336118058239964</v>
      </c>
      <c r="X22" s="30" t="n">
        <f aca="false">H22+P22+W22</f>
        <v>0.602316623535101</v>
      </c>
      <c r="Y22" s="16" t="n">
        <f aca="false">(L22-G22)-H22-I22-M22-N22-P22-W22</f>
        <v>0.993777747205699</v>
      </c>
      <c r="Z22" s="8" t="n">
        <f aca="false">Y22/K22</f>
        <v>0.119232344772004</v>
      </c>
      <c r="AA22" s="8" t="n">
        <f aca="false">IF(1+Z22&gt;0,(1+Z22)^(1/E22)-1,-1)</f>
        <v>0.0227842943475638</v>
      </c>
      <c r="AB22" s="30" t="n">
        <f aca="false">L22-O22-M22-W22</f>
        <v>10.957818286769</v>
      </c>
      <c r="AC22" s="29" t="n">
        <f aca="false">AB22/K22</f>
        <v>1.31470680601443</v>
      </c>
      <c r="AD22" s="30" t="n">
        <f aca="false">K22*((1+DepRate*(1-DepTax))^E22-1)</f>
        <v>1.11275425186472</v>
      </c>
      <c r="AE22" s="30" t="n">
        <f aca="false">Y22-AD22</f>
        <v>-0.118976504659024</v>
      </c>
    </row>
    <row r="23" customFormat="false" ht="15" hidden="false" customHeight="false" outlineLevel="0" collapsed="false">
      <c r="A23" s="21" t="n">
        <v>2</v>
      </c>
      <c r="B23" s="14" t="str">
        <f aca="false">INDEX(C_Name,A23)</f>
        <v>신길삼성래미안 84㎡</v>
      </c>
      <c r="C23" s="21" t="n">
        <v>2</v>
      </c>
      <c r="D23" s="8" t="n">
        <f aca="false">CHOOSE(C23,G1,G2,G3)</f>
        <v>0.04</v>
      </c>
      <c r="E23" s="21" t="n">
        <v>7</v>
      </c>
      <c r="F23" s="21" t="n">
        <f aca="false">MAX(0,E23-NonRes)</f>
        <v>7</v>
      </c>
      <c r="G23" s="14" t="n">
        <f aca="false">INDEX(C_Price,A23)</f>
        <v>13</v>
      </c>
      <c r="H23" s="14" t="n">
        <f aca="false">INDEX(C_Acq,A23)</f>
        <v>0.429</v>
      </c>
      <c r="I23" s="14" t="n">
        <f aca="false">INDEX(C_Fee,A23)</f>
        <v>0.1058</v>
      </c>
      <c r="J23" s="14" t="n">
        <f aca="false">INDEX(C_Loan,A23)</f>
        <v>5.2</v>
      </c>
      <c r="K23" s="30" t="n">
        <f aca="false">G23-J23+H23+I23</f>
        <v>8.3348</v>
      </c>
      <c r="L23" s="30" t="n">
        <f aca="false">G23*(1+D23)^E23</f>
        <v>17.1071131300659</v>
      </c>
      <c r="M23" s="30" t="n">
        <f aca="false">L23*LOOKUP(L23,FeeLo,FeeR)*(1+VAT)</f>
        <v>0.131724771101508</v>
      </c>
      <c r="N23" s="30" t="n">
        <f aca="false">-CUMIPMT(Rm,LoanYears*12,J23,1,E23*12,0)</f>
        <v>1.36044249754729</v>
      </c>
      <c r="O23" s="30" t="n">
        <f aca="false">J23*(1+Rm)^(E23*12)-(J23*Rm/(1-(1+Rm)^(-LoanYears*12)))*((1+Rm)^(E23*12)-1)/Rm</f>
        <v>4.47509248695418</v>
      </c>
      <c r="P23" s="16" t="n">
        <f aca="false">SUMIFS(Sch_Total,Sch_Idx,A23,Sch_Scen,C23,Sch_Year,"&lt;="&amp;E23)</f>
        <v>0.20740424955633</v>
      </c>
      <c r="Q23" s="30" t="n">
        <f aca="false">H23+I23+M23</f>
        <v>0.666524771101508</v>
      </c>
      <c r="R23" s="30" t="n">
        <f aca="false">L23-G23-Q23</f>
        <v>3.44058835896441</v>
      </c>
      <c r="S23" s="30" t="n">
        <f aca="false">MAX(0,IF(F23&gt;=2,IF(L23&gt;Exempt,R23*(L23-Exempt)/L23,0),R23))</f>
        <v>1.02714431415883</v>
      </c>
      <c r="T23" s="8" t="n">
        <f aca="false">IF(F23&gt;=2,MIN(MaxDed,MIN(0.4,HoldRate*E23)+MIN(0.4,LiveRate*F23)),IF(E23&gt;=3,MIN(0.3,0.02*E23),0))</f>
        <v>0.56</v>
      </c>
      <c r="U23" s="30" t="n">
        <f aca="false">S23*(1-T23)</f>
        <v>0.451943498229886</v>
      </c>
      <c r="V23" s="30" t="n">
        <f aca="false">MAX(0,U23-InitDed)</f>
        <v>0.426943498229886</v>
      </c>
      <c r="W23" s="16" t="n">
        <f aca="false">SUMPRODUCT((V23&gt;CLo)*(V23-CLo)*CD)*(1+LocalTax)</f>
        <v>0.0565856772079313</v>
      </c>
      <c r="X23" s="30" t="n">
        <f aca="false">H23+P23+W23</f>
        <v>0.692989926764261</v>
      </c>
      <c r="Y23" s="16" t="n">
        <f aca="false">(L23-G23)-H23-I23-M23-N23-P23-W23</f>
        <v>1.81615593465286</v>
      </c>
      <c r="Z23" s="8" t="n">
        <f aca="false">Y23/K23</f>
        <v>0.217900361694685</v>
      </c>
      <c r="AA23" s="8" t="n">
        <f aca="false">IF(1+Z23&gt;0,(1+Z23)^(1/E23)-1,-1)</f>
        <v>0.0285614694512575</v>
      </c>
      <c r="AB23" s="30" t="n">
        <f aca="false">L23-O23-M23-W23</f>
        <v>12.4437101948023</v>
      </c>
      <c r="AC23" s="29" t="n">
        <f aca="false">AB23/K23</f>
        <v>1.49298245846359</v>
      </c>
      <c r="AD23" s="30" t="n">
        <f aca="false">K23*((1+DepRate*(1-DepTax))^E23-1)</f>
        <v>1.59839769485441</v>
      </c>
      <c r="AE23" s="30" t="n">
        <f aca="false">Y23-AD23</f>
        <v>0.217758239798454</v>
      </c>
    </row>
    <row r="24" customFormat="false" ht="15" hidden="false" customHeight="false" outlineLevel="0" collapsed="false">
      <c r="A24" s="21" t="n">
        <v>2</v>
      </c>
      <c r="B24" s="14" t="str">
        <f aca="false">INDEX(C_Name,A24)</f>
        <v>신길삼성래미안 84㎡</v>
      </c>
      <c r="C24" s="21" t="n">
        <v>2</v>
      </c>
      <c r="D24" s="8" t="n">
        <f aca="false">CHOOSE(C24,G1,G2,G3)</f>
        <v>0.04</v>
      </c>
      <c r="E24" s="21" t="n">
        <v>10</v>
      </c>
      <c r="F24" s="21" t="n">
        <f aca="false">MAX(0,E24-NonRes)</f>
        <v>10</v>
      </c>
      <c r="G24" s="14" t="n">
        <f aca="false">INDEX(C_Price,A24)</f>
        <v>13</v>
      </c>
      <c r="H24" s="14" t="n">
        <f aca="false">INDEX(C_Acq,A24)</f>
        <v>0.429</v>
      </c>
      <c r="I24" s="14" t="n">
        <f aca="false">INDEX(C_Fee,A24)</f>
        <v>0.1058</v>
      </c>
      <c r="J24" s="14" t="n">
        <f aca="false">INDEX(C_Loan,A24)</f>
        <v>5.2</v>
      </c>
      <c r="K24" s="30" t="n">
        <f aca="false">G24-J24+H24+I24</f>
        <v>8.3348</v>
      </c>
      <c r="L24" s="30" t="n">
        <f aca="false">G24*(1+D24)^E24</f>
        <v>19.2431757039385</v>
      </c>
      <c r="M24" s="30" t="n">
        <f aca="false">L24*LOOKUP(L24,FeeLo,FeeR)*(1+VAT)</f>
        <v>0.148172452920326</v>
      </c>
      <c r="N24" s="30" t="n">
        <f aca="false">-CUMIPMT(Rm,LoanYears*12,J24,1,E24*12,0)</f>
        <v>1.87583732270669</v>
      </c>
      <c r="O24" s="30" t="n">
        <f aca="false">J24*(1+Rm)^(E24*12)-(J24*Rm/(1-(1+Rm)^(-LoanYears*12)))*((1+Rm)^(E24*12)-1)/Rm</f>
        <v>4.09676587900224</v>
      </c>
      <c r="P24" s="16" t="n">
        <f aca="false">SUMIFS(Sch_Total,Sch_Idx,A24,Sch_Scen,C24,Sch_Year,"&lt;="&amp;E24)</f>
        <v>0.325550801744133</v>
      </c>
      <c r="Q24" s="30" t="n">
        <f aca="false">H24+I24+M24</f>
        <v>0.682972452920326</v>
      </c>
      <c r="R24" s="30" t="n">
        <f aca="false">L24-G24-Q24</f>
        <v>5.56020325101815</v>
      </c>
      <c r="S24" s="30" t="n">
        <f aca="false">MAX(0,IF(F24&gt;=2,IF(L24&gt;Exempt,R24*(L24-Exempt)/L24,0),R24))</f>
        <v>2.09287332383977</v>
      </c>
      <c r="T24" s="8" t="n">
        <f aca="false">IF(F24&gt;=2,MIN(MaxDed,MIN(0.4,HoldRate*E24)+MIN(0.4,LiveRate*F24)),IF(E24&gt;=3,MIN(0.3,0.02*E24),0))</f>
        <v>0.8</v>
      </c>
      <c r="U24" s="30" t="n">
        <f aca="false">S24*(1-T24)</f>
        <v>0.418574664767954</v>
      </c>
      <c r="V24" s="30" t="n">
        <f aca="false">MAX(0,U24-InitDed)</f>
        <v>0.393574664767954</v>
      </c>
      <c r="W24" s="16" t="n">
        <f aca="false">SUMPRODUCT((V24&gt;CLo)*(V24-CLo)*CD)*(1+LocalTax)</f>
        <v>0.0510798196867123</v>
      </c>
      <c r="X24" s="30" t="n">
        <f aca="false">H24+P24+W24</f>
        <v>0.805630621430846</v>
      </c>
      <c r="Y24" s="16" t="n">
        <f aca="false">(L24-G24)-H24-I24-M24-N24-P24-W24</f>
        <v>3.30773530688062</v>
      </c>
      <c r="Z24" s="8" t="n">
        <f aca="false">Y24/K24</f>
        <v>0.396858389749078</v>
      </c>
      <c r="AA24" s="8" t="n">
        <f aca="false">IF(1+Z24&gt;0,(1+Z24)^(1/E24)-1,-1)</f>
        <v>0.0339873797843422</v>
      </c>
      <c r="AB24" s="30" t="n">
        <f aca="false">L24-O24-M24-W24</f>
        <v>14.9471575523292</v>
      </c>
      <c r="AC24" s="29" t="n">
        <f aca="false">AB24/K24</f>
        <v>1.7933432778626</v>
      </c>
      <c r="AD24" s="30" t="n">
        <f aca="false">K24*((1+DepRate*(1-DepTax))^E24-1)</f>
        <v>2.37406900008725</v>
      </c>
      <c r="AE24" s="30" t="n">
        <f aca="false">Y24-AD24</f>
        <v>0.93366630679337</v>
      </c>
    </row>
    <row r="25" customFormat="false" ht="15" hidden="false" customHeight="false" outlineLevel="0" collapsed="false">
      <c r="A25" s="21" t="n">
        <v>2</v>
      </c>
      <c r="B25" s="14" t="str">
        <f aca="false">INDEX(C_Name,A25)</f>
        <v>신길삼성래미안 84㎡</v>
      </c>
      <c r="C25" s="21" t="n">
        <v>3</v>
      </c>
      <c r="D25" s="8" t="n">
        <f aca="false">CHOOSE(C25,G1,G2,G3)</f>
        <v>0.06</v>
      </c>
      <c r="E25" s="21" t="n">
        <v>3</v>
      </c>
      <c r="F25" s="21" t="n">
        <f aca="false">MAX(0,E25-NonRes)</f>
        <v>3</v>
      </c>
      <c r="G25" s="14" t="n">
        <f aca="false">INDEX(C_Price,A25)</f>
        <v>13</v>
      </c>
      <c r="H25" s="14" t="n">
        <f aca="false">INDEX(C_Acq,A25)</f>
        <v>0.429</v>
      </c>
      <c r="I25" s="14" t="n">
        <f aca="false">INDEX(C_Fee,A25)</f>
        <v>0.1058</v>
      </c>
      <c r="J25" s="14" t="n">
        <f aca="false">INDEX(C_Loan,A25)</f>
        <v>5.2</v>
      </c>
      <c r="K25" s="30" t="n">
        <f aca="false">G25-J25+H25+I25</f>
        <v>8.3348</v>
      </c>
      <c r="L25" s="30" t="n">
        <f aca="false">G25*(1+D25)^E25</f>
        <v>15.483208</v>
      </c>
      <c r="M25" s="30" t="n">
        <f aca="false">L25*LOOKUP(L25,FeeLo,FeeR)*(1+VAT)</f>
        <v>0.1192207016</v>
      </c>
      <c r="N25" s="30" t="n">
        <f aca="false">-CUMIPMT(Rm,LoanYears*12,J25,1,E25*12,0)</f>
        <v>0.607655163196859</v>
      </c>
      <c r="O25" s="30" t="n">
        <f aca="false">J25*(1+Rm)^(E25*12)-(J25*Rm/(1-(1+Rm)^(-LoanYears*12)))*((1+Rm)^(E25*12)-1)/Rm</f>
        <v>4.91393373008552</v>
      </c>
      <c r="P25" s="16" t="n">
        <f aca="false">SUMIFS(Sch_Total,Sch_Idx,A25,Sch_Scen,C25,Sch_Year,"&lt;="&amp;E25)</f>
        <v>0.08032243824</v>
      </c>
      <c r="Q25" s="30" t="n">
        <f aca="false">H25+I25+M25</f>
        <v>0.6540207016</v>
      </c>
      <c r="R25" s="30" t="n">
        <f aca="false">L25-G25-Q25</f>
        <v>1.8291872984</v>
      </c>
      <c r="S25" s="30" t="n">
        <f aca="false">MAX(0,IF(F25&gt;=2,IF(L25&gt;Exempt,R25*(L25-Exempt)/L25,0),R25))</f>
        <v>0.411506441771322</v>
      </c>
      <c r="T25" s="8" t="n">
        <f aca="false">IF(F25&gt;=2,MIN(MaxDed,MIN(0.4,HoldRate*E25)+MIN(0.4,LiveRate*F25)),IF(E25&gt;=3,MIN(0.3,0.02*E25),0))</f>
        <v>0.24</v>
      </c>
      <c r="U25" s="30" t="n">
        <f aca="false">S25*(1-T25)</f>
        <v>0.312744895746205</v>
      </c>
      <c r="V25" s="30" t="n">
        <f aca="false">MAX(0,U25-InitDed)</f>
        <v>0.287744895746205</v>
      </c>
      <c r="W25" s="16" t="n">
        <f aca="false">SUMPRODUCT((V25&gt;CLo)*(V25-CLo)*CD)*(1+LocalTax)</f>
        <v>0.0336179077981238</v>
      </c>
      <c r="X25" s="30" t="n">
        <f aca="false">H25+P25+W25</f>
        <v>0.542940346038124</v>
      </c>
      <c r="Y25" s="16" t="n">
        <f aca="false">(L25-G25)-H25-I25-M25-N25-P25-W25</f>
        <v>1.10759178916502</v>
      </c>
      <c r="Z25" s="8" t="n">
        <f aca="false">Y25/K25</f>
        <v>0.132887626477542</v>
      </c>
      <c r="AA25" s="8" t="n">
        <f aca="false">IF(1+Z25&gt;0,(1+Z25)^(1/E25)-1,-1)</f>
        <v>0.0424669083696045</v>
      </c>
      <c r="AB25" s="30" t="n">
        <f aca="false">L25-O25-M25-W25</f>
        <v>10.4164356605164</v>
      </c>
      <c r="AC25" s="29" t="n">
        <f aca="false">AB25/K25</f>
        <v>1.24975232285314</v>
      </c>
      <c r="AD25" s="30" t="n">
        <f aca="false">K25*((1+DepRate*(1-DepTax))^E25-1)</f>
        <v>0.65085437675359</v>
      </c>
      <c r="AE25" s="30" t="n">
        <f aca="false">Y25-AD25</f>
        <v>0.456737412411428</v>
      </c>
    </row>
    <row r="26" customFormat="false" ht="15" hidden="false" customHeight="false" outlineLevel="0" collapsed="false">
      <c r="A26" s="21" t="n">
        <v>2</v>
      </c>
      <c r="B26" s="14" t="str">
        <f aca="false">INDEX(C_Name,A26)</f>
        <v>신길삼성래미안 84㎡</v>
      </c>
      <c r="C26" s="21" t="n">
        <v>3</v>
      </c>
      <c r="D26" s="8" t="n">
        <f aca="false">CHOOSE(C26,G1,G2,G3)</f>
        <v>0.06</v>
      </c>
      <c r="E26" s="21" t="n">
        <v>5</v>
      </c>
      <c r="F26" s="21" t="n">
        <f aca="false">MAX(0,E26-NonRes)</f>
        <v>5</v>
      </c>
      <c r="G26" s="14" t="n">
        <f aca="false">INDEX(C_Price,A26)</f>
        <v>13</v>
      </c>
      <c r="H26" s="14" t="n">
        <f aca="false">INDEX(C_Acq,A26)</f>
        <v>0.429</v>
      </c>
      <c r="I26" s="14" t="n">
        <f aca="false">INDEX(C_Fee,A26)</f>
        <v>0.1058</v>
      </c>
      <c r="J26" s="14" t="n">
        <f aca="false">INDEX(C_Loan,A26)</f>
        <v>5.2</v>
      </c>
      <c r="K26" s="30" t="n">
        <f aca="false">G26-J26+H26+I26</f>
        <v>8.3348</v>
      </c>
      <c r="L26" s="30" t="n">
        <f aca="false">G26*(1+D26)^E26</f>
        <v>17.3969325088</v>
      </c>
      <c r="M26" s="30" t="n">
        <f aca="false">L26*LOOKUP(L26,FeeLo,FeeR)*(1+VAT)</f>
        <v>0.13395638031776</v>
      </c>
      <c r="N26" s="30" t="n">
        <f aca="false">-CUMIPMT(Rm,LoanYears*12,J26,1,E26*12,0)</f>
        <v>0.992806404928962</v>
      </c>
      <c r="O26" s="30" t="n">
        <f aca="false">J26*(1+Rm)^(E26*12)-(J26*Rm/(1-(1+Rm)^(-LoanYears*12)))*((1+Rm)^(E26*12)-1)/Rm</f>
        <v>4.70327068307674</v>
      </c>
      <c r="P26" s="16" t="n">
        <f aca="false">SUMIFS(Sch_Total,Sch_Idx,A26,Sch_Scen,C26,Sch_Year,"&lt;="&amp;E26)</f>
        <v>0.147071572726464</v>
      </c>
      <c r="Q26" s="30" t="n">
        <f aca="false">H26+I26+M26</f>
        <v>0.66875638031776</v>
      </c>
      <c r="R26" s="30" t="n">
        <f aca="false">L26-G26-Q26</f>
        <v>3.72817612848224</v>
      </c>
      <c r="S26" s="30" t="n">
        <f aca="false">MAX(0,IF(F26&gt;=2,IF(L26&gt;Exempt,R26*(L26-Exempt)/L26,0),R26))</f>
        <v>1.15656682211994</v>
      </c>
      <c r="T26" s="8" t="n">
        <f aca="false">IF(F26&gt;=2,MIN(MaxDed,MIN(0.4,HoldRate*E26)+MIN(0.4,LiveRate*F26)),IF(E26&gt;=3,MIN(0.3,0.02*E26),0))</f>
        <v>0.4</v>
      </c>
      <c r="U26" s="30" t="n">
        <f aca="false">S26*(1-T26)</f>
        <v>0.693940093271966</v>
      </c>
      <c r="V26" s="30" t="n">
        <f aca="false">MAX(0,U26-InitDed)</f>
        <v>0.668940093271966</v>
      </c>
      <c r="W26" s="16" t="n">
        <f aca="false">SUMPRODUCT((V26&gt;CLo)*(V26-CLo)*CD)*(1+LocalTax)</f>
        <v>0.113240184623799</v>
      </c>
      <c r="X26" s="30" t="n">
        <f aca="false">H26+P26+W26</f>
        <v>0.689311757350263</v>
      </c>
      <c r="Y26" s="16" t="n">
        <f aca="false">(L26-G26)-H26-I26-M26-N26-P26-W26</f>
        <v>2.47505796620302</v>
      </c>
      <c r="Z26" s="8" t="n">
        <f aca="false">Y26/K26</f>
        <v>0.296954691918584</v>
      </c>
      <c r="AA26" s="8" t="n">
        <f aca="false">IF(1+Z26&gt;0,(1+Z26)^(1/E26)-1,-1)</f>
        <v>0.0533797393949285</v>
      </c>
      <c r="AB26" s="30" t="n">
        <f aca="false">L26-O26-M26-W26</f>
        <v>12.4464652607817</v>
      </c>
      <c r="AC26" s="29" t="n">
        <f aca="false">AB26/K26</f>
        <v>1.49331300820436</v>
      </c>
      <c r="AD26" s="30" t="n">
        <f aca="false">K26*((1+DepRate*(1-DepTax))^E26-1)</f>
        <v>1.11275425186472</v>
      </c>
      <c r="AE26" s="30" t="n">
        <f aca="false">Y26-AD26</f>
        <v>1.36230371433829</v>
      </c>
    </row>
    <row r="27" customFormat="false" ht="15" hidden="false" customHeight="false" outlineLevel="0" collapsed="false">
      <c r="A27" s="21" t="n">
        <v>2</v>
      </c>
      <c r="B27" s="14" t="str">
        <f aca="false">INDEX(C_Name,A27)</f>
        <v>신길삼성래미안 84㎡</v>
      </c>
      <c r="C27" s="21" t="n">
        <v>3</v>
      </c>
      <c r="D27" s="8" t="n">
        <f aca="false">CHOOSE(C27,G1,G2,G3)</f>
        <v>0.06</v>
      </c>
      <c r="E27" s="21" t="n">
        <v>7</v>
      </c>
      <c r="F27" s="21" t="n">
        <f aca="false">MAX(0,E27-NonRes)</f>
        <v>7</v>
      </c>
      <c r="G27" s="14" t="n">
        <f aca="false">INDEX(C_Price,A27)</f>
        <v>13</v>
      </c>
      <c r="H27" s="14" t="n">
        <f aca="false">INDEX(C_Acq,A27)</f>
        <v>0.429</v>
      </c>
      <c r="I27" s="14" t="n">
        <f aca="false">INDEX(C_Fee,A27)</f>
        <v>0.1058</v>
      </c>
      <c r="J27" s="14" t="n">
        <f aca="false">INDEX(C_Loan,A27)</f>
        <v>5.2</v>
      </c>
      <c r="K27" s="30" t="n">
        <f aca="false">G27-J27+H27+I27</f>
        <v>8.3348</v>
      </c>
      <c r="L27" s="30" t="n">
        <f aca="false">G27*(1+D27)^E27</f>
        <v>19.5471933668877</v>
      </c>
      <c r="M27" s="30" t="n">
        <f aca="false">L27*LOOKUP(L27,FeeLo,FeeR)*(1+VAT)</f>
        <v>0.150513388925035</v>
      </c>
      <c r="N27" s="30" t="n">
        <f aca="false">-CUMIPMT(Rm,LoanYears*12,J27,1,E27*12,0)</f>
        <v>1.36044249754729</v>
      </c>
      <c r="O27" s="30" t="n">
        <f aca="false">J27*(1+Rm)^(E27*12)-(J27*Rm/(1-(1+Rm)^(-LoanYears*12)))*((1+Rm)^(E27*12)-1)/Rm</f>
        <v>4.47509248695418</v>
      </c>
      <c r="P27" s="16" t="n">
        <f aca="false">SUMIFS(Sch_Total,Sch_Idx,A27,Sch_Scen,C27,Sch_Year,"&lt;="&amp;E27)</f>
        <v>0.226560531760285</v>
      </c>
      <c r="Q27" s="30" t="n">
        <f aca="false">H27+I27+M27</f>
        <v>0.685313388925035</v>
      </c>
      <c r="R27" s="30" t="n">
        <f aca="false">L27-G27-Q27</f>
        <v>5.86187997796265</v>
      </c>
      <c r="S27" s="30" t="n">
        <f aca="false">MAX(0,IF(F27&gt;=2,IF(L27&gt;Exempt,R27*(L27-Exempt)/L27,0),R27))</f>
        <v>2.26327845930628</v>
      </c>
      <c r="T27" s="8" t="n">
        <f aca="false">IF(F27&gt;=2,MIN(MaxDed,MIN(0.4,HoldRate*E27)+MIN(0.4,LiveRate*F27)),IF(E27&gt;=3,MIN(0.3,0.02*E27),0))</f>
        <v>0.56</v>
      </c>
      <c r="U27" s="30" t="n">
        <f aca="false">S27*(1-T27)</f>
        <v>0.995842522094762</v>
      </c>
      <c r="V27" s="30" t="n">
        <f aca="false">MAX(0,U27-InitDed)</f>
        <v>0.970842522094762</v>
      </c>
      <c r="W27" s="16" t="n">
        <f aca="false">SUMPRODUCT((V27&gt;CLo)*(V27-CLo)*CD)*(1+LocalTax)</f>
        <v>0.203934371006483</v>
      </c>
      <c r="X27" s="30" t="n">
        <f aca="false">H27+P27+W27</f>
        <v>0.859494902766768</v>
      </c>
      <c r="Y27" s="16" t="n">
        <f aca="false">(L27-G27)-H27-I27-M27-N27-P27-W27</f>
        <v>4.07094257764859</v>
      </c>
      <c r="Z27" s="8" t="n">
        <f aca="false">Y27/K27</f>
        <v>0.48842714614011</v>
      </c>
      <c r="AA27" s="8" t="n">
        <f aca="false">IF(1+Z27&gt;0,(1+Z27)^(1/E27)-1,-1)</f>
        <v>0.0584622386324598</v>
      </c>
      <c r="AB27" s="30" t="n">
        <f aca="false">L27-O27-M27-W27</f>
        <v>14.717653120002</v>
      </c>
      <c r="AC27" s="29" t="n">
        <f aca="false">AB27/K27</f>
        <v>1.765807592264</v>
      </c>
      <c r="AD27" s="30" t="n">
        <f aca="false">K27*((1+DepRate*(1-DepTax))^E27-1)</f>
        <v>1.59839769485441</v>
      </c>
      <c r="AE27" s="30" t="n">
        <f aca="false">Y27-AD27</f>
        <v>2.47254488279418</v>
      </c>
    </row>
    <row r="28" customFormat="false" ht="15" hidden="false" customHeight="false" outlineLevel="0" collapsed="false">
      <c r="A28" s="21" t="n">
        <v>2</v>
      </c>
      <c r="B28" s="14" t="str">
        <f aca="false">INDEX(C_Name,A28)</f>
        <v>신길삼성래미안 84㎡</v>
      </c>
      <c r="C28" s="21" t="n">
        <v>3</v>
      </c>
      <c r="D28" s="8" t="n">
        <f aca="false">CHOOSE(C28,G1,G2,G3)</f>
        <v>0.06</v>
      </c>
      <c r="E28" s="21" t="n">
        <v>10</v>
      </c>
      <c r="F28" s="21" t="n">
        <f aca="false">MAX(0,E28-NonRes)</f>
        <v>10</v>
      </c>
      <c r="G28" s="14" t="n">
        <f aca="false">INDEX(C_Price,A28)</f>
        <v>13</v>
      </c>
      <c r="H28" s="14" t="n">
        <f aca="false">INDEX(C_Acq,A28)</f>
        <v>0.429</v>
      </c>
      <c r="I28" s="14" t="n">
        <f aca="false">INDEX(C_Fee,A28)</f>
        <v>0.1058</v>
      </c>
      <c r="J28" s="14" t="n">
        <f aca="false">INDEX(C_Loan,A28)</f>
        <v>5.2</v>
      </c>
      <c r="K28" s="30" t="n">
        <f aca="false">G28-J28+H28+I28</f>
        <v>8.3348</v>
      </c>
      <c r="L28" s="30" t="n">
        <f aca="false">G28*(1+D28)^E28</f>
        <v>23.2810200550571</v>
      </c>
      <c r="M28" s="30" t="n">
        <f aca="false">L28*LOOKUP(L28,FeeLo,FeeR)*(1+VAT)</f>
        <v>0.17926385442394</v>
      </c>
      <c r="N28" s="30" t="n">
        <f aca="false">-CUMIPMT(Rm,LoanYears*12,J28,1,E28*12,0)</f>
        <v>1.87583732270669</v>
      </c>
      <c r="O28" s="30" t="n">
        <f aca="false">J28*(1+Rm)^(E28*12)-(J28*Rm/(1-(1+Rm)^(-LoanYears*12)))*((1+Rm)^(E28*12)-1)/Rm</f>
        <v>4.09676587900224</v>
      </c>
      <c r="P28" s="16" t="n">
        <f aca="false">SUMIFS(Sch_Total,Sch_Idx,A28,Sch_Scen,C28,Sch_Year,"&lt;="&amp;E28)</f>
        <v>0.388594062370387</v>
      </c>
      <c r="Q28" s="30" t="n">
        <f aca="false">H28+I28+M28</f>
        <v>0.71406385442394</v>
      </c>
      <c r="R28" s="30" t="n">
        <f aca="false">L28-G28-Q28</f>
        <v>9.56695620063317</v>
      </c>
      <c r="S28" s="30" t="n">
        <f aca="false">MAX(0,IF(F28&gt;=2,IF(L28&gt;Exempt,R28*(L28-Exempt)/L28,0),R28))</f>
        <v>4.63575154825539</v>
      </c>
      <c r="T28" s="8" t="n">
        <f aca="false">IF(F28&gt;=2,MIN(MaxDed,MIN(0.4,HoldRate*E28)+MIN(0.4,LiveRate*F28)),IF(E28&gt;=3,MIN(0.3,0.02*E28),0))</f>
        <v>0.8</v>
      </c>
      <c r="U28" s="30" t="n">
        <f aca="false">S28*(1-T28)</f>
        <v>0.927150309651078</v>
      </c>
      <c r="V28" s="30" t="n">
        <f aca="false">MAX(0,U28-InitDed)</f>
        <v>0.902150309651078</v>
      </c>
      <c r="W28" s="16" t="n">
        <f aca="false">SUMPRODUCT((V28&gt;CLo)*(V28-CLo)*CD)*(1+LocalTax)</f>
        <v>0.177487869215665</v>
      </c>
      <c r="X28" s="30" t="n">
        <f aca="false">H28+P28+W28</f>
        <v>0.995081931586052</v>
      </c>
      <c r="Y28" s="16" t="n">
        <f aca="false">(L28-G28)-H28-I28-M28-N28-P28-W28</f>
        <v>7.12503694634043</v>
      </c>
      <c r="Z28" s="8" t="n">
        <f aca="false">Y28/K28</f>
        <v>0.854853979260502</v>
      </c>
      <c r="AA28" s="8" t="n">
        <f aca="false">IF(1+Z28&gt;0,(1+Z28)^(1/E28)-1,-1)</f>
        <v>0.0637289343978706</v>
      </c>
      <c r="AB28" s="30" t="n">
        <f aca="false">L28-O28-M28-W28</f>
        <v>18.8275024524153</v>
      </c>
      <c r="AC28" s="29" t="n">
        <f aca="false">AB28/K28</f>
        <v>2.25890272740981</v>
      </c>
      <c r="AD28" s="30" t="n">
        <f aca="false">K28*((1+DepRate*(1-DepTax))^E28-1)</f>
        <v>2.37406900008725</v>
      </c>
      <c r="AE28" s="30" t="n">
        <f aca="false">Y28-AD28</f>
        <v>4.75096794625318</v>
      </c>
    </row>
    <row r="29" customFormat="false" ht="15" hidden="false" customHeight="false" outlineLevel="0" collapsed="false">
      <c r="A29" s="21" t="n">
        <v>3</v>
      </c>
      <c r="B29" s="14" t="str">
        <f aca="false">INDEX(C_Name,A29)</f>
        <v>신길 래미안에스티움 84㎡</v>
      </c>
      <c r="C29" s="21" t="n">
        <v>1</v>
      </c>
      <c r="D29" s="8" t="n">
        <f aca="false">CHOOSE(C29,G1,G2,G3)</f>
        <v>0.02</v>
      </c>
      <c r="E29" s="21" t="n">
        <v>3</v>
      </c>
      <c r="F29" s="21" t="n">
        <f aca="false">MAX(0,E29-NonRes)</f>
        <v>3</v>
      </c>
      <c r="G29" s="14" t="n">
        <f aca="false">INDEX(C_Price,A29)</f>
        <v>18.8</v>
      </c>
      <c r="H29" s="14" t="n">
        <f aca="false">INDEX(C_Acq,A29)</f>
        <v>0.6204</v>
      </c>
      <c r="I29" s="14" t="n">
        <f aca="false">INDEX(C_Fee,A29)</f>
        <v>0.16476</v>
      </c>
      <c r="J29" s="14" t="n">
        <f aca="false">INDEX(C_Loan,A29)</f>
        <v>4</v>
      </c>
      <c r="K29" s="30" t="n">
        <f aca="false">G29-J29+H29+I29</f>
        <v>15.58516</v>
      </c>
      <c r="L29" s="30" t="n">
        <f aca="false">G29*(1+D29)^E29</f>
        <v>19.9507104</v>
      </c>
      <c r="M29" s="30" t="n">
        <f aca="false">L29*LOOKUP(L29,FeeLo,FeeR)*(1+VAT)</f>
        <v>0.15362047008</v>
      </c>
      <c r="N29" s="30" t="n">
        <f aca="false">-CUMIPMT(Rm,LoanYears*12,J29,1,E29*12,0)</f>
        <v>0.467427048612969</v>
      </c>
      <c r="O29" s="30" t="n">
        <f aca="false">J29*(1+Rm)^(E29*12)-(J29*Rm/(1-(1+Rm)^(-LoanYears*12)))*((1+Rm)^(E29*12)-1)/Rm</f>
        <v>3.77994902314271</v>
      </c>
      <c r="P29" s="16" t="n">
        <f aca="false">SUMIFS(Sch_Total,Sch_Idx,A29,Sch_Scen,C29,Sch_Year,"&lt;="&amp;E29)</f>
        <v>0.138320404416</v>
      </c>
      <c r="Q29" s="30" t="n">
        <f aca="false">H29+I29+M29</f>
        <v>0.93878047008</v>
      </c>
      <c r="R29" s="30" t="n">
        <f aca="false">L29-G29-Q29</f>
        <v>0.211929929920001</v>
      </c>
      <c r="S29" s="30" t="n">
        <f aca="false">MAX(0,IF(F29&gt;=2,IF(L29&gt;Exempt,R29*(L29-Exempt)/L29,0),R29))</f>
        <v>0.0844578195013159</v>
      </c>
      <c r="T29" s="8" t="n">
        <f aca="false">IF(F29&gt;=2,MIN(MaxDed,MIN(0.4,HoldRate*E29)+MIN(0.4,LiveRate*F29)),IF(E29&gt;=3,MIN(0.3,0.02*E29),0))</f>
        <v>0.24</v>
      </c>
      <c r="U29" s="30" t="n">
        <f aca="false">S29*(1-T29)</f>
        <v>0.0641879428210001</v>
      </c>
      <c r="V29" s="30" t="n">
        <f aca="false">MAX(0,U29-InitDed)</f>
        <v>0.0391879428210001</v>
      </c>
      <c r="W29" s="16" t="n">
        <f aca="false">SUMPRODUCT((V29&gt;CLo)*(V29-CLo)*CD)*(1+LocalTax)</f>
        <v>0.002586404226186</v>
      </c>
      <c r="X29" s="30" t="n">
        <f aca="false">H29+P29+W29</f>
        <v>0.761306808642186</v>
      </c>
      <c r="Y29" s="16" t="n">
        <f aca="false">(L29-G29)-H29-I29-M29-N29-P29-W29</f>
        <v>-0.396403927335153</v>
      </c>
      <c r="Z29" s="8" t="n">
        <f aca="false">Y29/K29</f>
        <v>-0.025434703739657</v>
      </c>
      <c r="AA29" s="8" t="n">
        <f aca="false">IF(1+Z29&gt;0,(1+Z29)^(1/E29)-1,-1)</f>
        <v>-0.00855114829089942</v>
      </c>
      <c r="AB29" s="30" t="n">
        <f aca="false">L29-O29-M29-W29</f>
        <v>16.0145545025511</v>
      </c>
      <c r="AC29" s="29" t="n">
        <f aca="false">AB29/K29</f>
        <v>1.02755149787048</v>
      </c>
      <c r="AD29" s="30" t="n">
        <f aca="false">K29*((1+DepRate*(1-DepTax))^E29-1)</f>
        <v>1.21702615520528</v>
      </c>
      <c r="AE29" s="30" t="n">
        <f aca="false">Y29-AD29</f>
        <v>-1.61343008254044</v>
      </c>
    </row>
    <row r="30" customFormat="false" ht="15" hidden="false" customHeight="false" outlineLevel="0" collapsed="false">
      <c r="A30" s="21" t="n">
        <v>3</v>
      </c>
      <c r="B30" s="14" t="str">
        <f aca="false">INDEX(C_Name,A30)</f>
        <v>신길 래미안에스티움 84㎡</v>
      </c>
      <c r="C30" s="21" t="n">
        <v>1</v>
      </c>
      <c r="D30" s="8" t="n">
        <f aca="false">CHOOSE(C30,G1,G2,G3)</f>
        <v>0.02</v>
      </c>
      <c r="E30" s="21" t="n">
        <v>5</v>
      </c>
      <c r="F30" s="21" t="n">
        <f aca="false">MAX(0,E30-NonRes)</f>
        <v>5</v>
      </c>
      <c r="G30" s="14" t="n">
        <f aca="false">INDEX(C_Price,A30)</f>
        <v>18.8</v>
      </c>
      <c r="H30" s="14" t="n">
        <f aca="false">INDEX(C_Acq,A30)</f>
        <v>0.6204</v>
      </c>
      <c r="I30" s="14" t="n">
        <f aca="false">INDEX(C_Fee,A30)</f>
        <v>0.16476</v>
      </c>
      <c r="J30" s="14" t="n">
        <f aca="false">INDEX(C_Loan,A30)</f>
        <v>4</v>
      </c>
      <c r="K30" s="30" t="n">
        <f aca="false">G30-J30+H30+I30</f>
        <v>15.58516</v>
      </c>
      <c r="L30" s="30" t="n">
        <f aca="false">G30*(1+D30)^E30</f>
        <v>20.75671910016</v>
      </c>
      <c r="M30" s="30" t="n">
        <f aca="false">L30*LOOKUP(L30,FeeLo,FeeR)*(1+VAT)</f>
        <v>0.159826737071232</v>
      </c>
      <c r="N30" s="30" t="n">
        <f aca="false">-CUMIPMT(Rm,LoanYears*12,J30,1,E30*12,0)</f>
        <v>0.76369723456074</v>
      </c>
      <c r="O30" s="30" t="n">
        <f aca="false">J30*(1+Rm)^(E30*12)-(J30*Rm/(1-(1+Rm)^(-LoanYears*12)))*((1+Rm)^(E30*12)-1)/Rm</f>
        <v>3.61790052544364</v>
      </c>
      <c r="P30" s="16" t="n">
        <f aca="false">SUMIFS(Sch_Total,Sch_Idx,A30,Sch_Scen,C30,Sch_Year,"&lt;="&amp;E30)</f>
        <v>0.240349841554406</v>
      </c>
      <c r="Q30" s="30" t="n">
        <f aca="false">H30+I30+M30</f>
        <v>0.944986737071232</v>
      </c>
      <c r="R30" s="30" t="n">
        <f aca="false">L30-G30-Q30</f>
        <v>1.01173236308877</v>
      </c>
      <c r="S30" s="30" t="n">
        <f aca="false">MAX(0,IF(F30&gt;=2,IF(L30&gt;Exempt,R30*(L30-Exempt)/L30,0),R30))</f>
        <v>0.426823529545242</v>
      </c>
      <c r="T30" s="8" t="n">
        <f aca="false">IF(F30&gt;=2,MIN(MaxDed,MIN(0.4,HoldRate*E30)+MIN(0.4,LiveRate*F30)),IF(E30&gt;=3,MIN(0.3,0.02*E30),0))</f>
        <v>0.4</v>
      </c>
      <c r="U30" s="30" t="n">
        <f aca="false">S30*(1-T30)</f>
        <v>0.256094117727145</v>
      </c>
      <c r="V30" s="30" t="n">
        <f aca="false">MAX(0,U30-InitDed)</f>
        <v>0.231094117727145</v>
      </c>
      <c r="W30" s="16" t="n">
        <f aca="false">SUMPRODUCT((V30&gt;CLo)*(V30-CLo)*CD)*(1+LocalTax)</f>
        <v>0.024270529424979</v>
      </c>
      <c r="X30" s="30" t="n">
        <f aca="false">H30+P30+W30</f>
        <v>0.885020370979385</v>
      </c>
      <c r="Y30" s="16" t="n">
        <f aca="false">(L30-G30)-H30-I30-M30-N30-P30-W30</f>
        <v>-0.0165852424513569</v>
      </c>
      <c r="Z30" s="8" t="n">
        <f aca="false">Y30/K30</f>
        <v>-0.00106416889216132</v>
      </c>
      <c r="AA30" s="8" t="n">
        <f aca="false">IF(1+Z30&gt;0,(1+Z30)^(1/E30)-1,-1)</f>
        <v>-0.000212924432755779</v>
      </c>
      <c r="AB30" s="30" t="n">
        <f aca="false">L30-O30-M30-W30</f>
        <v>16.9547213082201</v>
      </c>
      <c r="AC30" s="29" t="n">
        <f aca="false">AB30/K30</f>
        <v>1.08787598640118</v>
      </c>
      <c r="AD30" s="30" t="n">
        <f aca="false">K30*((1+DepRate*(1-DepTax))^E30-1)</f>
        <v>2.08072815856313</v>
      </c>
      <c r="AE30" s="30" t="n">
        <f aca="false">Y30-AD30</f>
        <v>-2.09731340101449</v>
      </c>
    </row>
    <row r="31" customFormat="false" ht="15" hidden="false" customHeight="false" outlineLevel="0" collapsed="false">
      <c r="A31" s="21" t="n">
        <v>3</v>
      </c>
      <c r="B31" s="14" t="str">
        <f aca="false">INDEX(C_Name,A31)</f>
        <v>신길 래미안에스티움 84㎡</v>
      </c>
      <c r="C31" s="21" t="n">
        <v>1</v>
      </c>
      <c r="D31" s="8" t="n">
        <f aca="false">CHOOSE(C31,G1,G2,G3)</f>
        <v>0.02</v>
      </c>
      <c r="E31" s="21" t="n">
        <v>7</v>
      </c>
      <c r="F31" s="21" t="n">
        <f aca="false">MAX(0,E31-NonRes)</f>
        <v>7</v>
      </c>
      <c r="G31" s="14" t="n">
        <f aca="false">INDEX(C_Price,A31)</f>
        <v>18.8</v>
      </c>
      <c r="H31" s="14" t="n">
        <f aca="false">INDEX(C_Acq,A31)</f>
        <v>0.6204</v>
      </c>
      <c r="I31" s="14" t="n">
        <f aca="false">INDEX(C_Fee,A31)</f>
        <v>0.16476</v>
      </c>
      <c r="J31" s="14" t="n">
        <f aca="false">INDEX(C_Loan,A31)</f>
        <v>4</v>
      </c>
      <c r="K31" s="30" t="n">
        <f aca="false">G31-J31+H31+I31</f>
        <v>15.58516</v>
      </c>
      <c r="L31" s="30" t="n">
        <f aca="false">G31*(1+D31)^E31</f>
        <v>21.5952905518065</v>
      </c>
      <c r="M31" s="30" t="n">
        <f aca="false">L31*LOOKUP(L31,FeeLo,FeeR)*(1+VAT)</f>
        <v>0.16628373724891</v>
      </c>
      <c r="N31" s="30" t="n">
        <f aca="false">-CUMIPMT(Rm,LoanYears*12,J31,1,E31*12,0)</f>
        <v>1.04649422888253</v>
      </c>
      <c r="O31" s="30" t="n">
        <f aca="false">J31*(1+Rm)^(E31*12)-(J31*Rm/(1-(1+Rm)^(-LoanYears*12)))*((1+Rm)^(E31*12)-1)/Rm</f>
        <v>3.4423788361186</v>
      </c>
      <c r="P31" s="16" t="n">
        <f aca="false">SUMIFS(Sch_Total,Sch_Idx,A31,Sch_Scen,C31,Sch_Year,"&lt;="&amp;E31)</f>
        <v>0.350602675953204</v>
      </c>
      <c r="Q31" s="30" t="n">
        <f aca="false">H31+I31+M31</f>
        <v>0.95144373724891</v>
      </c>
      <c r="R31" s="30" t="n">
        <f aca="false">L31-G31-Q31</f>
        <v>1.84384681455755</v>
      </c>
      <c r="S31" s="30" t="n">
        <f aca="false">MAX(0,IF(F31&gt;=2,IF(L31&gt;Exempt,R31*(L31-Exempt)/L31,0),R31))</f>
        <v>0.819264083354626</v>
      </c>
      <c r="T31" s="8" t="n">
        <f aca="false">IF(F31&gt;=2,MIN(MaxDed,MIN(0.4,HoldRate*E31)+MIN(0.4,LiveRate*F31)),IF(E31&gt;=3,MIN(0.3,0.02*E31),0))</f>
        <v>0.56</v>
      </c>
      <c r="U31" s="30" t="n">
        <f aca="false">S31*(1-T31)</f>
        <v>0.360476196676035</v>
      </c>
      <c r="V31" s="30" t="n">
        <f aca="false">MAX(0,U31-InitDed)</f>
        <v>0.335476196676035</v>
      </c>
      <c r="W31" s="16" t="n">
        <f aca="false">SUMPRODUCT((V31&gt;CLo)*(V31-CLo)*CD)*(1+LocalTax)</f>
        <v>0.0414935724515458</v>
      </c>
      <c r="X31" s="30" t="n">
        <f aca="false">H31+P31+W31</f>
        <v>1.01249624840475</v>
      </c>
      <c r="Y31" s="16" t="n">
        <f aca="false">(L31-G31)-H31-I31-M31-N31-P31-W31</f>
        <v>0.405256337270273</v>
      </c>
      <c r="Z31" s="8" t="n">
        <f aca="false">Y31/K31</f>
        <v>0.0260027062455742</v>
      </c>
      <c r="AA31" s="8" t="n">
        <f aca="false">IF(1+Z31&gt;0,(1+Z31)^(1/E31)-1,-1)</f>
        <v>0.00367393016996487</v>
      </c>
      <c r="AB31" s="30" t="n">
        <f aca="false">L31-O31-M31-W31</f>
        <v>17.9451344059874</v>
      </c>
      <c r="AC31" s="29" t="n">
        <f aca="false">AB31/K31</f>
        <v>1.15142445800925</v>
      </c>
      <c r="AD31" s="30" t="n">
        <f aca="false">K31*((1+DepRate*(1-DepTax))^E31-1)</f>
        <v>2.98882802442016</v>
      </c>
      <c r="AE31" s="30" t="n">
        <f aca="false">Y31-AD31</f>
        <v>-2.58357168714989</v>
      </c>
    </row>
    <row r="32" customFormat="false" ht="15" hidden="false" customHeight="false" outlineLevel="0" collapsed="false">
      <c r="A32" s="21" t="n">
        <v>3</v>
      </c>
      <c r="B32" s="14" t="str">
        <f aca="false">INDEX(C_Name,A32)</f>
        <v>신길 래미안에스티움 84㎡</v>
      </c>
      <c r="C32" s="21" t="n">
        <v>1</v>
      </c>
      <c r="D32" s="8" t="n">
        <f aca="false">CHOOSE(C32,G1,G2,G3)</f>
        <v>0.02</v>
      </c>
      <c r="E32" s="21" t="n">
        <v>10</v>
      </c>
      <c r="F32" s="21" t="n">
        <f aca="false">MAX(0,E32-NonRes)</f>
        <v>10</v>
      </c>
      <c r="G32" s="14" t="n">
        <f aca="false">INDEX(C_Price,A32)</f>
        <v>18.8</v>
      </c>
      <c r="H32" s="14" t="n">
        <f aca="false">INDEX(C_Acq,A32)</f>
        <v>0.6204</v>
      </c>
      <c r="I32" s="14" t="n">
        <f aca="false">INDEX(C_Fee,A32)</f>
        <v>0.16476</v>
      </c>
      <c r="J32" s="14" t="n">
        <f aca="false">INDEX(C_Loan,A32)</f>
        <v>4</v>
      </c>
      <c r="K32" s="30" t="n">
        <f aca="false">G32-J32+H32+I32</f>
        <v>15.58516</v>
      </c>
      <c r="L32" s="30" t="n">
        <f aca="false">G32*(1+D32)^E32</f>
        <v>22.9170950959014</v>
      </c>
      <c r="M32" s="30" t="n">
        <f aca="false">L32*LOOKUP(L32,FeeLo,FeeR)*(1+VAT)</f>
        <v>0.176461632238441</v>
      </c>
      <c r="N32" s="30" t="n">
        <f aca="false">-CUMIPMT(Rm,LoanYears*12,J32,1,E32*12,0)</f>
        <v>1.44295178669745</v>
      </c>
      <c r="O32" s="30" t="n">
        <f aca="false">J32*(1+Rm)^(E32*12)-(J32*Rm/(1-(1+Rm)^(-LoanYears*12)))*((1+Rm)^(E32*12)-1)/Rm</f>
        <v>3.15135836846326</v>
      </c>
      <c r="P32" s="16" t="n">
        <f aca="false">SUMIFS(Sch_Total,Sch_Idx,A32,Sch_Scen,C32,Sch_Year,"&lt;="&amp;E32)</f>
        <v>0.532131195518948</v>
      </c>
      <c r="Q32" s="30" t="n">
        <f aca="false">H32+I32+M32</f>
        <v>0.961621632238441</v>
      </c>
      <c r="R32" s="30" t="n">
        <f aca="false">L32-G32-Q32</f>
        <v>3.155473463663</v>
      </c>
      <c r="S32" s="30" t="n">
        <f aca="false">MAX(0,IF(F32&gt;=2,IF(L32&gt;Exempt,R32*(L32-Exempt)/L32,0),R32))</f>
        <v>1.50318370331165</v>
      </c>
      <c r="T32" s="8" t="n">
        <f aca="false">IF(F32&gt;=2,MIN(MaxDed,MIN(0.4,HoldRate*E32)+MIN(0.4,LiveRate*F32)),IF(E32&gt;=3,MIN(0.3,0.02*E32),0))</f>
        <v>0.8</v>
      </c>
      <c r="U32" s="30" t="n">
        <f aca="false">S32*(1-T32)</f>
        <v>0.30063674066233</v>
      </c>
      <c r="V32" s="30" t="n">
        <f aca="false">MAX(0,U32-InitDed)</f>
        <v>0.27563674066233</v>
      </c>
      <c r="W32" s="16" t="n">
        <f aca="false">SUMPRODUCT((V32&gt;CLo)*(V32-CLo)*CD)*(1+LocalTax)</f>
        <v>0.0316200622092845</v>
      </c>
      <c r="X32" s="30" t="n">
        <f aca="false">H32+P32+W32</f>
        <v>1.18415125772823</v>
      </c>
      <c r="Y32" s="16" t="n">
        <f aca="false">(L32-G32)-H32-I32-M32-N32-P32-W32</f>
        <v>1.14877041923731</v>
      </c>
      <c r="Z32" s="8" t="n">
        <f aca="false">Y32/K32</f>
        <v>0.0737092477226614</v>
      </c>
      <c r="AA32" s="8" t="n">
        <f aca="false">IF(1+Z32&gt;0,(1+Z32)^(1/E32)-1,-1)</f>
        <v>0.00713727382830687</v>
      </c>
      <c r="AB32" s="30" t="n">
        <f aca="false">L32-O32-M32-W32</f>
        <v>19.5576550329905</v>
      </c>
      <c r="AC32" s="29" t="n">
        <f aca="false">AB32/K32</f>
        <v>1.25488958939083</v>
      </c>
      <c r="AD32" s="30" t="n">
        <f aca="false">K32*((1+DepRate*(1-DepTax))^E32-1)</f>
        <v>4.43924811841913</v>
      </c>
      <c r="AE32" s="30" t="n">
        <f aca="false">Y32-AD32</f>
        <v>-3.29047769918182</v>
      </c>
    </row>
    <row r="33" customFormat="false" ht="15" hidden="false" customHeight="false" outlineLevel="0" collapsed="false">
      <c r="A33" s="21" t="n">
        <v>3</v>
      </c>
      <c r="B33" s="14" t="str">
        <f aca="false">INDEX(C_Name,A33)</f>
        <v>신길 래미안에스티움 84㎡</v>
      </c>
      <c r="C33" s="21" t="n">
        <v>2</v>
      </c>
      <c r="D33" s="8" t="n">
        <f aca="false">CHOOSE(C33,G1,G2,G3)</f>
        <v>0.04</v>
      </c>
      <c r="E33" s="21" t="n">
        <v>3</v>
      </c>
      <c r="F33" s="21" t="n">
        <f aca="false">MAX(0,E33-NonRes)</f>
        <v>3</v>
      </c>
      <c r="G33" s="14" t="n">
        <f aca="false">INDEX(C_Price,A33)</f>
        <v>18.8</v>
      </c>
      <c r="H33" s="14" t="n">
        <f aca="false">INDEX(C_Acq,A33)</f>
        <v>0.6204</v>
      </c>
      <c r="I33" s="14" t="n">
        <f aca="false">INDEX(C_Fee,A33)</f>
        <v>0.16476</v>
      </c>
      <c r="J33" s="14" t="n">
        <f aca="false">INDEX(C_Loan,A33)</f>
        <v>4</v>
      </c>
      <c r="K33" s="30" t="n">
        <f aca="false">G33-J33+H33+I33</f>
        <v>15.58516</v>
      </c>
      <c r="L33" s="30" t="n">
        <f aca="false">G33*(1+D33)^E33</f>
        <v>21.1474432</v>
      </c>
      <c r="M33" s="30" t="n">
        <f aca="false">L33*LOOKUP(L33,FeeLo,FeeR)*(1+VAT)</f>
        <v>0.16283531264</v>
      </c>
      <c r="N33" s="30" t="n">
        <f aca="false">-CUMIPMT(Rm,LoanYears*12,J33,1,E33*12,0)</f>
        <v>0.467427048612969</v>
      </c>
      <c r="O33" s="30" t="n">
        <f aca="false">J33*(1+Rm)^(E33*12)-(J33*Rm/(1-(1+Rm)^(-LoanYears*12)))*((1+Rm)^(E33*12)-1)/Rm</f>
        <v>3.77994902314271</v>
      </c>
      <c r="P33" s="16" t="n">
        <f aca="false">SUMIFS(Sch_Total,Sch_Idx,A33,Sch_Scen,C33,Sch_Year,"&lt;="&amp;E33)</f>
        <v>0.144131652864</v>
      </c>
      <c r="Q33" s="30" t="n">
        <f aca="false">H33+I33+M33</f>
        <v>0.94799531264</v>
      </c>
      <c r="R33" s="30" t="n">
        <f aca="false">L33-G33-Q33</f>
        <v>1.39944788736</v>
      </c>
      <c r="S33" s="30" t="n">
        <f aca="false">MAX(0,IF(F33&gt;=2,IF(L33&gt;Exempt,R33*(L33-Exempt)/L33,0),R33))</f>
        <v>0.605338902671014</v>
      </c>
      <c r="T33" s="8" t="n">
        <f aca="false">IF(F33&gt;=2,MIN(MaxDed,MIN(0.4,HoldRate*E33)+MIN(0.4,LiveRate*F33)),IF(E33&gt;=3,MIN(0.3,0.02*E33),0))</f>
        <v>0.24</v>
      </c>
      <c r="U33" s="30" t="n">
        <f aca="false">S33*(1-T33)</f>
        <v>0.460057566029971</v>
      </c>
      <c r="V33" s="30" t="n">
        <f aca="false">MAX(0,U33-InitDed)</f>
        <v>0.435057566029971</v>
      </c>
      <c r="W33" s="16" t="n">
        <f aca="false">SUMPRODUCT((V33&gt;CLo)*(V33-CLo)*CD)*(1+LocalTax)</f>
        <v>0.0579244983949452</v>
      </c>
      <c r="X33" s="30" t="n">
        <f aca="false">H33+P33+W33</f>
        <v>0.822456151258945</v>
      </c>
      <c r="Y33" s="16" t="n">
        <f aca="false">(L33-G33)-H33-I33-M33-N33-P33-W33</f>
        <v>0.729964687488087</v>
      </c>
      <c r="Z33" s="8" t="n">
        <f aca="false">Y33/K33</f>
        <v>0.0468371635253079</v>
      </c>
      <c r="AA33" s="8" t="n">
        <f aca="false">IF(1+Z33&gt;0,(1+Z33)^(1/E33)-1,-1)</f>
        <v>0.0153747921551344</v>
      </c>
      <c r="AB33" s="30" t="n">
        <f aca="false">L33-O33-M33-W33</f>
        <v>17.1467343658223</v>
      </c>
      <c r="AC33" s="29" t="n">
        <f aca="false">AB33/K33</f>
        <v>1.10019623576674</v>
      </c>
      <c r="AD33" s="30" t="n">
        <f aca="false">K33*((1+DepRate*(1-DepTax))^E33-1)</f>
        <v>1.21702615520528</v>
      </c>
      <c r="AE33" s="30" t="n">
        <f aca="false">Y33-AD33</f>
        <v>-0.487061467717195</v>
      </c>
    </row>
    <row r="34" customFormat="false" ht="15" hidden="false" customHeight="false" outlineLevel="0" collapsed="false">
      <c r="A34" s="21" t="n">
        <v>3</v>
      </c>
      <c r="B34" s="14" t="str">
        <f aca="false">INDEX(C_Name,A34)</f>
        <v>신길 래미안에스티움 84㎡</v>
      </c>
      <c r="C34" s="21" t="n">
        <v>2</v>
      </c>
      <c r="D34" s="8" t="n">
        <f aca="false">CHOOSE(C34,G1,G2,G3)</f>
        <v>0.04</v>
      </c>
      <c r="E34" s="21" t="n">
        <v>5</v>
      </c>
      <c r="F34" s="21" t="n">
        <f aca="false">MAX(0,E34-NonRes)</f>
        <v>5</v>
      </c>
      <c r="G34" s="14" t="n">
        <f aca="false">INDEX(C_Price,A34)</f>
        <v>18.8</v>
      </c>
      <c r="H34" s="14" t="n">
        <f aca="false">INDEX(C_Acq,A34)</f>
        <v>0.6204</v>
      </c>
      <c r="I34" s="14" t="n">
        <f aca="false">INDEX(C_Fee,A34)</f>
        <v>0.16476</v>
      </c>
      <c r="J34" s="14" t="n">
        <f aca="false">INDEX(C_Loan,A34)</f>
        <v>4</v>
      </c>
      <c r="K34" s="30" t="n">
        <f aca="false">G34-J34+H34+I34</f>
        <v>15.58516</v>
      </c>
      <c r="L34" s="30" t="n">
        <f aca="false">G34*(1+D34)^E34</f>
        <v>22.87307456512</v>
      </c>
      <c r="M34" s="30" t="n">
        <f aca="false">L34*LOOKUP(L34,FeeLo,FeeR)*(1+VAT)</f>
        <v>0.176122674151424</v>
      </c>
      <c r="N34" s="30" t="n">
        <f aca="false">-CUMIPMT(Rm,LoanYears*12,J34,1,E34*12,0)</f>
        <v>0.76369723456074</v>
      </c>
      <c r="O34" s="30" t="n">
        <f aca="false">J34*(1+Rm)^(E34*12)-(J34*Rm/(1-(1+Rm)^(-LoanYears*12)))*((1+Rm)^(E34*12)-1)/Rm</f>
        <v>3.61790052544364</v>
      </c>
      <c r="P34" s="16" t="n">
        <f aca="false">SUMIFS(Sch_Total,Sch_Idx,A34,Sch_Scen,C34,Sch_Year,"&lt;="&amp;E34)</f>
        <v>0.260507125337702</v>
      </c>
      <c r="Q34" s="30" t="n">
        <f aca="false">H34+I34+M34</f>
        <v>0.961282674151424</v>
      </c>
      <c r="R34" s="30" t="n">
        <f aca="false">L34-G34-Q34</f>
        <v>3.11179189096858</v>
      </c>
      <c r="S34" s="30" t="n">
        <f aca="false">MAX(0,IF(F34&gt;=2,IF(L34&gt;Exempt,R34*(L34-Exempt)/L34,0),R34))</f>
        <v>1.47923905749133</v>
      </c>
      <c r="T34" s="8" t="n">
        <f aca="false">IF(F34&gt;=2,MIN(MaxDed,MIN(0.4,HoldRate*E34)+MIN(0.4,LiveRate*F34)),IF(E34&gt;=3,MIN(0.3,0.02*E34),0))</f>
        <v>0.4</v>
      </c>
      <c r="U34" s="30" t="n">
        <f aca="false">S34*(1-T34)</f>
        <v>0.887543434494801</v>
      </c>
      <c r="V34" s="30" t="n">
        <f aca="false">MAX(0,U34-InitDed)</f>
        <v>0.862543434494801</v>
      </c>
      <c r="W34" s="16" t="n">
        <f aca="false">SUMPRODUCT((V34&gt;CLo)*(V34-CLo)*CD)*(1+LocalTax)</f>
        <v>0.164351466706627</v>
      </c>
      <c r="X34" s="30" t="n">
        <f aca="false">H34+P34+W34</f>
        <v>1.04525859204433</v>
      </c>
      <c r="Y34" s="16" t="n">
        <f aca="false">(L34-G34)-H34-I34-M34-N34-P34-W34</f>
        <v>1.92323606436351</v>
      </c>
      <c r="Z34" s="8" t="n">
        <f aca="false">Y34/K34</f>
        <v>0.123401752972925</v>
      </c>
      <c r="AA34" s="8" t="n">
        <f aca="false">IF(1+Z34&gt;0,(1+Z34)^(1/E34)-1,-1)</f>
        <v>0.0235451846200294</v>
      </c>
      <c r="AB34" s="30" t="n">
        <f aca="false">L34-O34-M34-W34</f>
        <v>18.9146998988183</v>
      </c>
      <c r="AC34" s="29" t="n">
        <f aca="false">AB34/K34</f>
        <v>1.21363527219601</v>
      </c>
      <c r="AD34" s="30" t="n">
        <f aca="false">K34*((1+DepRate*(1-DepTax))^E34-1)</f>
        <v>2.08072815856313</v>
      </c>
      <c r="AE34" s="30" t="n">
        <f aca="false">Y34-AD34</f>
        <v>-0.157492094199626</v>
      </c>
    </row>
    <row r="35" customFormat="false" ht="15" hidden="false" customHeight="false" outlineLevel="0" collapsed="false">
      <c r="A35" s="21" t="n">
        <v>3</v>
      </c>
      <c r="B35" s="14" t="str">
        <f aca="false">INDEX(C_Name,A35)</f>
        <v>신길 래미안에스티움 84㎡</v>
      </c>
      <c r="C35" s="21" t="n">
        <v>2</v>
      </c>
      <c r="D35" s="8" t="n">
        <f aca="false">CHOOSE(C35,G1,G2,G3)</f>
        <v>0.04</v>
      </c>
      <c r="E35" s="21" t="n">
        <v>7</v>
      </c>
      <c r="F35" s="21" t="n">
        <f aca="false">MAX(0,E35-NonRes)</f>
        <v>7</v>
      </c>
      <c r="G35" s="14" t="n">
        <f aca="false">INDEX(C_Price,A35)</f>
        <v>18.8</v>
      </c>
      <c r="H35" s="14" t="n">
        <f aca="false">INDEX(C_Acq,A35)</f>
        <v>0.6204</v>
      </c>
      <c r="I35" s="14" t="n">
        <f aca="false">INDEX(C_Fee,A35)</f>
        <v>0.16476</v>
      </c>
      <c r="J35" s="14" t="n">
        <f aca="false">INDEX(C_Loan,A35)</f>
        <v>4</v>
      </c>
      <c r="K35" s="30" t="n">
        <f aca="false">G35-J35+H35+I35</f>
        <v>15.58516</v>
      </c>
      <c r="L35" s="30" t="n">
        <f aca="false">G35*(1+D35)^E35</f>
        <v>24.7395174496338</v>
      </c>
      <c r="M35" s="30" t="n">
        <f aca="false">L35*LOOKUP(L35,FeeLo,FeeR)*(1+VAT)</f>
        <v>0.19049428436218</v>
      </c>
      <c r="N35" s="30" t="n">
        <f aca="false">-CUMIPMT(Rm,LoanYears*12,J35,1,E35*12,0)</f>
        <v>1.04649422888253</v>
      </c>
      <c r="O35" s="30" t="n">
        <f aca="false">J35*(1+Rm)^(E35*12)-(J35*Rm/(1-(1+Rm)^(-LoanYears*12)))*((1+Rm)^(E35*12)-1)/Rm</f>
        <v>3.4423788361186</v>
      </c>
      <c r="P35" s="16" t="n">
        <f aca="false">SUMIFS(Sch_Total,Sch_Idx,A35,Sch_Scen,C35,Sch_Year,"&lt;="&amp;E35)</f>
        <v>0.394662868365259</v>
      </c>
      <c r="Q35" s="30" t="n">
        <f aca="false">H35+I35+M35</f>
        <v>0.97565428436218</v>
      </c>
      <c r="R35" s="30" t="n">
        <f aca="false">L35-G35-Q35</f>
        <v>4.96386316527162</v>
      </c>
      <c r="S35" s="30" t="n">
        <f aca="false">MAX(0,IF(F35&gt;=2,IF(L35&gt;Exempt,R35*(L35-Exempt)/L35,0),R35))</f>
        <v>2.55612186213067</v>
      </c>
      <c r="T35" s="8" t="n">
        <f aca="false">IF(F35&gt;=2,MIN(MaxDed,MIN(0.4,HoldRate*E35)+MIN(0.4,LiveRate*F35)),IF(E35&gt;=3,MIN(0.3,0.02*E35),0))</f>
        <v>0.56</v>
      </c>
      <c r="U35" s="30" t="n">
        <f aca="false">S35*(1-T35)</f>
        <v>1.1246936193375</v>
      </c>
      <c r="V35" s="30" t="n">
        <f aca="false">MAX(0,U35-InitDed)</f>
        <v>1.0996936193375</v>
      </c>
      <c r="W35" s="16" t="n">
        <f aca="false">SUMPRODUCT((V35&gt;CLo)*(V35-CLo)*CD)*(1+LocalTax)</f>
        <v>0.253542043444936</v>
      </c>
      <c r="X35" s="30" t="n">
        <f aca="false">H35+P35+W35</f>
        <v>1.2686049118102</v>
      </c>
      <c r="Y35" s="16" t="n">
        <f aca="false">(L35-G35)-H35-I35-M35-N35-P35-W35</f>
        <v>3.26916402457889</v>
      </c>
      <c r="Z35" s="8" t="n">
        <f aca="false">Y35/K35</f>
        <v>0.20976133864387</v>
      </c>
      <c r="AA35" s="8" t="n">
        <f aca="false">IF(1+Z35&gt;0,(1+Z35)^(1/E35)-1,-1)</f>
        <v>0.0275766877768708</v>
      </c>
      <c r="AB35" s="30" t="n">
        <f aca="false">L35-O35-M35-W35</f>
        <v>20.8531022857081</v>
      </c>
      <c r="AC35" s="29" t="n">
        <f aca="false">AB35/K35</f>
        <v>1.33801015104805</v>
      </c>
      <c r="AD35" s="30" t="n">
        <f aca="false">K35*((1+DepRate*(1-DepTax))^E35-1)</f>
        <v>2.98882802442016</v>
      </c>
      <c r="AE35" s="30" t="n">
        <f aca="false">Y35-AD35</f>
        <v>0.280336000158731</v>
      </c>
    </row>
    <row r="36" customFormat="false" ht="15" hidden="false" customHeight="false" outlineLevel="0" collapsed="false">
      <c r="A36" s="21" t="n">
        <v>3</v>
      </c>
      <c r="B36" s="14" t="str">
        <f aca="false">INDEX(C_Name,A36)</f>
        <v>신길 래미안에스티움 84㎡</v>
      </c>
      <c r="C36" s="21" t="n">
        <v>2</v>
      </c>
      <c r="D36" s="8" t="n">
        <f aca="false">CHOOSE(C36,G1,G2,G3)</f>
        <v>0.04</v>
      </c>
      <c r="E36" s="21" t="n">
        <v>10</v>
      </c>
      <c r="F36" s="21" t="n">
        <f aca="false">MAX(0,E36-NonRes)</f>
        <v>10</v>
      </c>
      <c r="G36" s="14" t="n">
        <f aca="false">INDEX(C_Price,A36)</f>
        <v>18.8</v>
      </c>
      <c r="H36" s="14" t="n">
        <f aca="false">INDEX(C_Acq,A36)</f>
        <v>0.6204</v>
      </c>
      <c r="I36" s="14" t="n">
        <f aca="false">INDEX(C_Fee,A36)</f>
        <v>0.16476</v>
      </c>
      <c r="J36" s="14" t="n">
        <f aca="false">INDEX(C_Loan,A36)</f>
        <v>4</v>
      </c>
      <c r="K36" s="30" t="n">
        <f aca="false">G36-J36+H36+I36</f>
        <v>15.58516</v>
      </c>
      <c r="L36" s="30" t="n">
        <f aca="false">G36*(1+D36)^E36</f>
        <v>27.8285925564649</v>
      </c>
      <c r="M36" s="30" t="n">
        <f aca="false">L36*LOOKUP(L36,FeeLo,FeeR)*(1+VAT)</f>
        <v>0.21428016268478</v>
      </c>
      <c r="N36" s="30" t="n">
        <f aca="false">-CUMIPMT(Rm,LoanYears*12,J36,1,E36*12,0)</f>
        <v>1.44295178669745</v>
      </c>
      <c r="O36" s="30" t="n">
        <f aca="false">J36*(1+Rm)^(E36*12)-(J36*Rm/(1-(1+Rm)^(-LoanYears*12)))*((1+Rm)^(E36*12)-1)/Rm</f>
        <v>3.15135836846326</v>
      </c>
      <c r="P36" s="16" t="n">
        <f aca="false">SUMIFS(Sch_Total,Sch_Idx,A36,Sch_Scen,C36,Sch_Year,"&lt;="&amp;E36)</f>
        <v>0.635733007758503</v>
      </c>
      <c r="Q36" s="30" t="n">
        <f aca="false">H36+I36+M36</f>
        <v>0.99944016268478</v>
      </c>
      <c r="R36" s="30" t="n">
        <f aca="false">L36-G36-Q36</f>
        <v>8.0291523937801</v>
      </c>
      <c r="S36" s="30" t="n">
        <f aca="false">MAX(0,IF(F36&gt;=2,IF(L36&gt;Exempt,R36*(L36-Exempt)/L36,0),R36))</f>
        <v>4.56689218317602</v>
      </c>
      <c r="T36" s="8" t="n">
        <f aca="false">IF(F36&gt;=2,MIN(MaxDed,MIN(0.4,HoldRate*E36)+MIN(0.4,LiveRate*F36)),IF(E36&gt;=3,MIN(0.3,0.02*E36),0))</f>
        <v>0.8</v>
      </c>
      <c r="U36" s="30" t="n">
        <f aca="false">S36*(1-T36)</f>
        <v>0.913378436635204</v>
      </c>
      <c r="V36" s="30" t="n">
        <f aca="false">MAX(0,U36-InitDed)</f>
        <v>0.888378436635203</v>
      </c>
      <c r="W36" s="16" t="n">
        <f aca="false">SUMPRODUCT((V36&gt;CLo)*(V36-CLo)*CD)*(1+LocalTax)</f>
        <v>0.172185698104553</v>
      </c>
      <c r="X36" s="30" t="n">
        <f aca="false">H36+P36+W36</f>
        <v>1.42831870586306</v>
      </c>
      <c r="Y36" s="16" t="n">
        <f aca="false">(L36-G36)-H36-I36-M36-N36-P36-W36</f>
        <v>5.77828190121959</v>
      </c>
      <c r="Z36" s="8" t="n">
        <f aca="false">Y36/K36</f>
        <v>0.370755378912991</v>
      </c>
      <c r="AA36" s="8" t="n">
        <f aca="false">IF(1+Z36&gt;0,(1+Z36)^(1/E36)-1,-1)</f>
        <v>0.0320387305274303</v>
      </c>
      <c r="AB36" s="30" t="n">
        <f aca="false">L36-O36-M36-W36</f>
        <v>24.2907683272123</v>
      </c>
      <c r="AC36" s="29" t="n">
        <f aca="false">AB36/K36</f>
        <v>1.55858318600594</v>
      </c>
      <c r="AD36" s="30" t="n">
        <f aca="false">K36*((1+DepRate*(1-DepTax))^E36-1)</f>
        <v>4.43924811841913</v>
      </c>
      <c r="AE36" s="30" t="n">
        <f aca="false">Y36-AD36</f>
        <v>1.33903378280046</v>
      </c>
    </row>
    <row r="37" customFormat="false" ht="15" hidden="false" customHeight="false" outlineLevel="0" collapsed="false">
      <c r="A37" s="21" t="n">
        <v>3</v>
      </c>
      <c r="B37" s="14" t="str">
        <f aca="false">INDEX(C_Name,A37)</f>
        <v>신길 래미안에스티움 84㎡</v>
      </c>
      <c r="C37" s="21" t="n">
        <v>3</v>
      </c>
      <c r="D37" s="8" t="n">
        <f aca="false">CHOOSE(C37,G1,G2,G3)</f>
        <v>0.06</v>
      </c>
      <c r="E37" s="21" t="n">
        <v>3</v>
      </c>
      <c r="F37" s="21" t="n">
        <f aca="false">MAX(0,E37-NonRes)</f>
        <v>3</v>
      </c>
      <c r="G37" s="14" t="n">
        <f aca="false">INDEX(C_Price,A37)</f>
        <v>18.8</v>
      </c>
      <c r="H37" s="14" t="n">
        <f aca="false">INDEX(C_Acq,A37)</f>
        <v>0.6204</v>
      </c>
      <c r="I37" s="14" t="n">
        <f aca="false">INDEX(C_Fee,A37)</f>
        <v>0.16476</v>
      </c>
      <c r="J37" s="14" t="n">
        <f aca="false">INDEX(C_Loan,A37)</f>
        <v>4</v>
      </c>
      <c r="K37" s="30" t="n">
        <f aca="false">G37-J37+H37+I37</f>
        <v>15.58516</v>
      </c>
      <c r="L37" s="30" t="n">
        <f aca="false">G37*(1+D37)^E37</f>
        <v>22.3911008</v>
      </c>
      <c r="M37" s="30" t="n">
        <f aca="false">L37*LOOKUP(L37,FeeLo,FeeR)*(1+VAT)</f>
        <v>0.17241147616</v>
      </c>
      <c r="N37" s="30" t="n">
        <f aca="false">-CUMIPMT(Rm,LoanYears*12,J37,1,E37*12,0)</f>
        <v>0.467427048612969</v>
      </c>
      <c r="O37" s="30" t="n">
        <f aca="false">J37*(1+Rm)^(E37*12)-(J37*Rm/(1-(1+Rm)^(-LoanYears*12)))*((1+Rm)^(E37*12)-1)/Rm</f>
        <v>3.77994902314271</v>
      </c>
      <c r="P37" s="16" t="n">
        <f aca="false">SUMIFS(Sch_Total,Sch_Idx,A37,Sch_Scen,C37,Sch_Year,"&lt;="&amp;E37)</f>
        <v>0.150018865344</v>
      </c>
      <c r="Q37" s="30" t="n">
        <f aca="false">H37+I37+M37</f>
        <v>0.95757147616</v>
      </c>
      <c r="R37" s="30" t="n">
        <f aca="false">L37-G37-Q37</f>
        <v>2.63352932384</v>
      </c>
      <c r="S37" s="30" t="n">
        <f aca="false">MAX(0,IF(F37&gt;=2,IF(L37&gt;Exempt,R37*(L37-Exempt)/L37,0),R37))</f>
        <v>1.22214932209931</v>
      </c>
      <c r="T37" s="8" t="n">
        <f aca="false">IF(F37&gt;=2,MIN(MaxDed,MIN(0.4,HoldRate*E37)+MIN(0.4,LiveRate*F37)),IF(E37&gt;=3,MIN(0.3,0.02*E37),0))</f>
        <v>0.24</v>
      </c>
      <c r="U37" s="30" t="n">
        <f aca="false">S37*(1-T37)</f>
        <v>0.928833484795476</v>
      </c>
      <c r="V37" s="30" t="n">
        <f aca="false">MAX(0,U37-InitDed)</f>
        <v>0.903833484795476</v>
      </c>
      <c r="W37" s="16" t="n">
        <f aca="false">SUMPRODUCT((V37&gt;CLo)*(V37-CLo)*CD)*(1+LocalTax)</f>
        <v>0.178135891646258</v>
      </c>
      <c r="X37" s="30" t="n">
        <f aca="false">H37+P37+W37</f>
        <v>0.948554756990258</v>
      </c>
      <c r="Y37" s="16" t="n">
        <f aca="false">(L37-G37)-H37-I37-M37-N37-P37-W37</f>
        <v>1.83794751823678</v>
      </c>
      <c r="Z37" s="8" t="n">
        <f aca="false">Y37/K37</f>
        <v>0.117929332662403</v>
      </c>
      <c r="AA37" s="8" t="n">
        <f aca="false">IF(1+Z37&gt;0,(1+Z37)^(1/E37)-1,-1)</f>
        <v>0.0378584298438751</v>
      </c>
      <c r="AB37" s="30" t="n">
        <f aca="false">L37-O37-M37-W37</f>
        <v>18.260604409051</v>
      </c>
      <c r="AC37" s="29" t="n">
        <f aca="false">AB37/K37</f>
        <v>1.17166614966103</v>
      </c>
      <c r="AD37" s="30" t="n">
        <f aca="false">K37*((1+DepRate*(1-DepTax))^E37-1)</f>
        <v>1.21702615520528</v>
      </c>
      <c r="AE37" s="30" t="n">
        <f aca="false">Y37-AD37</f>
        <v>0.620921363031495</v>
      </c>
    </row>
    <row r="38" customFormat="false" ht="15" hidden="false" customHeight="false" outlineLevel="0" collapsed="false">
      <c r="A38" s="21" t="n">
        <v>3</v>
      </c>
      <c r="B38" s="14" t="str">
        <f aca="false">INDEX(C_Name,A38)</f>
        <v>신길 래미안에스티움 84㎡</v>
      </c>
      <c r="C38" s="21" t="n">
        <v>3</v>
      </c>
      <c r="D38" s="8" t="n">
        <f aca="false">CHOOSE(C38,G1,G2,G3)</f>
        <v>0.06</v>
      </c>
      <c r="E38" s="21" t="n">
        <v>5</v>
      </c>
      <c r="F38" s="21" t="n">
        <f aca="false">MAX(0,E38-NonRes)</f>
        <v>5</v>
      </c>
      <c r="G38" s="14" t="n">
        <f aca="false">INDEX(C_Price,A38)</f>
        <v>18.8</v>
      </c>
      <c r="H38" s="14" t="n">
        <f aca="false">INDEX(C_Acq,A38)</f>
        <v>0.6204</v>
      </c>
      <c r="I38" s="14" t="n">
        <f aca="false">INDEX(C_Fee,A38)</f>
        <v>0.16476</v>
      </c>
      <c r="J38" s="14" t="n">
        <f aca="false">INDEX(C_Loan,A38)</f>
        <v>4</v>
      </c>
      <c r="K38" s="30" t="n">
        <f aca="false">G38-J38+H38+I38</f>
        <v>15.58516</v>
      </c>
      <c r="L38" s="30" t="n">
        <f aca="false">G38*(1+D38)^E38</f>
        <v>25.15864085888</v>
      </c>
      <c r="M38" s="30" t="n">
        <f aca="false">L38*LOOKUP(L38,FeeLo,FeeR)*(1+VAT)</f>
        <v>0.193721534613376</v>
      </c>
      <c r="N38" s="30" t="n">
        <f aca="false">-CUMIPMT(Rm,LoanYears*12,J38,1,E38*12,0)</f>
        <v>0.76369723456074</v>
      </c>
      <c r="O38" s="30" t="n">
        <f aca="false">J38*(1+Rm)^(E38*12)-(J38*Rm/(1-(1+Rm)^(-LoanYears*12)))*((1+Rm)^(E38*12)-1)/Rm</f>
        <v>3.61790052544364</v>
      </c>
      <c r="P38" s="16" t="n">
        <f aca="false">SUMIFS(Sch_Total,Sch_Idx,A38,Sch_Scen,C38,Sch_Year,"&lt;="&amp;E38)</f>
        <v>0.281470387500518</v>
      </c>
      <c r="Q38" s="30" t="n">
        <f aca="false">H38+I38+M38</f>
        <v>0.978881534613376</v>
      </c>
      <c r="R38" s="30" t="n">
        <f aca="false">L38-G38-Q38</f>
        <v>5.37975932426663</v>
      </c>
      <c r="S38" s="30" t="n">
        <f aca="false">MAX(0,IF(F38&gt;=2,IF(L38&gt;Exempt,R38*(L38-Exempt)/L38,0),R38))</f>
        <v>2.81375775632368</v>
      </c>
      <c r="T38" s="8" t="n">
        <f aca="false">IF(F38&gt;=2,MIN(MaxDed,MIN(0.4,HoldRate*E38)+MIN(0.4,LiveRate*F38)),IF(E38&gt;=3,MIN(0.3,0.02*E38),0))</f>
        <v>0.4</v>
      </c>
      <c r="U38" s="30" t="n">
        <f aca="false">S38*(1-T38)</f>
        <v>1.68825465379421</v>
      </c>
      <c r="V38" s="30" t="n">
        <f aca="false">MAX(0,U38-InitDed)</f>
        <v>1.66325465379421</v>
      </c>
      <c r="W38" s="16" t="n">
        <f aca="false">SUMPRODUCT((V38&gt;CLo)*(V38-CLo)*CD)*(1+LocalTax)</f>
        <v>0.47590044528598</v>
      </c>
      <c r="X38" s="30" t="n">
        <f aca="false">H38+P38+W38</f>
        <v>1.3777708327865</v>
      </c>
      <c r="Y38" s="16" t="n">
        <f aca="false">(L38-G38)-H38-I38-M38-N38-P38-W38</f>
        <v>3.85869125691939</v>
      </c>
      <c r="Z38" s="8" t="n">
        <f aca="false">Y38/K38</f>
        <v>0.247587529221348</v>
      </c>
      <c r="AA38" s="8" t="n">
        <f aca="false">IF(1+Z38&gt;0,(1+Z38)^(1/E38)-1,-1)</f>
        <v>0.0452356286668005</v>
      </c>
      <c r="AB38" s="30" t="n">
        <f aca="false">L38-O38-M38-W38</f>
        <v>20.871118353537</v>
      </c>
      <c r="AC38" s="29" t="n">
        <f aca="false">AB38/K38</f>
        <v>1.33916612684997</v>
      </c>
      <c r="AD38" s="30" t="n">
        <f aca="false">K38*((1+DepRate*(1-DepTax))^E38-1)</f>
        <v>2.08072815856313</v>
      </c>
      <c r="AE38" s="30" t="n">
        <f aca="false">Y38-AD38</f>
        <v>1.77796309835626</v>
      </c>
    </row>
    <row r="39" customFormat="false" ht="15" hidden="false" customHeight="false" outlineLevel="0" collapsed="false">
      <c r="A39" s="21" t="n">
        <v>3</v>
      </c>
      <c r="B39" s="14" t="str">
        <f aca="false">INDEX(C_Name,A39)</f>
        <v>신길 래미안에스티움 84㎡</v>
      </c>
      <c r="C39" s="21" t="n">
        <v>3</v>
      </c>
      <c r="D39" s="8" t="n">
        <f aca="false">CHOOSE(C39,G1,G2,G3)</f>
        <v>0.06</v>
      </c>
      <c r="E39" s="21" t="n">
        <v>7</v>
      </c>
      <c r="F39" s="21" t="n">
        <f aca="false">MAX(0,E39-NonRes)</f>
        <v>7</v>
      </c>
      <c r="G39" s="14" t="n">
        <f aca="false">INDEX(C_Price,A39)</f>
        <v>18.8</v>
      </c>
      <c r="H39" s="14" t="n">
        <f aca="false">INDEX(C_Acq,A39)</f>
        <v>0.6204</v>
      </c>
      <c r="I39" s="14" t="n">
        <f aca="false">INDEX(C_Fee,A39)</f>
        <v>0.16476</v>
      </c>
      <c r="J39" s="14" t="n">
        <f aca="false">INDEX(C_Loan,A39)</f>
        <v>4</v>
      </c>
      <c r="K39" s="30" t="n">
        <f aca="false">G39-J39+H39+I39</f>
        <v>15.58516</v>
      </c>
      <c r="L39" s="30" t="n">
        <f aca="false">G39*(1+D39)^E39</f>
        <v>28.2682488690376</v>
      </c>
      <c r="M39" s="30" t="n">
        <f aca="false">L39*LOOKUP(L39,FeeLo,FeeR)*(1+VAT)</f>
        <v>0.217665516291589</v>
      </c>
      <c r="N39" s="30" t="n">
        <f aca="false">-CUMIPMT(Rm,LoanYears*12,J39,1,E39*12,0)</f>
        <v>1.04649422888253</v>
      </c>
      <c r="O39" s="30" t="n">
        <f aca="false">J39*(1+Rm)^(E39*12)-(J39*Rm/(1-(1+Rm)^(-LoanYears*12)))*((1+Rm)^(E39*12)-1)/Rm</f>
        <v>3.4423788361186</v>
      </c>
      <c r="P39" s="16" t="n">
        <f aca="false">SUMIFS(Sch_Total,Sch_Idx,A39,Sch_Scen,C39,Sch_Year,"&lt;="&amp;E39)</f>
        <v>0.444252298443792</v>
      </c>
      <c r="Q39" s="30" t="n">
        <f aca="false">H39+I39+M39</f>
        <v>1.00282551629159</v>
      </c>
      <c r="R39" s="30" t="n">
        <f aca="false">L39-G39-Q39</f>
        <v>8.46542335274599</v>
      </c>
      <c r="S39" s="30" t="n">
        <f aca="false">MAX(0,IF(F39&gt;=2,IF(L39&gt;Exempt,R39*(L39-Exempt)/L39,0),R39))</f>
        <v>4.87181270131937</v>
      </c>
      <c r="T39" s="8" t="n">
        <f aca="false">IF(F39&gt;=2,MIN(MaxDed,MIN(0.4,HoldRate*E39)+MIN(0.4,LiveRate*F39)),IF(E39&gt;=3,MIN(0.3,0.02*E39),0))</f>
        <v>0.56</v>
      </c>
      <c r="U39" s="30" t="n">
        <f aca="false">S39*(1-T39)</f>
        <v>2.14359758858052</v>
      </c>
      <c r="V39" s="30" t="n">
        <f aca="false">MAX(0,U39-InitDed)</f>
        <v>2.11859758858052</v>
      </c>
      <c r="W39" s="16" t="n">
        <f aca="false">SUMPRODUCT((V39&gt;CLo)*(V39-CLo)*CD)*(1+LocalTax)</f>
        <v>0.666233792026659</v>
      </c>
      <c r="X39" s="30" t="n">
        <f aca="false">H39+P39+W39</f>
        <v>1.73088609047045</v>
      </c>
      <c r="Y39" s="16" t="n">
        <f aca="false">(L39-G39)-H39-I39-M39-N39-P39-W39</f>
        <v>6.30844303339301</v>
      </c>
      <c r="Z39" s="8" t="n">
        <f aca="false">Y39/K39</f>
        <v>0.404772426679804</v>
      </c>
      <c r="AA39" s="8" t="n">
        <f aca="false">IF(1+Z39&gt;0,(1+Z39)^(1/E39)-1,-1)</f>
        <v>0.049751654362012</v>
      </c>
      <c r="AB39" s="30" t="n">
        <f aca="false">L39-O39-M39-W39</f>
        <v>23.9419707246007</v>
      </c>
      <c r="AC39" s="29" t="n">
        <f aca="false">AB39/K39</f>
        <v>1.53620307552831</v>
      </c>
      <c r="AD39" s="30" t="n">
        <f aca="false">K39*((1+DepRate*(1-DepTax))^E39-1)</f>
        <v>2.98882802442016</v>
      </c>
      <c r="AE39" s="30" t="n">
        <f aca="false">Y39-AD39</f>
        <v>3.31961500897285</v>
      </c>
    </row>
    <row r="40" customFormat="false" ht="15" hidden="false" customHeight="false" outlineLevel="0" collapsed="false">
      <c r="A40" s="21" t="n">
        <v>3</v>
      </c>
      <c r="B40" s="14" t="str">
        <f aca="false">INDEX(C_Name,A40)</f>
        <v>신길 래미안에스티움 84㎡</v>
      </c>
      <c r="C40" s="21" t="n">
        <v>3</v>
      </c>
      <c r="D40" s="8" t="n">
        <f aca="false">CHOOSE(C40,G1,G2,G3)</f>
        <v>0.06</v>
      </c>
      <c r="E40" s="21" t="n">
        <v>10</v>
      </c>
      <c r="F40" s="21" t="n">
        <f aca="false">MAX(0,E40-NonRes)</f>
        <v>10</v>
      </c>
      <c r="G40" s="14" t="n">
        <f aca="false">INDEX(C_Price,A40)</f>
        <v>18.8</v>
      </c>
      <c r="H40" s="14" t="n">
        <f aca="false">INDEX(C_Acq,A40)</f>
        <v>0.6204</v>
      </c>
      <c r="I40" s="14" t="n">
        <f aca="false">INDEX(C_Fee,A40)</f>
        <v>0.16476</v>
      </c>
      <c r="J40" s="14" t="n">
        <f aca="false">INDEX(C_Loan,A40)</f>
        <v>4</v>
      </c>
      <c r="K40" s="30" t="n">
        <f aca="false">G40-J40+H40+I40</f>
        <v>15.58516</v>
      </c>
      <c r="L40" s="30" t="n">
        <f aca="false">G40*(1+D40)^E40</f>
        <v>33.6679366950057</v>
      </c>
      <c r="M40" s="30" t="n">
        <f aca="false">L40*LOOKUP(L40,FeeLo,FeeR)*(1+VAT)</f>
        <v>0.259243112551544</v>
      </c>
      <c r="N40" s="30" t="n">
        <f aca="false">-CUMIPMT(Rm,LoanYears*12,J40,1,E40*12,0)</f>
        <v>1.44295178669745</v>
      </c>
      <c r="O40" s="30" t="n">
        <f aca="false">J40*(1+Rm)^(E40*12)-(J40*Rm/(1-(1+Rm)^(-LoanYears*12)))*((1+Rm)^(E40*12)-1)/Rm</f>
        <v>3.15135836846326</v>
      </c>
      <c r="P40" s="16" t="n">
        <f aca="false">SUMIFS(Sch_Total,Sch_Idx,A40,Sch_Scen,C40,Sch_Year,"&lt;="&amp;E40)</f>
        <v>0.762496850031817</v>
      </c>
      <c r="Q40" s="30" t="n">
        <f aca="false">H40+I40+M40</f>
        <v>1.04440311255154</v>
      </c>
      <c r="R40" s="30" t="n">
        <f aca="false">L40-G40-Q40</f>
        <v>13.8235335824541</v>
      </c>
      <c r="S40" s="30" t="n">
        <f aca="false">MAX(0,IF(F40&gt;=2,IF(L40&gt;Exempt,R40*(L40-Exempt)/L40,0),R40))</f>
        <v>8.8965193584415</v>
      </c>
      <c r="T40" s="8" t="n">
        <f aca="false">IF(F40&gt;=2,MIN(MaxDed,MIN(0.4,HoldRate*E40)+MIN(0.4,LiveRate*F40)),IF(E40&gt;=3,MIN(0.3,0.02*E40),0))</f>
        <v>0.8</v>
      </c>
      <c r="U40" s="30" t="n">
        <f aca="false">S40*(1-T40)</f>
        <v>1.7793038716883</v>
      </c>
      <c r="V40" s="30" t="n">
        <f aca="false">MAX(0,U40-InitDed)</f>
        <v>1.7543038716883</v>
      </c>
      <c r="W40" s="16" t="n">
        <f aca="false">SUMPRODUCT((V40&gt;CLo)*(V40-CLo)*CD)*(1+LocalTax)</f>
        <v>0.513959018365709</v>
      </c>
      <c r="X40" s="30" t="n">
        <f aca="false">H40+P40+W40</f>
        <v>1.89685586839753</v>
      </c>
      <c r="Y40" s="16" t="n">
        <f aca="false">(L40-G40)-H40-I40-M40-N40-P40-W40</f>
        <v>11.1041259273591</v>
      </c>
      <c r="Z40" s="8" t="n">
        <f aca="false">Y40/K40</f>
        <v>0.712480714176765</v>
      </c>
      <c r="AA40" s="8" t="n">
        <f aca="false">IF(1+Z40&gt;0,(1+Z40)^(1/E40)-1,-1)</f>
        <v>0.0552675143925134</v>
      </c>
      <c r="AB40" s="30" t="n">
        <f aca="false">L40-O40-M40-W40</f>
        <v>29.7433761956252</v>
      </c>
      <c r="AC40" s="29" t="n">
        <f aca="false">AB40/K40</f>
        <v>1.90844214596611</v>
      </c>
      <c r="AD40" s="30" t="n">
        <f aca="false">K40*((1+DepRate*(1-DepTax))^E40-1)</f>
        <v>4.43924811841913</v>
      </c>
      <c r="AE40" s="30" t="n">
        <f aca="false">Y40-AD40</f>
        <v>6.66487780894002</v>
      </c>
    </row>
    <row r="41" customFormat="false" ht="15" hidden="false" customHeight="false" outlineLevel="0" collapsed="false">
      <c r="A41" s="21" t="n">
        <v>4</v>
      </c>
      <c r="B41" s="14" t="str">
        <f aca="false">INDEX(C_Name,A41)</f>
        <v>신길 보라매SK뷰 84.98㎡</v>
      </c>
      <c r="C41" s="21" t="n">
        <v>1</v>
      </c>
      <c r="D41" s="8" t="n">
        <f aca="false">CHOOSE(C41,G1,G2,G3)</f>
        <v>0.02</v>
      </c>
      <c r="E41" s="21" t="n">
        <v>3</v>
      </c>
      <c r="F41" s="21" t="n">
        <f aca="false">MAX(0,E41-NonRes)</f>
        <v>3</v>
      </c>
      <c r="G41" s="14" t="n">
        <f aca="false">INDEX(C_Price,A41)</f>
        <v>20.4</v>
      </c>
      <c r="H41" s="14" t="n">
        <f aca="false">INDEX(C_Acq,A41)</f>
        <v>0.6732</v>
      </c>
      <c r="I41" s="14" t="n">
        <f aca="false">INDEX(C_Fee,A41)</f>
        <v>0.17708</v>
      </c>
      <c r="J41" s="14" t="n">
        <f aca="false">INDEX(C_Loan,A41)</f>
        <v>4</v>
      </c>
      <c r="K41" s="30" t="n">
        <f aca="false">G41-J41+H41+I41</f>
        <v>17.25028</v>
      </c>
      <c r="L41" s="30" t="n">
        <f aca="false">G41*(1+D41)^E41</f>
        <v>21.6486432</v>
      </c>
      <c r="M41" s="30" t="n">
        <f aca="false">L41*LOOKUP(L41,FeeLo,FeeR)*(1+VAT)</f>
        <v>0.16669455264</v>
      </c>
      <c r="N41" s="30" t="n">
        <f aca="false">-CUMIPMT(Rm,LoanYears*12,J41,1,E41*12,0)</f>
        <v>0.467427048612969</v>
      </c>
      <c r="O41" s="30" t="n">
        <f aca="false">J41*(1+Rm)^(E41*12)-(J41*Rm/(1-(1+Rm)^(-LoanYears*12)))*((1+Rm)^(E41*12)-1)/Rm</f>
        <v>3.77994902314271</v>
      </c>
      <c r="P41" s="16" t="n">
        <f aca="false">SUMIFS(Sch_Total,Sch_Idx,A41,Sch_Scen,C41,Sch_Year,"&lt;="&amp;E41)</f>
        <v>0.163052353728</v>
      </c>
      <c r="Q41" s="30" t="n">
        <f aca="false">H41+I41+M41</f>
        <v>1.01697455264</v>
      </c>
      <c r="R41" s="30" t="n">
        <f aca="false">L41-G41-Q41</f>
        <v>0.231668647360004</v>
      </c>
      <c r="S41" s="30" t="n">
        <f aca="false">MAX(0,IF(F41&gt;=2,IF(L41&gt;Exempt,R41*(L41-Exempt)/L41,0),R41))</f>
        <v>0.10325303522963</v>
      </c>
      <c r="T41" s="8" t="n">
        <f aca="false">IF(F41&gt;=2,MIN(MaxDed,MIN(0.4,HoldRate*E41)+MIN(0.4,LiveRate*F41)),IF(E41&gt;=3,MIN(0.3,0.02*E41),0))</f>
        <v>0.24</v>
      </c>
      <c r="U41" s="30" t="n">
        <f aca="false">S41*(1-T41)</f>
        <v>0.0784723067745191</v>
      </c>
      <c r="V41" s="30" t="n">
        <f aca="false">MAX(0,U41-InitDed)</f>
        <v>0.0534723067745191</v>
      </c>
      <c r="W41" s="16" t="n">
        <f aca="false">SUMPRODUCT((V41&gt;CLo)*(V41-CLo)*CD)*(1+LocalTax)</f>
        <v>0.00352917224711826</v>
      </c>
      <c r="X41" s="30" t="n">
        <f aca="false">H41+P41+W41</f>
        <v>0.839781525975118</v>
      </c>
      <c r="Y41" s="16" t="n">
        <f aca="false">(L41-G41)-H41-I41-M41-N41-P41-W41</f>
        <v>-0.402339927228083</v>
      </c>
      <c r="Z41" s="8" t="n">
        <f aca="false">Y41/K41</f>
        <v>-0.0233236751651616</v>
      </c>
      <c r="AA41" s="8" t="n">
        <f aca="false">IF(1+Z41&gt;0,(1+Z41)^(1/E41)-1,-1)</f>
        <v>-0.00783579774270626</v>
      </c>
      <c r="AB41" s="30" t="n">
        <f aca="false">L41-O41-M41-W41</f>
        <v>17.6984704519702</v>
      </c>
      <c r="AC41" s="29" t="n">
        <f aca="false">AB41/K41</f>
        <v>1.02598163345582</v>
      </c>
      <c r="AD41" s="30" t="n">
        <f aca="false">K41*((1+DepRate*(1-DepTax))^E41-1)</f>
        <v>1.34705334719788</v>
      </c>
      <c r="AE41" s="30" t="n">
        <f aca="false">Y41-AD41</f>
        <v>-1.74939327442597</v>
      </c>
    </row>
    <row r="42" customFormat="false" ht="15" hidden="false" customHeight="false" outlineLevel="0" collapsed="false">
      <c r="A42" s="21" t="n">
        <v>4</v>
      </c>
      <c r="B42" s="14" t="str">
        <f aca="false">INDEX(C_Name,A42)</f>
        <v>신길 보라매SK뷰 84.98㎡</v>
      </c>
      <c r="C42" s="21" t="n">
        <v>1</v>
      </c>
      <c r="D42" s="8" t="n">
        <f aca="false">CHOOSE(C42,G1,G2,G3)</f>
        <v>0.02</v>
      </c>
      <c r="E42" s="21" t="n">
        <v>5</v>
      </c>
      <c r="F42" s="21" t="n">
        <f aca="false">MAX(0,E42-NonRes)</f>
        <v>5</v>
      </c>
      <c r="G42" s="14" t="n">
        <f aca="false">INDEX(C_Price,A42)</f>
        <v>20.4</v>
      </c>
      <c r="H42" s="14" t="n">
        <f aca="false">INDEX(C_Acq,A42)</f>
        <v>0.6732</v>
      </c>
      <c r="I42" s="14" t="n">
        <f aca="false">INDEX(C_Fee,A42)</f>
        <v>0.17708</v>
      </c>
      <c r="J42" s="14" t="n">
        <f aca="false">INDEX(C_Loan,A42)</f>
        <v>4</v>
      </c>
      <c r="K42" s="30" t="n">
        <f aca="false">G42-J42+H42+I42</f>
        <v>17.25028</v>
      </c>
      <c r="L42" s="30" t="n">
        <f aca="false">G42*(1+D42)^E42</f>
        <v>22.52324838528</v>
      </c>
      <c r="M42" s="30" t="n">
        <f aca="false">L42*LOOKUP(L42,FeeLo,FeeR)*(1+VAT)</f>
        <v>0.173429012566656</v>
      </c>
      <c r="N42" s="30" t="n">
        <f aca="false">-CUMIPMT(Rm,LoanYears*12,J42,1,E42*12,0)</f>
        <v>0.76369723456074</v>
      </c>
      <c r="O42" s="30" t="n">
        <f aca="false">J42*(1+Rm)^(E42*12)-(J42*Rm/(1-(1+Rm)^(-LoanYears*12)))*((1+Rm)^(E42*12)-1)/Rm</f>
        <v>3.61790052544364</v>
      </c>
      <c r="P42" s="16" t="n">
        <f aca="false">SUMIFS(Sch_Total,Sch_Idx,A42,Sch_Scen,C42,Sch_Year,"&lt;="&amp;E42)</f>
        <v>0.282405147218611</v>
      </c>
      <c r="Q42" s="30" t="n">
        <f aca="false">H42+I42+M42</f>
        <v>1.02370901256666</v>
      </c>
      <c r="R42" s="30" t="n">
        <f aca="false">L42-G42-Q42</f>
        <v>1.09953937271334</v>
      </c>
      <c r="S42" s="30" t="n">
        <f aca="false">MAX(0,IF(F42&gt;=2,IF(L42&gt;Exempt,R42*(L42-Exempt)/L42,0),R42))</f>
        <v>0.5137236747795</v>
      </c>
      <c r="T42" s="8" t="n">
        <f aca="false">IF(F42&gt;=2,MIN(MaxDed,MIN(0.4,HoldRate*E42)+MIN(0.4,LiveRate*F42)),IF(E42&gt;=3,MIN(0.3,0.02*E42),0))</f>
        <v>0.4</v>
      </c>
      <c r="U42" s="30" t="n">
        <f aca="false">S42*(1-T42)</f>
        <v>0.3082342048677</v>
      </c>
      <c r="V42" s="30" t="n">
        <f aca="false">MAX(0,U42-InitDed)</f>
        <v>0.2832342048677</v>
      </c>
      <c r="W42" s="16" t="n">
        <f aca="false">SUMPRODUCT((V42&gt;CLo)*(V42-CLo)*CD)*(1+LocalTax)</f>
        <v>0.0328736438031705</v>
      </c>
      <c r="X42" s="30" t="n">
        <f aca="false">H42+P42+W42</f>
        <v>0.988478791021782</v>
      </c>
      <c r="Y42" s="16" t="n">
        <f aca="false">(L42-G42)-H42-I42-M42-N42-P42-W42</f>
        <v>0.0205633471308224</v>
      </c>
      <c r="Z42" s="8" t="n">
        <f aca="false">Y42/K42</f>
        <v>0.00119205874518109</v>
      </c>
      <c r="AA42" s="8" t="n">
        <f aca="false">IF(1+Z42&gt;0,(1+Z42)^(1/E42)-1,-1)</f>
        <v>0.000238298149952465</v>
      </c>
      <c r="AB42" s="30" t="n">
        <f aca="false">L42-O42-M42-W42</f>
        <v>18.6990452034665</v>
      </c>
      <c r="AC42" s="29" t="n">
        <f aca="false">AB42/K42</f>
        <v>1.08398502537156</v>
      </c>
      <c r="AD42" s="30" t="n">
        <f aca="false">K42*((1+DepRate*(1-DepTax))^E42-1)</f>
        <v>2.30303335603218</v>
      </c>
      <c r="AE42" s="30" t="n">
        <f aca="false">Y42-AD42</f>
        <v>-2.28247000890136</v>
      </c>
    </row>
    <row r="43" customFormat="false" ht="15" hidden="false" customHeight="false" outlineLevel="0" collapsed="false">
      <c r="A43" s="21" t="n">
        <v>4</v>
      </c>
      <c r="B43" s="14" t="str">
        <f aca="false">INDEX(C_Name,A43)</f>
        <v>신길 보라매SK뷰 84.98㎡</v>
      </c>
      <c r="C43" s="21" t="n">
        <v>1</v>
      </c>
      <c r="D43" s="8" t="n">
        <f aca="false">CHOOSE(C43,G1,G2,G3)</f>
        <v>0.02</v>
      </c>
      <c r="E43" s="21" t="n">
        <v>7</v>
      </c>
      <c r="F43" s="21" t="n">
        <f aca="false">MAX(0,E43-NonRes)</f>
        <v>7</v>
      </c>
      <c r="G43" s="14" t="n">
        <f aca="false">INDEX(C_Price,A43)</f>
        <v>20.4</v>
      </c>
      <c r="H43" s="14" t="n">
        <f aca="false">INDEX(C_Acq,A43)</f>
        <v>0.6732</v>
      </c>
      <c r="I43" s="14" t="n">
        <f aca="false">INDEX(C_Fee,A43)</f>
        <v>0.17708</v>
      </c>
      <c r="J43" s="14" t="n">
        <f aca="false">INDEX(C_Loan,A43)</f>
        <v>4</v>
      </c>
      <c r="K43" s="30" t="n">
        <f aca="false">G43-J43+H43+I43</f>
        <v>17.25028</v>
      </c>
      <c r="L43" s="30" t="n">
        <f aca="false">G43*(1+D43)^E43</f>
        <v>23.4331876200453</v>
      </c>
      <c r="M43" s="30" t="n">
        <f aca="false">L43*LOOKUP(L43,FeeLo,FeeR)*(1+VAT)</f>
        <v>0.180435544674349</v>
      </c>
      <c r="N43" s="30" t="n">
        <f aca="false">-CUMIPMT(Rm,LoanYears*12,J43,1,E43*12,0)</f>
        <v>1.04649422888253</v>
      </c>
      <c r="O43" s="30" t="n">
        <f aca="false">J43*(1+Rm)^(E43*12)-(J43*Rm/(1-(1+Rm)^(-LoanYears*12)))*((1+Rm)^(E43*12)-1)/Rm</f>
        <v>3.4423788361186</v>
      </c>
      <c r="P43" s="16" t="n">
        <f aca="false">SUMIFS(Sch_Total,Sch_Idx,A43,Sch_Scen,C43,Sch_Year,"&lt;="&amp;E43)</f>
        <v>0.410681201566243</v>
      </c>
      <c r="Q43" s="30" t="n">
        <f aca="false">H43+I43+M43</f>
        <v>1.03071554467435</v>
      </c>
      <c r="R43" s="30" t="n">
        <f aca="false">L43-G43-Q43</f>
        <v>2.00247207537096</v>
      </c>
      <c r="S43" s="30" t="n">
        <f aca="false">MAX(0,IF(F43&gt;=2,IF(L43&gt;Exempt,R43*(L43-Exempt)/L43,0),R43))</f>
        <v>0.977017694427245</v>
      </c>
      <c r="T43" s="8" t="n">
        <f aca="false">IF(F43&gt;=2,MIN(MaxDed,MIN(0.4,HoldRate*E43)+MIN(0.4,LiveRate*F43)),IF(E43&gt;=3,MIN(0.3,0.02*E43),0))</f>
        <v>0.56</v>
      </c>
      <c r="U43" s="30" t="n">
        <f aca="false">S43*(1-T43)</f>
        <v>0.429887785547988</v>
      </c>
      <c r="V43" s="30" t="n">
        <f aca="false">MAX(0,U43-InitDed)</f>
        <v>0.404887785547988</v>
      </c>
      <c r="W43" s="16" t="n">
        <f aca="false">SUMPRODUCT((V43&gt;CLo)*(V43-CLo)*CD)*(1+LocalTax)</f>
        <v>0.052946484615418</v>
      </c>
      <c r="X43" s="30" t="n">
        <f aca="false">H43+P43+W43</f>
        <v>1.13682768618166</v>
      </c>
      <c r="Y43" s="16" t="n">
        <f aca="false">(L43-G43)-H43-I43-M43-N43-P43-W43</f>
        <v>0.492350160306771</v>
      </c>
      <c r="Z43" s="8" t="n">
        <f aca="false">Y43/K43</f>
        <v>0.0285415749951172</v>
      </c>
      <c r="AA43" s="8" t="n">
        <f aca="false">IF(1+Z43&gt;0,(1+Z43)^(1/E43)-1,-1)</f>
        <v>0.00402835670927249</v>
      </c>
      <c r="AB43" s="30" t="n">
        <f aca="false">L43-O43-M43-W43</f>
        <v>19.7574267546369</v>
      </c>
      <c r="AC43" s="29" t="n">
        <f aca="false">AB43/K43</f>
        <v>1.1453394817149</v>
      </c>
      <c r="AD43" s="30" t="n">
        <f aca="false">K43*((1+DepRate*(1-DepTax))^E43-1)</f>
        <v>3.3081546992841</v>
      </c>
      <c r="AE43" s="30" t="n">
        <f aca="false">Y43-AD43</f>
        <v>-2.81580453897733</v>
      </c>
    </row>
    <row r="44" customFormat="false" ht="15" hidden="false" customHeight="false" outlineLevel="0" collapsed="false">
      <c r="A44" s="21" t="n">
        <v>4</v>
      </c>
      <c r="B44" s="14" t="str">
        <f aca="false">INDEX(C_Name,A44)</f>
        <v>신길 보라매SK뷰 84.98㎡</v>
      </c>
      <c r="C44" s="21" t="n">
        <v>1</v>
      </c>
      <c r="D44" s="8" t="n">
        <f aca="false">CHOOSE(C44,G1,G2,G3)</f>
        <v>0.02</v>
      </c>
      <c r="E44" s="21" t="n">
        <v>10</v>
      </c>
      <c r="F44" s="21" t="n">
        <f aca="false">MAX(0,E44-NonRes)</f>
        <v>10</v>
      </c>
      <c r="G44" s="14" t="n">
        <f aca="false">INDEX(C_Price,A44)</f>
        <v>20.4</v>
      </c>
      <c r="H44" s="14" t="n">
        <f aca="false">INDEX(C_Acq,A44)</f>
        <v>0.6732</v>
      </c>
      <c r="I44" s="14" t="n">
        <f aca="false">INDEX(C_Fee,A44)</f>
        <v>0.17708</v>
      </c>
      <c r="J44" s="14" t="n">
        <f aca="false">INDEX(C_Loan,A44)</f>
        <v>4</v>
      </c>
      <c r="K44" s="30" t="n">
        <f aca="false">G44-J44+H44+I44</f>
        <v>17.25028</v>
      </c>
      <c r="L44" s="30" t="n">
        <f aca="false">G44*(1+D44)^E44</f>
        <v>24.8674861678931</v>
      </c>
      <c r="M44" s="30" t="n">
        <f aca="false">L44*LOOKUP(L44,FeeLo,FeeR)*(1+VAT)</f>
        <v>0.191479643492777</v>
      </c>
      <c r="N44" s="30" t="n">
        <f aca="false">-CUMIPMT(Rm,LoanYears*12,J44,1,E44*12,0)</f>
        <v>1.44295178669745</v>
      </c>
      <c r="O44" s="30" t="n">
        <f aca="false">J44*(1+Rm)^(E44*12)-(J44*Rm/(1-(1+Rm)^(-LoanYears*12)))*((1+Rm)^(E44*12)-1)/Rm</f>
        <v>3.15135836846326</v>
      </c>
      <c r="P44" s="16" t="n">
        <f aca="false">SUMIFS(Sch_Total,Sch_Idx,A44,Sch_Scen,C44,Sch_Year,"&lt;="&amp;E44)</f>
        <v>0.62061895683971</v>
      </c>
      <c r="Q44" s="30" t="n">
        <f aca="false">H44+I44+M44</f>
        <v>1.04175964349278</v>
      </c>
      <c r="R44" s="30" t="n">
        <f aca="false">L44-G44-Q44</f>
        <v>3.42572652440027</v>
      </c>
      <c r="S44" s="30" t="n">
        <f aca="false">MAX(0,IF(F44&gt;=2,IF(L44&gt;Exempt,R44*(L44-Exempt)/L44,0),R44))</f>
        <v>1.77261538903028</v>
      </c>
      <c r="T44" s="8" t="n">
        <f aca="false">IF(F44&gt;=2,MIN(MaxDed,MIN(0.4,HoldRate*E44)+MIN(0.4,LiveRate*F44)),IF(E44&gt;=3,MIN(0.3,0.02*E44),0))</f>
        <v>0.8</v>
      </c>
      <c r="U44" s="30" t="n">
        <f aca="false">S44*(1-T44)</f>
        <v>0.354523077806056</v>
      </c>
      <c r="V44" s="30" t="n">
        <f aca="false">MAX(0,U44-InitDed)</f>
        <v>0.329523077806056</v>
      </c>
      <c r="W44" s="16" t="n">
        <f aca="false">SUMPRODUCT((V44&gt;CLo)*(V44-CLo)*CD)*(1+LocalTax)</f>
        <v>0.0405113078379992</v>
      </c>
      <c r="X44" s="30" t="n">
        <f aca="false">H44+P44+W44</f>
        <v>1.33433026467771</v>
      </c>
      <c r="Y44" s="16" t="n">
        <f aca="false">(L44-G44)-H44-I44-M44-N44-P44-W44</f>
        <v>1.32164447302511</v>
      </c>
      <c r="Z44" s="8" t="n">
        <f aca="false">Y44/K44</f>
        <v>0.0766158272807812</v>
      </c>
      <c r="AA44" s="8" t="n">
        <f aca="false">IF(1+Z44&gt;0,(1+Z44)^(1/E44)-1,-1)</f>
        <v>0.00740957889973681</v>
      </c>
      <c r="AB44" s="30" t="n">
        <f aca="false">L44-O44-M44-W44</f>
        <v>21.484136848099</v>
      </c>
      <c r="AC44" s="29" t="n">
        <f aca="false">AB44/K44</f>
        <v>1.24543699279658</v>
      </c>
      <c r="AD44" s="30" t="n">
        <f aca="false">K44*((1+DepRate*(1-DepTax))^E44-1)</f>
        <v>4.91353781624335</v>
      </c>
      <c r="AE44" s="30" t="n">
        <f aca="false">Y44-AD44</f>
        <v>-3.59189334321824</v>
      </c>
    </row>
    <row r="45" customFormat="false" ht="15" hidden="false" customHeight="false" outlineLevel="0" collapsed="false">
      <c r="A45" s="21" t="n">
        <v>4</v>
      </c>
      <c r="B45" s="14" t="str">
        <f aca="false">INDEX(C_Name,A45)</f>
        <v>신길 보라매SK뷰 84.98㎡</v>
      </c>
      <c r="C45" s="21" t="n">
        <v>2</v>
      </c>
      <c r="D45" s="8" t="n">
        <f aca="false">CHOOSE(C45,G1,G2,G3)</f>
        <v>0.04</v>
      </c>
      <c r="E45" s="21" t="n">
        <v>3</v>
      </c>
      <c r="F45" s="21" t="n">
        <f aca="false">MAX(0,E45-NonRes)</f>
        <v>3</v>
      </c>
      <c r="G45" s="14" t="n">
        <f aca="false">INDEX(C_Price,A45)</f>
        <v>20.4</v>
      </c>
      <c r="H45" s="14" t="n">
        <f aca="false">INDEX(C_Acq,A45)</f>
        <v>0.6732</v>
      </c>
      <c r="I45" s="14" t="n">
        <f aca="false">INDEX(C_Fee,A45)</f>
        <v>0.17708</v>
      </c>
      <c r="J45" s="14" t="n">
        <f aca="false">INDEX(C_Loan,A45)</f>
        <v>4</v>
      </c>
      <c r="K45" s="30" t="n">
        <f aca="false">G45-J45+H45+I45</f>
        <v>17.25028</v>
      </c>
      <c r="L45" s="30" t="n">
        <f aca="false">G45*(1+D45)^E45</f>
        <v>22.9472256</v>
      </c>
      <c r="M45" s="30" t="n">
        <f aca="false">L45*LOOKUP(L45,FeeLo,FeeR)*(1+VAT)</f>
        <v>0.17669363712</v>
      </c>
      <c r="N45" s="30" t="n">
        <f aca="false">-CUMIPMT(Rm,LoanYears*12,J45,1,E45*12,0)</f>
        <v>0.467427048612969</v>
      </c>
      <c r="O45" s="30" t="n">
        <f aca="false">J45*(1+Rm)^(E45*12)-(J45*Rm/(1-(1+Rm)^(-LoanYears*12)))*((1+Rm)^(E45*12)-1)/Rm</f>
        <v>3.77994902314271</v>
      </c>
      <c r="P45" s="16" t="n">
        <f aca="false">SUMIFS(Sch_Total,Sch_Idx,A45,Sch_Scen,C45,Sch_Year,"&lt;="&amp;E45)</f>
        <v>0.169358176512</v>
      </c>
      <c r="Q45" s="30" t="n">
        <f aca="false">H45+I45+M45</f>
        <v>1.02697363712</v>
      </c>
      <c r="R45" s="30" t="n">
        <f aca="false">L45-G45-Q45</f>
        <v>1.52025196288</v>
      </c>
      <c r="S45" s="30" t="n">
        <f aca="false">MAX(0,IF(F45&gt;=2,IF(L45&gt;Exempt,R45*(L45-Exempt)/L45,0),R45))</f>
        <v>0.7252528691961</v>
      </c>
      <c r="T45" s="8" t="n">
        <f aca="false">IF(F45&gt;=2,MIN(MaxDed,MIN(0.4,HoldRate*E45)+MIN(0.4,LiveRate*F45)),IF(E45&gt;=3,MIN(0.3,0.02*E45),0))</f>
        <v>0.24</v>
      </c>
      <c r="U45" s="30" t="n">
        <f aca="false">S45*(1-T45)</f>
        <v>0.551192180589036</v>
      </c>
      <c r="V45" s="30" t="n">
        <f aca="false">MAX(0,U45-InitDed)</f>
        <v>0.526192180589036</v>
      </c>
      <c r="W45" s="16" t="n">
        <f aca="false">SUMPRODUCT((V45&gt;CLo)*(V45-CLo)*CD)*(1+LocalTax)</f>
        <v>0.0755547356755055</v>
      </c>
      <c r="X45" s="30" t="n">
        <f aca="false">H45+P45+W45</f>
        <v>0.918112912187506</v>
      </c>
      <c r="Y45" s="16" t="n">
        <f aca="false">(L45-G45)-H45-I45-M45-N45-P45-W45</f>
        <v>0.807912002079527</v>
      </c>
      <c r="Z45" s="8" t="n">
        <f aca="false">Y45/K45</f>
        <v>0.0468347181657067</v>
      </c>
      <c r="AA45" s="8" t="n">
        <f aca="false">IF(1+Z45&gt;0,(1+Z45)^(1/E45)-1,-1)</f>
        <v>0.0153740015328305</v>
      </c>
      <c r="AB45" s="30" t="n">
        <f aca="false">L45-O45-M45-W45</f>
        <v>18.9150282040618</v>
      </c>
      <c r="AC45" s="29" t="n">
        <f aca="false">AB45/K45</f>
        <v>1.09650557579713</v>
      </c>
      <c r="AD45" s="30" t="n">
        <f aca="false">K45*((1+DepRate*(1-DepTax))^E45-1)</f>
        <v>1.34705334719788</v>
      </c>
      <c r="AE45" s="30" t="n">
        <f aca="false">Y45-AD45</f>
        <v>-0.539141345118357</v>
      </c>
    </row>
    <row r="46" customFormat="false" ht="15" hidden="false" customHeight="false" outlineLevel="0" collapsed="false">
      <c r="A46" s="21" t="n">
        <v>4</v>
      </c>
      <c r="B46" s="14" t="str">
        <f aca="false">INDEX(C_Name,A46)</f>
        <v>신길 보라매SK뷰 84.98㎡</v>
      </c>
      <c r="C46" s="21" t="n">
        <v>2</v>
      </c>
      <c r="D46" s="8" t="n">
        <f aca="false">CHOOSE(C46,G1,G2,G3)</f>
        <v>0.04</v>
      </c>
      <c r="E46" s="21" t="n">
        <v>5</v>
      </c>
      <c r="F46" s="21" t="n">
        <f aca="false">MAX(0,E46-NonRes)</f>
        <v>5</v>
      </c>
      <c r="G46" s="14" t="n">
        <f aca="false">INDEX(C_Price,A46)</f>
        <v>20.4</v>
      </c>
      <c r="H46" s="14" t="n">
        <f aca="false">INDEX(C_Acq,A46)</f>
        <v>0.6732</v>
      </c>
      <c r="I46" s="14" t="n">
        <f aca="false">INDEX(C_Fee,A46)</f>
        <v>0.17708</v>
      </c>
      <c r="J46" s="14" t="n">
        <f aca="false">INDEX(C_Loan,A46)</f>
        <v>4</v>
      </c>
      <c r="K46" s="30" t="n">
        <f aca="false">G46-J46+H46+I46</f>
        <v>17.25028</v>
      </c>
      <c r="L46" s="30" t="n">
        <f aca="false">G46*(1+D46)^E46</f>
        <v>24.81971920896</v>
      </c>
      <c r="M46" s="30" t="n">
        <f aca="false">L46*LOOKUP(L46,FeeLo,FeeR)*(1+VAT)</f>
        <v>0.191111837908992</v>
      </c>
      <c r="N46" s="30" t="n">
        <f aca="false">-CUMIPMT(Rm,LoanYears*12,J46,1,E46*12,0)</f>
        <v>0.76369723456074</v>
      </c>
      <c r="O46" s="30" t="n">
        <f aca="false">J46*(1+Rm)^(E46*12)-(J46*Rm/(1-(1+Rm)^(-LoanYears*12)))*((1+Rm)^(E46*12)-1)/Rm</f>
        <v>3.61790052544364</v>
      </c>
      <c r="P46" s="16" t="n">
        <f aca="false">SUMIFS(Sch_Total,Sch_Idx,A46,Sch_Scen,C46,Sch_Year,"&lt;="&amp;E46)</f>
        <v>0.304277944515379</v>
      </c>
      <c r="Q46" s="30" t="n">
        <f aca="false">H46+I46+M46</f>
        <v>1.04139183790899</v>
      </c>
      <c r="R46" s="30" t="n">
        <f aca="false">L46-G46-Q46</f>
        <v>3.37832737105101</v>
      </c>
      <c r="S46" s="30" t="n">
        <f aca="false">MAX(0,IF(F46&gt;=2,IF(L46&gt;Exempt,R46*(L46-Exempt)/L46,0),R46))</f>
        <v>1.74495158177226</v>
      </c>
      <c r="T46" s="8" t="n">
        <f aca="false">IF(F46&gt;=2,MIN(MaxDed,MIN(0.4,HoldRate*E46)+MIN(0.4,LiveRate*F46)),IF(E46&gt;=3,MIN(0.3,0.02*E46),0))</f>
        <v>0.4</v>
      </c>
      <c r="U46" s="30" t="n">
        <f aca="false">S46*(1-T46)</f>
        <v>1.04697094906335</v>
      </c>
      <c r="V46" s="30" t="n">
        <f aca="false">MAX(0,U46-InitDed)</f>
        <v>1.02197094906335</v>
      </c>
      <c r="W46" s="16" t="n">
        <f aca="false">SUMPRODUCT((V46&gt;CLo)*(V46-CLo)*CD)*(1+LocalTax)</f>
        <v>0.223618815389391</v>
      </c>
      <c r="X46" s="30" t="n">
        <f aca="false">H46+P46+W46</f>
        <v>1.20109675990477</v>
      </c>
      <c r="Y46" s="16" t="n">
        <f aca="false">(L46-G46)-H46-I46-M46-N46-P46-W46</f>
        <v>2.0867333765855</v>
      </c>
      <c r="Z46" s="8" t="n">
        <f aca="false">Y46/K46</f>
        <v>0.120968087276583</v>
      </c>
      <c r="AA46" s="8" t="n">
        <f aca="false">IF(1+Z46&gt;0,(1+Z46)^(1/E46)-1,-1)</f>
        <v>0.0231013312761621</v>
      </c>
      <c r="AB46" s="30" t="n">
        <f aca="false">L46-O46-M46-W46</f>
        <v>20.787088030218</v>
      </c>
      <c r="AC46" s="29" t="n">
        <f aca="false">AB46/K46</f>
        <v>1.20502902157055</v>
      </c>
      <c r="AD46" s="30" t="n">
        <f aca="false">K46*((1+DepRate*(1-DepTax))^E46-1)</f>
        <v>2.30303335603218</v>
      </c>
      <c r="AE46" s="30" t="n">
        <f aca="false">Y46-AD46</f>
        <v>-0.216299979446677</v>
      </c>
    </row>
    <row r="47" customFormat="false" ht="15" hidden="false" customHeight="false" outlineLevel="0" collapsed="false">
      <c r="A47" s="21" t="n">
        <v>4</v>
      </c>
      <c r="B47" s="14" t="str">
        <f aca="false">INDEX(C_Name,A47)</f>
        <v>신길 보라매SK뷰 84.98㎡</v>
      </c>
      <c r="C47" s="21" t="n">
        <v>2</v>
      </c>
      <c r="D47" s="8" t="n">
        <f aca="false">CHOOSE(C47,G1,G2,G3)</f>
        <v>0.04</v>
      </c>
      <c r="E47" s="21" t="n">
        <v>7</v>
      </c>
      <c r="F47" s="21" t="n">
        <f aca="false">MAX(0,E47-NonRes)</f>
        <v>7</v>
      </c>
      <c r="G47" s="14" t="n">
        <f aca="false">INDEX(C_Price,A47)</f>
        <v>20.4</v>
      </c>
      <c r="H47" s="14" t="n">
        <f aca="false">INDEX(C_Acq,A47)</f>
        <v>0.6732</v>
      </c>
      <c r="I47" s="14" t="n">
        <f aca="false">INDEX(C_Fee,A47)</f>
        <v>0.17708</v>
      </c>
      <c r="J47" s="14" t="n">
        <f aca="false">INDEX(C_Loan,A47)</f>
        <v>4</v>
      </c>
      <c r="K47" s="30" t="n">
        <f aca="false">G47-J47+H47+I47</f>
        <v>17.25028</v>
      </c>
      <c r="L47" s="30" t="n">
        <f aca="false">G47*(1+D47)^E47</f>
        <v>26.8450082964111</v>
      </c>
      <c r="M47" s="30" t="n">
        <f aca="false">L47*LOOKUP(L47,FeeLo,FeeR)*(1+VAT)</f>
        <v>0.206706563882366</v>
      </c>
      <c r="N47" s="30" t="n">
        <f aca="false">-CUMIPMT(Rm,LoanYears*12,J47,1,E47*12,0)</f>
        <v>1.04649422888253</v>
      </c>
      <c r="O47" s="30" t="n">
        <f aca="false">J47*(1+Rm)^(E47*12)-(J47*Rm/(1-(1+Rm)^(-LoanYears*12)))*((1+Rm)^(E47*12)-1)/Rm</f>
        <v>3.4423788361186</v>
      </c>
      <c r="P47" s="16" t="n">
        <f aca="false">SUMIFS(Sch_Total,Sch_Idx,A47,Sch_Scen,C47,Sch_Year,"&lt;="&amp;E47)</f>
        <v>0.45983937852012</v>
      </c>
      <c r="Q47" s="30" t="n">
        <f aca="false">H47+I47+M47</f>
        <v>1.05698656388237</v>
      </c>
      <c r="R47" s="30" t="n">
        <f aca="false">L47-G47-Q47</f>
        <v>5.38802173252878</v>
      </c>
      <c r="S47" s="30" t="n">
        <f aca="false">MAX(0,IF(F47&gt;=2,IF(L47&gt;Exempt,R47*(L47-Exempt)/L47,0),R47))</f>
        <v>2.97951956048851</v>
      </c>
      <c r="T47" s="8" t="n">
        <f aca="false">IF(F47&gt;=2,MIN(MaxDed,MIN(0.4,HoldRate*E47)+MIN(0.4,LiveRate*F47)),IF(E47&gt;=3,MIN(0.3,0.02*E47),0))</f>
        <v>0.56</v>
      </c>
      <c r="U47" s="30" t="n">
        <f aca="false">S47*(1-T47)</f>
        <v>1.31098860661494</v>
      </c>
      <c r="V47" s="30" t="n">
        <f aca="false">MAX(0,U47-InitDed)</f>
        <v>1.28598860661494</v>
      </c>
      <c r="W47" s="16" t="n">
        <f aca="false">SUMPRODUCT((V47&gt;CLo)*(V47-CLo)*CD)*(1+LocalTax)</f>
        <v>0.325265613546753</v>
      </c>
      <c r="X47" s="30" t="n">
        <f aca="false">H47+P47+W47</f>
        <v>1.45830499206687</v>
      </c>
      <c r="Y47" s="16" t="n">
        <f aca="false">(L47-G47)-H47-I47-M47-N47-P47-W47</f>
        <v>3.55642251157937</v>
      </c>
      <c r="Z47" s="8" t="n">
        <f aca="false">Y47/K47</f>
        <v>0.206166074497305</v>
      </c>
      <c r="AA47" s="8" t="n">
        <f aca="false">IF(1+Z47&gt;0,(1+Z47)^(1/E47)-1,-1)</f>
        <v>0.0271398691828795</v>
      </c>
      <c r="AB47" s="30" t="n">
        <f aca="false">L47-O47-M47-W47</f>
        <v>22.8706572828634</v>
      </c>
      <c r="AC47" s="29" t="n">
        <f aca="false">AB47/K47</f>
        <v>1.32581368434967</v>
      </c>
      <c r="AD47" s="30" t="n">
        <f aca="false">K47*((1+DepRate*(1-DepTax))^E47-1)</f>
        <v>3.3081546992841</v>
      </c>
      <c r="AE47" s="30" t="n">
        <f aca="false">Y47-AD47</f>
        <v>0.248267812295271</v>
      </c>
    </row>
    <row r="48" customFormat="false" ht="15" hidden="false" customHeight="false" outlineLevel="0" collapsed="false">
      <c r="A48" s="21" t="n">
        <v>4</v>
      </c>
      <c r="B48" s="14" t="str">
        <f aca="false">INDEX(C_Name,A48)</f>
        <v>신길 보라매SK뷰 84.98㎡</v>
      </c>
      <c r="C48" s="21" t="n">
        <v>2</v>
      </c>
      <c r="D48" s="8" t="n">
        <f aca="false">CHOOSE(C48,G1,G2,G3)</f>
        <v>0.04</v>
      </c>
      <c r="E48" s="21" t="n">
        <v>10</v>
      </c>
      <c r="F48" s="21" t="n">
        <f aca="false">MAX(0,E48-NonRes)</f>
        <v>10</v>
      </c>
      <c r="G48" s="14" t="n">
        <f aca="false">INDEX(C_Price,A48)</f>
        <v>20.4</v>
      </c>
      <c r="H48" s="14" t="n">
        <f aca="false">INDEX(C_Acq,A48)</f>
        <v>0.6732</v>
      </c>
      <c r="I48" s="14" t="n">
        <f aca="false">INDEX(C_Fee,A48)</f>
        <v>0.17708</v>
      </c>
      <c r="J48" s="14" t="n">
        <f aca="false">INDEX(C_Loan,A48)</f>
        <v>4</v>
      </c>
      <c r="K48" s="30" t="n">
        <f aca="false">G48-J48+H48+I48</f>
        <v>17.25028</v>
      </c>
      <c r="L48" s="30" t="n">
        <f aca="false">G48*(1+D48)^E48</f>
        <v>30.1969834123342</v>
      </c>
      <c r="M48" s="30" t="n">
        <f aca="false">L48*LOOKUP(L48,FeeLo,FeeR)*(1+VAT)</f>
        <v>0.232516772274974</v>
      </c>
      <c r="N48" s="30" t="n">
        <f aca="false">-CUMIPMT(Rm,LoanYears*12,J48,1,E48*12,0)</f>
        <v>1.44295178669745</v>
      </c>
      <c r="O48" s="30" t="n">
        <f aca="false">J48*(1+Rm)^(E48*12)-(J48*Rm/(1-(1+Rm)^(-LoanYears*12)))*((1+Rm)^(E48*12)-1)/Rm</f>
        <v>3.15135836846326</v>
      </c>
      <c r="P48" s="16" t="n">
        <f aca="false">SUMIFS(Sch_Total,Sch_Idx,A48,Sch_Scen,C48,Sch_Year,"&lt;="&amp;E48)</f>
        <v>0.740636338287257</v>
      </c>
      <c r="Q48" s="30" t="n">
        <f aca="false">H48+I48+M48</f>
        <v>1.08279677227497</v>
      </c>
      <c r="R48" s="30" t="n">
        <f aca="false">L48-G48-Q48</f>
        <v>8.71418664005925</v>
      </c>
      <c r="S48" s="30" t="n">
        <f aca="false">MAX(0,IF(F48&gt;=2,IF(L48&gt;Exempt,R48*(L48-Exempt)/L48,0),R48))</f>
        <v>5.25125001977425</v>
      </c>
      <c r="T48" s="8" t="n">
        <f aca="false">IF(F48&gt;=2,MIN(MaxDed,MIN(0.4,HoldRate*E48)+MIN(0.4,LiveRate*F48)),IF(E48&gt;=3,MIN(0.3,0.02*E48),0))</f>
        <v>0.8</v>
      </c>
      <c r="U48" s="30" t="n">
        <f aca="false">S48*(1-T48)</f>
        <v>1.05025000395485</v>
      </c>
      <c r="V48" s="30" t="n">
        <f aca="false">MAX(0,U48-InitDed)</f>
        <v>1.02525000395485</v>
      </c>
      <c r="W48" s="16" t="n">
        <f aca="false">SUMPRODUCT((V48&gt;CLo)*(V48-CLo)*CD)*(1+LocalTax)</f>
        <v>0.224881251522617</v>
      </c>
      <c r="X48" s="30" t="n">
        <f aca="false">H48+P48+W48</f>
        <v>1.63871758980987</v>
      </c>
      <c r="Y48" s="16" t="n">
        <f aca="false">(L48-G48)-H48-I48-M48-N48-P48-W48</f>
        <v>6.30571726355193</v>
      </c>
      <c r="Z48" s="8" t="n">
        <f aca="false">Y48/K48</f>
        <v>0.365542893422711</v>
      </c>
      <c r="AA48" s="8" t="n">
        <f aca="false">IF(1+Z48&gt;0,(1+Z48)^(1/E48)-1,-1)</f>
        <v>0.0316456104617504</v>
      </c>
      <c r="AB48" s="30" t="n">
        <f aca="false">L48-O48-M48-W48</f>
        <v>26.5882270200734</v>
      </c>
      <c r="AC48" s="29" t="n">
        <f aca="false">AB48/K48</f>
        <v>1.54132147536581</v>
      </c>
      <c r="AD48" s="30" t="n">
        <f aca="false">K48*((1+DepRate*(1-DepTax))^E48-1)</f>
        <v>4.91353781624335</v>
      </c>
      <c r="AE48" s="30" t="n">
        <f aca="false">Y48-AD48</f>
        <v>1.39217944730858</v>
      </c>
    </row>
    <row r="49" customFormat="false" ht="15" hidden="false" customHeight="false" outlineLevel="0" collapsed="false">
      <c r="A49" s="21" t="n">
        <v>4</v>
      </c>
      <c r="B49" s="14" t="str">
        <f aca="false">INDEX(C_Name,A49)</f>
        <v>신길 보라매SK뷰 84.98㎡</v>
      </c>
      <c r="C49" s="21" t="n">
        <v>3</v>
      </c>
      <c r="D49" s="8" t="n">
        <f aca="false">CHOOSE(C49,G1,G2,G3)</f>
        <v>0.06</v>
      </c>
      <c r="E49" s="21" t="n">
        <v>3</v>
      </c>
      <c r="F49" s="21" t="n">
        <f aca="false">MAX(0,E49-NonRes)</f>
        <v>3</v>
      </c>
      <c r="G49" s="14" t="n">
        <f aca="false">INDEX(C_Price,A49)</f>
        <v>20.4</v>
      </c>
      <c r="H49" s="14" t="n">
        <f aca="false">INDEX(C_Acq,A49)</f>
        <v>0.6732</v>
      </c>
      <c r="I49" s="14" t="n">
        <f aca="false">INDEX(C_Fee,A49)</f>
        <v>0.17708</v>
      </c>
      <c r="J49" s="14" t="n">
        <f aca="false">INDEX(C_Loan,A49)</f>
        <v>4</v>
      </c>
      <c r="K49" s="30" t="n">
        <f aca="false">G49-J49+H49+I49</f>
        <v>17.25028</v>
      </c>
      <c r="L49" s="30" t="n">
        <f aca="false">G49*(1+D49)^E49</f>
        <v>24.2967264</v>
      </c>
      <c r="M49" s="30" t="n">
        <f aca="false">L49*LOOKUP(L49,FeeLo,FeeR)*(1+VAT)</f>
        <v>0.18708479328</v>
      </c>
      <c r="N49" s="30" t="n">
        <f aca="false">-CUMIPMT(Rm,LoanYears*12,J49,1,E49*12,0)</f>
        <v>0.467427048612969</v>
      </c>
      <c r="O49" s="30" t="n">
        <f aca="false">J49*(1+Rm)^(E49*12)-(J49*Rm/(1-(1+Rm)^(-LoanYears*12)))*((1+Rm)^(E49*12)-1)/Rm</f>
        <v>3.77994902314271</v>
      </c>
      <c r="P49" s="16" t="n">
        <f aca="false">SUMIFS(Sch_Total,Sch_Idx,A49,Sch_Scen,C49,Sch_Year,"&lt;="&amp;E49)</f>
        <v>0.175746428352</v>
      </c>
      <c r="Q49" s="30" t="n">
        <f aca="false">H49+I49+M49</f>
        <v>1.03736479328</v>
      </c>
      <c r="R49" s="30" t="n">
        <f aca="false">L49-G49-Q49</f>
        <v>2.85936160672</v>
      </c>
      <c r="S49" s="30" t="n">
        <f aca="false">MAX(0,IF(F49&gt;=2,IF(L49&gt;Exempt,R49*(L49-Exempt)/L49,0),R49))</f>
        <v>1.44714093485863</v>
      </c>
      <c r="T49" s="8" t="n">
        <f aca="false">IF(F49&gt;=2,MIN(MaxDed,MIN(0.4,HoldRate*E49)+MIN(0.4,LiveRate*F49)),IF(E49&gt;=3,MIN(0.3,0.02*E49),0))</f>
        <v>0.24</v>
      </c>
      <c r="U49" s="30" t="n">
        <f aca="false">S49*(1-T49)</f>
        <v>1.09982711049256</v>
      </c>
      <c r="V49" s="30" t="n">
        <f aca="false">MAX(0,U49-InitDed)</f>
        <v>1.07482711049256</v>
      </c>
      <c r="W49" s="16" t="n">
        <f aca="false">SUMPRODUCT((V49&gt;CLo)*(V49-CLo)*CD)*(1+LocalTax)</f>
        <v>0.243968437539634</v>
      </c>
      <c r="X49" s="30" t="n">
        <f aca="false">H49+P49+W49</f>
        <v>1.09291486589163</v>
      </c>
      <c r="Y49" s="16" t="n">
        <f aca="false">(L49-G49)-H49-I49-M49-N49-P49-W49</f>
        <v>1.9722196922154</v>
      </c>
      <c r="Z49" s="8" t="n">
        <f aca="false">Y49/K49</f>
        <v>0.114329720573544</v>
      </c>
      <c r="AA49" s="8" t="n">
        <f aca="false">IF(1+Z49&gt;0,(1+Z49)^(1/E49)-1,-1)</f>
        <v>0.0367433013206213</v>
      </c>
      <c r="AB49" s="30" t="n">
        <f aca="false">L49-O49-M49-W49</f>
        <v>20.0857241460377</v>
      </c>
      <c r="AC49" s="29" t="n">
        <f aca="false">AB49/K49</f>
        <v>1.16437090563386</v>
      </c>
      <c r="AD49" s="30" t="n">
        <f aca="false">K49*((1+DepRate*(1-DepTax))^E49-1)</f>
        <v>1.34705334719788</v>
      </c>
      <c r="AE49" s="30" t="n">
        <f aca="false">Y49-AD49</f>
        <v>0.625166345017516</v>
      </c>
    </row>
    <row r="50" customFormat="false" ht="15" hidden="false" customHeight="false" outlineLevel="0" collapsed="false">
      <c r="A50" s="21" t="n">
        <v>4</v>
      </c>
      <c r="B50" s="14" t="str">
        <f aca="false">INDEX(C_Name,A50)</f>
        <v>신길 보라매SK뷰 84.98㎡</v>
      </c>
      <c r="C50" s="21" t="n">
        <v>3</v>
      </c>
      <c r="D50" s="8" t="n">
        <f aca="false">CHOOSE(C50,G1,G2,G3)</f>
        <v>0.06</v>
      </c>
      <c r="E50" s="21" t="n">
        <v>5</v>
      </c>
      <c r="F50" s="21" t="n">
        <f aca="false">MAX(0,E50-NonRes)</f>
        <v>5</v>
      </c>
      <c r="G50" s="14" t="n">
        <f aca="false">INDEX(C_Price,A50)</f>
        <v>20.4</v>
      </c>
      <c r="H50" s="14" t="n">
        <f aca="false">INDEX(C_Acq,A50)</f>
        <v>0.6732</v>
      </c>
      <c r="I50" s="14" t="n">
        <f aca="false">INDEX(C_Fee,A50)</f>
        <v>0.17708</v>
      </c>
      <c r="J50" s="14" t="n">
        <f aca="false">INDEX(C_Loan,A50)</f>
        <v>4</v>
      </c>
      <c r="K50" s="30" t="n">
        <f aca="false">G50-J50+H50+I50</f>
        <v>17.25028</v>
      </c>
      <c r="L50" s="30" t="n">
        <f aca="false">G50*(1+D50)^E50</f>
        <v>27.29980178304</v>
      </c>
      <c r="M50" s="30" t="n">
        <f aca="false">L50*LOOKUP(L50,FeeLo,FeeR)*(1+VAT)</f>
        <v>0.210208473729408</v>
      </c>
      <c r="N50" s="30" t="n">
        <f aca="false">-CUMIPMT(Rm,LoanYears*12,J50,1,E50*12,0)</f>
        <v>0.76369723456074</v>
      </c>
      <c r="O50" s="30" t="n">
        <f aca="false">J50*(1+Rm)^(E50*12)-(J50*Rm/(1-(1+Rm)^(-LoanYears*12)))*((1+Rm)^(E50*12)-1)/Rm</f>
        <v>3.61790052544364</v>
      </c>
      <c r="P50" s="16" t="n">
        <f aca="false">SUMIFS(Sch_Total,Sch_Idx,A50,Sch_Scen,C50,Sch_Year,"&lt;="&amp;E50)</f>
        <v>0.32813501508841</v>
      </c>
      <c r="Q50" s="30" t="n">
        <f aca="false">H50+I50+M50</f>
        <v>1.06048847372941</v>
      </c>
      <c r="R50" s="30" t="n">
        <f aca="false">L50-G50-Q50</f>
        <v>5.8393133093106</v>
      </c>
      <c r="S50" s="30" t="n">
        <f aca="false">MAX(0,IF(F50&gt;=2,IF(L50&gt;Exempt,R50*(L50-Exempt)/L50,0),R50))</f>
        <v>3.27256354795302</v>
      </c>
      <c r="T50" s="8" t="n">
        <f aca="false">IF(F50&gt;=2,MIN(MaxDed,MIN(0.4,HoldRate*E50)+MIN(0.4,LiveRate*F50)),IF(E50&gt;=3,MIN(0.3,0.02*E50),0))</f>
        <v>0.4</v>
      </c>
      <c r="U50" s="30" t="n">
        <f aca="false">S50*(1-T50)</f>
        <v>1.96353812877181</v>
      </c>
      <c r="V50" s="30" t="n">
        <f aca="false">MAX(0,U50-InitDed)</f>
        <v>1.93853812877181</v>
      </c>
      <c r="W50" s="16" t="n">
        <f aca="false">SUMPRODUCT((V50&gt;CLo)*(V50-CLo)*CD)*(1+LocalTax)</f>
        <v>0.590968937826617</v>
      </c>
      <c r="X50" s="30" t="n">
        <f aca="false">H50+P50+W50</f>
        <v>1.59230395291503</v>
      </c>
      <c r="Y50" s="16" t="n">
        <f aca="false">(L50-G50)-H50-I50-M50-N50-P50-W50</f>
        <v>4.15651212183483</v>
      </c>
      <c r="Z50" s="8" t="n">
        <f aca="false">Y50/K50</f>
        <v>0.240953313327948</v>
      </c>
      <c r="AA50" s="8" t="n">
        <f aca="false">IF(1+Z50&gt;0,(1+Z50)^(1/E50)-1,-1)</f>
        <v>0.0441216201398598</v>
      </c>
      <c r="AB50" s="30" t="n">
        <f aca="false">L50-O50-M50-W50</f>
        <v>22.8807238460403</v>
      </c>
      <c r="AC50" s="29" t="n">
        <f aca="false">AB50/K50</f>
        <v>1.32639724375722</v>
      </c>
      <c r="AD50" s="30" t="n">
        <f aca="false">K50*((1+DepRate*(1-DepTax))^E50-1)</f>
        <v>2.30303335603218</v>
      </c>
      <c r="AE50" s="30" t="n">
        <f aca="false">Y50-AD50</f>
        <v>1.85347876580265</v>
      </c>
    </row>
    <row r="51" customFormat="false" ht="15" hidden="false" customHeight="false" outlineLevel="0" collapsed="false">
      <c r="A51" s="21" t="n">
        <v>4</v>
      </c>
      <c r="B51" s="14" t="str">
        <f aca="false">INDEX(C_Name,A51)</f>
        <v>신길 보라매SK뷰 84.98㎡</v>
      </c>
      <c r="C51" s="21" t="n">
        <v>3</v>
      </c>
      <c r="D51" s="8" t="n">
        <f aca="false">CHOOSE(C51,G1,G2,G3)</f>
        <v>0.06</v>
      </c>
      <c r="E51" s="21" t="n">
        <v>7</v>
      </c>
      <c r="F51" s="21" t="n">
        <f aca="false">MAX(0,E51-NonRes)</f>
        <v>7</v>
      </c>
      <c r="G51" s="14" t="n">
        <f aca="false">INDEX(C_Price,A51)</f>
        <v>20.4</v>
      </c>
      <c r="H51" s="14" t="n">
        <f aca="false">INDEX(C_Acq,A51)</f>
        <v>0.6732</v>
      </c>
      <c r="I51" s="14" t="n">
        <f aca="false">INDEX(C_Fee,A51)</f>
        <v>0.17708</v>
      </c>
      <c r="J51" s="14" t="n">
        <f aca="false">INDEX(C_Loan,A51)</f>
        <v>4</v>
      </c>
      <c r="K51" s="30" t="n">
        <f aca="false">G51-J51+H51+I51</f>
        <v>17.25028</v>
      </c>
      <c r="L51" s="30" t="n">
        <f aca="false">G51*(1+D51)^E51</f>
        <v>30.6740572834238</v>
      </c>
      <c r="M51" s="30" t="n">
        <f aca="false">L51*LOOKUP(L51,FeeLo,FeeR)*(1+VAT)</f>
        <v>0.236190241082363</v>
      </c>
      <c r="N51" s="30" t="n">
        <f aca="false">-CUMIPMT(Rm,LoanYears*12,J51,1,E51*12,0)</f>
        <v>1.04649422888253</v>
      </c>
      <c r="O51" s="30" t="n">
        <f aca="false">J51*(1+Rm)^(E51*12)-(J51*Rm/(1-(1+Rm)^(-LoanYears*12)))*((1+Rm)^(E51*12)-1)/Rm</f>
        <v>3.4423788361186</v>
      </c>
      <c r="P51" s="16" t="n">
        <f aca="false">SUMIFS(Sch_Total,Sch_Idx,A51,Sch_Scen,C51,Sch_Year,"&lt;="&amp;E51)</f>
        <v>0.517577514197068</v>
      </c>
      <c r="Q51" s="30" t="n">
        <f aca="false">H51+I51+M51</f>
        <v>1.08647024108236</v>
      </c>
      <c r="R51" s="30" t="n">
        <f aca="false">L51-G51-Q51</f>
        <v>9.18758704234139</v>
      </c>
      <c r="S51" s="30" t="n">
        <f aca="false">MAX(0,IF(F51&gt;=2,IF(L51&gt;Exempt,R51*(L51-Exempt)/L51,0),R51))</f>
        <v>5.59331050143931</v>
      </c>
      <c r="T51" s="8" t="n">
        <f aca="false">IF(F51&gt;=2,MIN(MaxDed,MIN(0.4,HoldRate*E51)+MIN(0.4,LiveRate*F51)),IF(E51&gt;=3,MIN(0.3,0.02*E51),0))</f>
        <v>0.56</v>
      </c>
      <c r="U51" s="30" t="n">
        <f aca="false">S51*(1-T51)</f>
        <v>2.4610566206333</v>
      </c>
      <c r="V51" s="30" t="n">
        <f aca="false">MAX(0,U51-InitDed)</f>
        <v>2.4360566206333</v>
      </c>
      <c r="W51" s="16" t="n">
        <f aca="false">SUMPRODUCT((V51&gt;CLo)*(V51-CLo)*CD)*(1+LocalTax)</f>
        <v>0.798931667424717</v>
      </c>
      <c r="X51" s="30" t="n">
        <f aca="false">H51+P51+W51</f>
        <v>1.98970918162179</v>
      </c>
      <c r="Y51" s="16" t="n">
        <f aca="false">(L51-G51)-H51-I51-M51-N51-P51-W51</f>
        <v>6.82458363183708</v>
      </c>
      <c r="Z51" s="8" t="n">
        <f aca="false">Y51/K51</f>
        <v>0.395621614944052</v>
      </c>
      <c r="AA51" s="8" t="n">
        <f aca="false">IF(1+Z51&gt;0,(1+Z51)^(1/E51)-1,-1)</f>
        <v>0.0487720339502293</v>
      </c>
      <c r="AB51" s="30" t="n">
        <f aca="false">L51-O51-M51-W51</f>
        <v>26.1965565387981</v>
      </c>
      <c r="AC51" s="29" t="n">
        <f aca="false">AB51/K51</f>
        <v>1.51861630876705</v>
      </c>
      <c r="AD51" s="30" t="n">
        <f aca="false">K51*((1+DepRate*(1-DepTax))^E51-1)</f>
        <v>3.3081546992841</v>
      </c>
      <c r="AE51" s="30" t="n">
        <f aca="false">Y51-AD51</f>
        <v>3.51642893255297</v>
      </c>
    </row>
    <row r="52" customFormat="false" ht="15" hidden="false" customHeight="false" outlineLevel="0" collapsed="false">
      <c r="A52" s="21" t="n">
        <v>4</v>
      </c>
      <c r="B52" s="14" t="str">
        <f aca="false">INDEX(C_Name,A52)</f>
        <v>신길 보라매SK뷰 84.98㎡</v>
      </c>
      <c r="C52" s="21" t="n">
        <v>3</v>
      </c>
      <c r="D52" s="8" t="n">
        <f aca="false">CHOOSE(C52,G1,G2,G3)</f>
        <v>0.06</v>
      </c>
      <c r="E52" s="21" t="n">
        <v>10</v>
      </c>
      <c r="F52" s="21" t="n">
        <f aca="false">MAX(0,E52-NonRes)</f>
        <v>10</v>
      </c>
      <c r="G52" s="14" t="n">
        <f aca="false">INDEX(C_Price,A52)</f>
        <v>20.4</v>
      </c>
      <c r="H52" s="14" t="n">
        <f aca="false">INDEX(C_Acq,A52)</f>
        <v>0.6732</v>
      </c>
      <c r="I52" s="14" t="n">
        <f aca="false">INDEX(C_Fee,A52)</f>
        <v>0.17708</v>
      </c>
      <c r="J52" s="14" t="n">
        <f aca="false">INDEX(C_Loan,A52)</f>
        <v>4</v>
      </c>
      <c r="K52" s="30" t="n">
        <f aca="false">G52-J52+H52+I52</f>
        <v>17.25028</v>
      </c>
      <c r="L52" s="30" t="n">
        <f aca="false">G52*(1+D52)^E52</f>
        <v>36.5332930094742</v>
      </c>
      <c r="M52" s="30" t="n">
        <f aca="false">L52*LOOKUP(L52,FeeLo,FeeR)*(1+VAT)</f>
        <v>0.281306356172952</v>
      </c>
      <c r="N52" s="30" t="n">
        <f aca="false">-CUMIPMT(Rm,LoanYears*12,J52,1,E52*12,0)</f>
        <v>1.44295178669745</v>
      </c>
      <c r="O52" s="30" t="n">
        <f aca="false">J52*(1+Rm)^(E52*12)-(J52*Rm/(1-(1+Rm)^(-LoanYears*12)))*((1+Rm)^(E52*12)-1)/Rm</f>
        <v>3.15135836846326</v>
      </c>
      <c r="P52" s="16" t="n">
        <f aca="false">SUMIFS(Sch_Total,Sch_Idx,A52,Sch_Scen,C52,Sch_Year,"&lt;="&amp;E52)</f>
        <v>0.886903721699272</v>
      </c>
      <c r="Q52" s="30" t="n">
        <f aca="false">H52+I52+M52</f>
        <v>1.13158635617295</v>
      </c>
      <c r="R52" s="30" t="n">
        <f aca="false">L52-G52-Q52</f>
        <v>15.0017066533013</v>
      </c>
      <c r="S52" s="30" t="n">
        <f aca="false">MAX(0,IF(F52&gt;=2,IF(L52&gt;Exempt,R52*(L52-Exempt)/L52,0),R52))</f>
        <v>10.0741333356447</v>
      </c>
      <c r="T52" s="8" t="n">
        <f aca="false">IF(F52&gt;=2,MIN(MaxDed,MIN(0.4,HoldRate*E52)+MIN(0.4,LiveRate*F52)),IF(E52&gt;=3,MIN(0.3,0.02*E52),0))</f>
        <v>0.8</v>
      </c>
      <c r="U52" s="30" t="n">
        <f aca="false">S52*(1-T52)</f>
        <v>2.01482666712894</v>
      </c>
      <c r="V52" s="30" t="n">
        <f aca="false">MAX(0,U52-InitDed)</f>
        <v>1.98982666712894</v>
      </c>
      <c r="W52" s="16" t="n">
        <f aca="false">SUMPRODUCT((V52&gt;CLo)*(V52-CLo)*CD)*(1+LocalTax)</f>
        <v>0.612407546859896</v>
      </c>
      <c r="X52" s="30" t="n">
        <f aca="false">H52+P52+W52</f>
        <v>2.17251126855917</v>
      </c>
      <c r="Y52" s="16" t="n">
        <f aca="false">(L52-G52)-H52-I52-M52-N52-P52-W52</f>
        <v>12.0594435980447</v>
      </c>
      <c r="Z52" s="8" t="n">
        <f aca="false">Y52/K52</f>
        <v>0.699086832100387</v>
      </c>
      <c r="AA52" s="8" t="n">
        <f aca="false">IF(1+Z52&gt;0,(1+Z52)^(1/E52)-1,-1)</f>
        <v>0.0544392351113141</v>
      </c>
      <c r="AB52" s="30" t="n">
        <f aca="false">L52-O52-M52-W52</f>
        <v>32.4882207379781</v>
      </c>
      <c r="AC52" s="29" t="n">
        <f aca="false">AB52/K52</f>
        <v>1.88334454501481</v>
      </c>
      <c r="AD52" s="30" t="n">
        <f aca="false">K52*((1+DepRate*(1-DepTax))^E52-1)</f>
        <v>4.91353781624335</v>
      </c>
      <c r="AE52" s="30" t="n">
        <f aca="false">Y52-AD52</f>
        <v>7.14590578180131</v>
      </c>
    </row>
    <row r="53" customFormat="false" ht="15" hidden="false" customHeight="false" outlineLevel="0" collapsed="false">
      <c r="A53" s="21" t="n">
        <v>5</v>
      </c>
      <c r="B53" s="14" t="str">
        <f aca="false">INDEX(C_Name,A53)</f>
        <v>본동 래미안트윈파크 (32평형)</v>
      </c>
      <c r="C53" s="21" t="n">
        <v>1</v>
      </c>
      <c r="D53" s="8" t="n">
        <f aca="false">CHOOSE(C53,G1,G2,G3)</f>
        <v>0.02</v>
      </c>
      <c r="E53" s="21" t="n">
        <v>3</v>
      </c>
      <c r="F53" s="21" t="n">
        <f aca="false">MAX(0,E53-NonRes)</f>
        <v>3</v>
      </c>
      <c r="G53" s="14" t="n">
        <f aca="false">INDEX(C_Price,A53)</f>
        <v>24.2</v>
      </c>
      <c r="H53" s="14" t="n">
        <f aca="false">INDEX(C_Acq,A53)</f>
        <v>0.7986</v>
      </c>
      <c r="I53" s="14" t="n">
        <f aca="false">INDEX(C_Fee,A53)</f>
        <v>0.20634</v>
      </c>
      <c r="J53" s="14" t="n">
        <f aca="false">INDEX(C_Loan,A53)</f>
        <v>4</v>
      </c>
      <c r="K53" s="30" t="n">
        <f aca="false">G53-J53+H53+I53</f>
        <v>21.20494</v>
      </c>
      <c r="L53" s="30" t="n">
        <f aca="false">G53*(1+D53)^E53</f>
        <v>25.6812336</v>
      </c>
      <c r="M53" s="30" t="n">
        <f aca="false">L53*LOOKUP(L53,FeeLo,FeeR)*(1+VAT)</f>
        <v>0.19774549872</v>
      </c>
      <c r="N53" s="30" t="n">
        <f aca="false">-CUMIPMT(Rm,LoanYears*12,J53,1,E53*12,0)</f>
        <v>0.467427048612969</v>
      </c>
      <c r="O53" s="30" t="n">
        <f aca="false">J53*(1+Rm)^(E53*12)-(J53*Rm/(1-(1+Rm)^(-LoanYears*12)))*((1+Rm)^(E53*12)-1)/Rm</f>
        <v>3.77994902314271</v>
      </c>
      <c r="P53" s="16" t="n">
        <f aca="false">SUMIFS(Sch_Total,Sch_Idx,A53,Sch_Scen,C53,Sch_Year,"&lt;="&amp;E53)</f>
        <v>0.222373298592</v>
      </c>
      <c r="Q53" s="30" t="n">
        <f aca="false">H53+I53+M53</f>
        <v>1.20268549872</v>
      </c>
      <c r="R53" s="30" t="n">
        <f aca="false">L53-G53-Q53</f>
        <v>0.278548101280003</v>
      </c>
      <c r="S53" s="30" t="n">
        <f aca="false">MAX(0,IF(F53&gt;=2,IF(L53&gt;Exempt,R53*(L53-Exempt)/L53,0),R53))</f>
        <v>0.148391689503894</v>
      </c>
      <c r="T53" s="8" t="n">
        <f aca="false">IF(F53&gt;=2,MIN(MaxDed,MIN(0.4,HoldRate*E53)+MIN(0.4,LiveRate*F53)),IF(E53&gt;=3,MIN(0.3,0.02*E53),0))</f>
        <v>0.24</v>
      </c>
      <c r="U53" s="30" t="n">
        <f aca="false">S53*(1-T53)</f>
        <v>0.11277768402296</v>
      </c>
      <c r="V53" s="30" t="n">
        <f aca="false">MAX(0,U53-InitDed)</f>
        <v>0.0877776840229597</v>
      </c>
      <c r="W53" s="16" t="n">
        <f aca="false">SUMPRODUCT((V53&gt;CLo)*(V53-CLo)*CD)*(1+LocalTax)</f>
        <v>0.00579332714551534</v>
      </c>
      <c r="X53" s="30" t="n">
        <f aca="false">H53+P53+W53</f>
        <v>1.02676662573752</v>
      </c>
      <c r="Y53" s="16" t="n">
        <f aca="false">(L53-G53)-H53-I53-M53-N53-P53-W53</f>
        <v>-0.417045573070481</v>
      </c>
      <c r="Z53" s="8" t="n">
        <f aca="false">Y53/K53</f>
        <v>-0.0196673781237052</v>
      </c>
      <c r="AA53" s="8" t="n">
        <f aca="false">IF(1+Z53&gt;0,(1+Z53)^(1/E53)-1,-1)</f>
        <v>-0.00659924696926129</v>
      </c>
      <c r="AB53" s="30" t="n">
        <f aca="false">L53-O53-M53-W53</f>
        <v>21.6977457509918</v>
      </c>
      <c r="AC53" s="29" t="n">
        <f aca="false">AB53/K53</f>
        <v>1.02324013890121</v>
      </c>
      <c r="AD53" s="30" t="n">
        <f aca="false">K53*((1+DepRate*(1-DepTax))^E53-1)</f>
        <v>1.65586792818031</v>
      </c>
      <c r="AE53" s="30" t="n">
        <f aca="false">Y53-AD53</f>
        <v>-2.07291350125079</v>
      </c>
    </row>
    <row r="54" customFormat="false" ht="15" hidden="false" customHeight="false" outlineLevel="0" collapsed="false">
      <c r="A54" s="21" t="n">
        <v>5</v>
      </c>
      <c r="B54" s="14" t="str">
        <f aca="false">INDEX(C_Name,A54)</f>
        <v>본동 래미안트윈파크 (32평형)</v>
      </c>
      <c r="C54" s="21" t="n">
        <v>1</v>
      </c>
      <c r="D54" s="8" t="n">
        <f aca="false">CHOOSE(C54,G1,G2,G3)</f>
        <v>0.02</v>
      </c>
      <c r="E54" s="21" t="n">
        <v>5</v>
      </c>
      <c r="F54" s="21" t="n">
        <f aca="false">MAX(0,E54-NonRes)</f>
        <v>5</v>
      </c>
      <c r="G54" s="14" t="n">
        <f aca="false">INDEX(C_Price,A54)</f>
        <v>24.2</v>
      </c>
      <c r="H54" s="14" t="n">
        <f aca="false">INDEX(C_Acq,A54)</f>
        <v>0.7986</v>
      </c>
      <c r="I54" s="14" t="n">
        <f aca="false">INDEX(C_Fee,A54)</f>
        <v>0.20634</v>
      </c>
      <c r="J54" s="14" t="n">
        <f aca="false">INDEX(C_Loan,A54)</f>
        <v>4</v>
      </c>
      <c r="K54" s="30" t="n">
        <f aca="false">G54-J54+H54+I54</f>
        <v>21.20494</v>
      </c>
      <c r="L54" s="30" t="n">
        <f aca="false">G54*(1+D54)^E54</f>
        <v>26.71875543744</v>
      </c>
      <c r="M54" s="30" t="n">
        <f aca="false">L54*LOOKUP(L54,FeeLo,FeeR)*(1+VAT)</f>
        <v>0.205734416868288</v>
      </c>
      <c r="N54" s="30" t="n">
        <f aca="false">-CUMIPMT(Rm,LoanYears*12,J54,1,E54*12,0)</f>
        <v>0.76369723456074</v>
      </c>
      <c r="O54" s="30" t="n">
        <f aca="false">J54*(1+Rm)^(E54*12)-(J54*Rm/(1-(1+Rm)^(-LoanYears*12)))*((1+Rm)^(E54*12)-1)/Rm</f>
        <v>3.61790052544364</v>
      </c>
      <c r="P54" s="16" t="n">
        <f aca="false">SUMIFS(Sch_Total,Sch_Idx,A54,Sch_Scen,C54,Sch_Year,"&lt;="&amp;E54)</f>
        <v>0.385453148303117</v>
      </c>
      <c r="Q54" s="30" t="n">
        <f aca="false">H54+I54+M54</f>
        <v>1.21067441686829</v>
      </c>
      <c r="R54" s="30" t="n">
        <f aca="false">L54-G54-Q54</f>
        <v>1.30808102057171</v>
      </c>
      <c r="S54" s="30" t="n">
        <f aca="false">MAX(0,IF(F54&gt;=2,IF(L54&gt;Exempt,R54*(L54-Exempt)/L54,0),R54))</f>
        <v>0.720592120363996</v>
      </c>
      <c r="T54" s="8" t="n">
        <f aca="false">IF(F54&gt;=2,MIN(MaxDed,MIN(0.4,HoldRate*E54)+MIN(0.4,LiveRate*F54)),IF(E54&gt;=3,MIN(0.3,0.02*E54),0))</f>
        <v>0.4</v>
      </c>
      <c r="U54" s="30" t="n">
        <f aca="false">S54*(1-T54)</f>
        <v>0.432355272218398</v>
      </c>
      <c r="V54" s="30" t="n">
        <f aca="false">MAX(0,U54-InitDed)</f>
        <v>0.407355272218398</v>
      </c>
      <c r="W54" s="16" t="n">
        <f aca="false">SUMPRODUCT((V54&gt;CLo)*(V54-CLo)*CD)*(1+LocalTax)</f>
        <v>0.0533536199160356</v>
      </c>
      <c r="X54" s="30" t="n">
        <f aca="false">H54+P54+W54</f>
        <v>1.23740676821915</v>
      </c>
      <c r="Y54" s="16" t="n">
        <f aca="false">(L54-G54)-H54-I54-M54-N54-P54-W54</f>
        <v>0.105577017791819</v>
      </c>
      <c r="Z54" s="8" t="n">
        <f aca="false">Y54/K54</f>
        <v>0.00497888783424141</v>
      </c>
      <c r="AA54" s="8" t="n">
        <f aca="false">IF(1+Z54&gt;0,(1+Z54)^(1/E54)-1,-1)</f>
        <v>0.000993800324669891</v>
      </c>
      <c r="AB54" s="30" t="n">
        <f aca="false">L54-O54-M54-W54</f>
        <v>22.841766875212</v>
      </c>
      <c r="AC54" s="29" t="n">
        <f aca="false">AB54/K54</f>
        <v>1.07719082794915</v>
      </c>
      <c r="AD54" s="30" t="n">
        <f aca="false">K54*((1+DepRate*(1-DepTax))^E54-1)</f>
        <v>2.83100820002116</v>
      </c>
      <c r="AE54" s="30" t="n">
        <f aca="false">Y54-AD54</f>
        <v>-2.72543118222934</v>
      </c>
    </row>
    <row r="55" customFormat="false" ht="15" hidden="false" customHeight="false" outlineLevel="0" collapsed="false">
      <c r="A55" s="21" t="n">
        <v>5</v>
      </c>
      <c r="B55" s="14" t="str">
        <f aca="false">INDEX(C_Name,A55)</f>
        <v>본동 래미안트윈파크 (32평형)</v>
      </c>
      <c r="C55" s="21" t="n">
        <v>1</v>
      </c>
      <c r="D55" s="8" t="n">
        <f aca="false">CHOOSE(C55,G1,G2,G3)</f>
        <v>0.02</v>
      </c>
      <c r="E55" s="21" t="n">
        <v>7</v>
      </c>
      <c r="F55" s="21" t="n">
        <f aca="false">MAX(0,E55-NonRes)</f>
        <v>7</v>
      </c>
      <c r="G55" s="14" t="n">
        <f aca="false">INDEX(C_Price,A55)</f>
        <v>24.2</v>
      </c>
      <c r="H55" s="14" t="n">
        <f aca="false">INDEX(C_Acq,A55)</f>
        <v>0.7986</v>
      </c>
      <c r="I55" s="14" t="n">
        <f aca="false">INDEX(C_Fee,A55)</f>
        <v>0.20634</v>
      </c>
      <c r="J55" s="14" t="n">
        <f aca="false">INDEX(C_Loan,A55)</f>
        <v>4</v>
      </c>
      <c r="K55" s="30" t="n">
        <f aca="false">G55-J55+H55+I55</f>
        <v>21.20494</v>
      </c>
      <c r="L55" s="30" t="n">
        <f aca="false">G55*(1+D55)^E55</f>
        <v>27.7981931571126</v>
      </c>
      <c r="M55" s="30" t="n">
        <f aca="false">L55*LOOKUP(L55,FeeLo,FeeR)*(1+VAT)</f>
        <v>0.214046087309767</v>
      </c>
      <c r="N55" s="30" t="n">
        <f aca="false">-CUMIPMT(Rm,LoanYears*12,J55,1,E55*12,0)</f>
        <v>1.04649422888253</v>
      </c>
      <c r="O55" s="30" t="n">
        <f aca="false">J55*(1+Rm)^(E55*12)-(J55*Rm/(1-(1+Rm)^(-LoanYears*12)))*((1+Rm)^(E55*12)-1)/Rm</f>
        <v>3.4423788361186</v>
      </c>
      <c r="P55" s="16" t="n">
        <f aca="false">SUMIFS(Sch_Total,Sch_Idx,A55,Sch_Scen,C55,Sch_Year,"&lt;="&amp;E55)</f>
        <v>0.561200815942563</v>
      </c>
      <c r="Q55" s="30" t="n">
        <f aca="false">H55+I55+M55</f>
        <v>1.21898608730977</v>
      </c>
      <c r="R55" s="30" t="n">
        <f aca="false">L55-G55-Q55</f>
        <v>2.37920706980281</v>
      </c>
      <c r="S55" s="30" t="n">
        <f aca="false">MAX(0,IF(F55&gt;=2,IF(L55&gt;Exempt,R55*(L55-Exempt)/L55,0),R55))</f>
        <v>1.35214445906875</v>
      </c>
      <c r="T55" s="8" t="n">
        <f aca="false">IF(F55&gt;=2,MIN(MaxDed,MIN(0.4,HoldRate*E55)+MIN(0.4,LiveRate*F55)),IF(E55&gt;=3,MIN(0.3,0.02*E55),0))</f>
        <v>0.56</v>
      </c>
      <c r="U55" s="30" t="n">
        <f aca="false">S55*(1-T55)</f>
        <v>0.59494356199025</v>
      </c>
      <c r="V55" s="30" t="n">
        <f aca="false">MAX(0,U55-InitDed)</f>
        <v>0.56994356199025</v>
      </c>
      <c r="W55" s="16" t="n">
        <f aca="false">SUMPRODUCT((V55&gt;CLo)*(V55-CLo)*CD)*(1+LocalTax)</f>
        <v>0.0871051003654259</v>
      </c>
      <c r="X55" s="30" t="n">
        <f aca="false">H55+P55+W55</f>
        <v>1.44690591630799</v>
      </c>
      <c r="Y55" s="16" t="n">
        <f aca="false">(L55-G55)-H55-I55-M55-N55-P55-W55</f>
        <v>0.68440692461229</v>
      </c>
      <c r="Z55" s="8" t="n">
        <f aca="false">Y55/K55</f>
        <v>0.0322758246244644</v>
      </c>
      <c r="AA55" s="8" t="n">
        <f aca="false">IF(1+Z55&gt;0,(1+Z55)^(1/E55)-1,-1)</f>
        <v>0.00454829843399085</v>
      </c>
      <c r="AB55" s="30" t="n">
        <f aca="false">L55-O55-M55-W55</f>
        <v>24.0546631333188</v>
      </c>
      <c r="AC55" s="29" t="n">
        <f aca="false">AB55/K55</f>
        <v>1.13438958720557</v>
      </c>
      <c r="AD55" s="30" t="n">
        <f aca="false">K55*((1+DepRate*(1-DepTax))^E55-1)</f>
        <v>4.06655555208596</v>
      </c>
      <c r="AE55" s="30" t="n">
        <f aca="false">Y55-AD55</f>
        <v>-3.38214862747367</v>
      </c>
    </row>
    <row r="56" customFormat="false" ht="15" hidden="false" customHeight="false" outlineLevel="0" collapsed="false">
      <c r="A56" s="21" t="n">
        <v>5</v>
      </c>
      <c r="B56" s="14" t="str">
        <f aca="false">INDEX(C_Name,A56)</f>
        <v>본동 래미안트윈파크 (32평형)</v>
      </c>
      <c r="C56" s="21" t="n">
        <v>1</v>
      </c>
      <c r="D56" s="8" t="n">
        <f aca="false">CHOOSE(C56,G1,G2,G3)</f>
        <v>0.02</v>
      </c>
      <c r="E56" s="21" t="n">
        <v>10</v>
      </c>
      <c r="F56" s="21" t="n">
        <f aca="false">MAX(0,E56-NonRes)</f>
        <v>10</v>
      </c>
      <c r="G56" s="14" t="n">
        <f aca="false">INDEX(C_Price,A56)</f>
        <v>24.2</v>
      </c>
      <c r="H56" s="14" t="n">
        <f aca="false">INDEX(C_Acq,A56)</f>
        <v>0.7986</v>
      </c>
      <c r="I56" s="14" t="n">
        <f aca="false">INDEX(C_Fee,A56)</f>
        <v>0.20634</v>
      </c>
      <c r="J56" s="14" t="n">
        <f aca="false">INDEX(C_Loan,A56)</f>
        <v>4</v>
      </c>
      <c r="K56" s="30" t="n">
        <f aca="false">G56-J56+H56+I56</f>
        <v>21.20494</v>
      </c>
      <c r="L56" s="30" t="n">
        <f aca="false">G56*(1+D56)^E56</f>
        <v>29.4996649638731</v>
      </c>
      <c r="M56" s="30" t="n">
        <f aca="false">L56*LOOKUP(L56,FeeLo,FeeR)*(1+VAT)</f>
        <v>0.227147420221823</v>
      </c>
      <c r="N56" s="30" t="n">
        <f aca="false">-CUMIPMT(Rm,LoanYears*12,J56,1,E56*12,0)</f>
        <v>1.44295178669745</v>
      </c>
      <c r="O56" s="30" t="n">
        <f aca="false">J56*(1+Rm)^(E56*12)-(J56*Rm/(1-(1+Rm)^(-LoanYears*12)))*((1+Rm)^(E56*12)-1)/Rm</f>
        <v>3.15135836846326</v>
      </c>
      <c r="P56" s="16" t="n">
        <f aca="false">SUMIFS(Sch_Total,Sch_Idx,A56,Sch_Scen,C56,Sch_Year,"&lt;="&amp;E56)</f>
        <v>0.849699625381735</v>
      </c>
      <c r="Q56" s="30" t="n">
        <f aca="false">H56+I56+M56</f>
        <v>1.23208742022182</v>
      </c>
      <c r="R56" s="30" t="n">
        <f aca="false">L56-G56-Q56</f>
        <v>4.0675775436513</v>
      </c>
      <c r="S56" s="30" t="n">
        <f aca="false">MAX(0,IF(F56&gt;=2,IF(L56&gt;Exempt,R56*(L56-Exempt)/L56,0),R56))</f>
        <v>2.41295093743079</v>
      </c>
      <c r="T56" s="8" t="n">
        <f aca="false">IF(F56&gt;=2,MIN(MaxDed,MIN(0.4,HoldRate*E56)+MIN(0.4,LiveRate*F56)),IF(E56&gt;=3,MIN(0.3,0.02*E56),0))</f>
        <v>0.8</v>
      </c>
      <c r="U56" s="30" t="n">
        <f aca="false">S56*(1-T56)</f>
        <v>0.482590187486157</v>
      </c>
      <c r="V56" s="30" t="n">
        <f aca="false">MAX(0,U56-InitDed)</f>
        <v>0.457590187486157</v>
      </c>
      <c r="W56" s="16" t="n">
        <f aca="false">SUMPRODUCT((V56&gt;CLo)*(V56-CLo)*CD)*(1+LocalTax)</f>
        <v>0.061642380935216</v>
      </c>
      <c r="X56" s="30" t="n">
        <f aca="false">H56+P56+W56</f>
        <v>1.70994200631695</v>
      </c>
      <c r="Y56" s="16" t="n">
        <f aca="false">(L56-G56)-H56-I56-M56-N56-P56-W56</f>
        <v>1.7132837506369</v>
      </c>
      <c r="Z56" s="8" t="n">
        <f aca="false">Y56/K56</f>
        <v>0.0807964441605071</v>
      </c>
      <c r="AA56" s="8" t="n">
        <f aca="false">IF(1+Z56&gt;0,(1+Z56)^(1/E56)-1,-1)</f>
        <v>0.00780008515989983</v>
      </c>
      <c r="AB56" s="30" t="n">
        <f aca="false">L56-O56-M56-W56</f>
        <v>26.0595167942528</v>
      </c>
      <c r="AC56" s="29" t="n">
        <f aca="false">AB56/K56</f>
        <v>1.22893612499035</v>
      </c>
      <c r="AD56" s="30" t="n">
        <f aca="false">K56*((1+DepRate*(1-DepTax))^E56-1)</f>
        <v>6.03997584857586</v>
      </c>
      <c r="AE56" s="30" t="n">
        <f aca="false">Y56-AD56</f>
        <v>-4.32669209793896</v>
      </c>
    </row>
    <row r="57" customFormat="false" ht="15" hidden="false" customHeight="false" outlineLevel="0" collapsed="false">
      <c r="A57" s="21" t="n">
        <v>5</v>
      </c>
      <c r="B57" s="14" t="str">
        <f aca="false">INDEX(C_Name,A57)</f>
        <v>본동 래미안트윈파크 (32평형)</v>
      </c>
      <c r="C57" s="21" t="n">
        <v>2</v>
      </c>
      <c r="D57" s="8" t="n">
        <f aca="false">CHOOSE(C57,G1,G2,G3)</f>
        <v>0.04</v>
      </c>
      <c r="E57" s="21" t="n">
        <v>3</v>
      </c>
      <c r="F57" s="21" t="n">
        <f aca="false">MAX(0,E57-NonRes)</f>
        <v>3</v>
      </c>
      <c r="G57" s="14" t="n">
        <f aca="false">INDEX(C_Price,A57)</f>
        <v>24.2</v>
      </c>
      <c r="H57" s="14" t="n">
        <f aca="false">INDEX(C_Acq,A57)</f>
        <v>0.7986</v>
      </c>
      <c r="I57" s="14" t="n">
        <f aca="false">INDEX(C_Fee,A57)</f>
        <v>0.20634</v>
      </c>
      <c r="J57" s="14" t="n">
        <f aca="false">INDEX(C_Loan,A57)</f>
        <v>4</v>
      </c>
      <c r="K57" s="30" t="n">
        <f aca="false">G57-J57+H57+I57</f>
        <v>21.20494</v>
      </c>
      <c r="L57" s="30" t="n">
        <f aca="false">G57*(1+D57)^E57</f>
        <v>27.2217088</v>
      </c>
      <c r="M57" s="30" t="n">
        <f aca="false">L57*LOOKUP(L57,FeeLo,FeeR)*(1+VAT)</f>
        <v>0.20960715776</v>
      </c>
      <c r="N57" s="30" t="n">
        <f aca="false">-CUMIPMT(Rm,LoanYears*12,J57,1,E57*12,0)</f>
        <v>0.467427048612969</v>
      </c>
      <c r="O57" s="30" t="n">
        <f aca="false">J57*(1+Rm)^(E57*12)-(J57*Rm/(1-(1+Rm)^(-LoanYears*12)))*((1+Rm)^(E57*12)-1)/Rm</f>
        <v>3.77994902314271</v>
      </c>
      <c r="P57" s="16" t="n">
        <f aca="false">SUMIFS(Sch_Total,Sch_Idx,A57,Sch_Scen,C57,Sch_Year,"&lt;="&amp;E57)</f>
        <v>0.231325296768</v>
      </c>
      <c r="Q57" s="30" t="n">
        <f aca="false">H57+I57+M57</f>
        <v>1.21454715776</v>
      </c>
      <c r="R57" s="30" t="n">
        <f aca="false">L57-G57-Q57</f>
        <v>1.80716164224</v>
      </c>
      <c r="S57" s="30" t="n">
        <f aca="false">MAX(0,IF(F57&gt;=2,IF(L57&gt;Exempt,R57*(L57-Exempt)/L57,0),R57))</f>
        <v>1.01052026067912</v>
      </c>
      <c r="T57" s="8" t="n">
        <f aca="false">IF(F57&gt;=2,MIN(MaxDed,MIN(0.4,HoldRate*E57)+MIN(0.4,LiveRate*F57)),IF(E57&gt;=3,MIN(0.3,0.02*E57),0))</f>
        <v>0.24</v>
      </c>
      <c r="U57" s="30" t="n">
        <f aca="false">S57*(1-T57)</f>
        <v>0.767995398116131</v>
      </c>
      <c r="V57" s="30" t="n">
        <f aca="false">MAX(0,U57-InitDed)</f>
        <v>0.742995398116131</v>
      </c>
      <c r="W57" s="16" t="n">
        <f aca="false">SUMPRODUCT((V57&gt;CLo)*(V57-CLo)*CD)*(1+LocalTax)</f>
        <v>0.132790785102659</v>
      </c>
      <c r="X57" s="30" t="n">
        <f aca="false">H57+P57+W57</f>
        <v>1.16271608187066</v>
      </c>
      <c r="Y57" s="16" t="n">
        <f aca="false">(L57-G57)-H57-I57-M57-N57-P57-W57</f>
        <v>0.975618511756375</v>
      </c>
      <c r="Z57" s="8" t="n">
        <f aca="false">Y57/K57</f>
        <v>0.0460090201507939</v>
      </c>
      <c r="AA57" s="8" t="n">
        <f aca="false">IF(1+Z57&gt;0,(1+Z57)^(1/E57)-1,-1)</f>
        <v>0.0151069702594877</v>
      </c>
      <c r="AB57" s="30" t="n">
        <f aca="false">L57-O57-M57-W57</f>
        <v>23.0993618339946</v>
      </c>
      <c r="AC57" s="29" t="n">
        <f aca="false">AB57/K57</f>
        <v>1.08933870286804</v>
      </c>
      <c r="AD57" s="30" t="n">
        <f aca="false">K57*((1+DepRate*(1-DepTax))^E57-1)</f>
        <v>1.65586792818031</v>
      </c>
      <c r="AE57" s="30" t="n">
        <f aca="false">Y57-AD57</f>
        <v>-0.680249416423938</v>
      </c>
    </row>
    <row r="58" customFormat="false" ht="15" hidden="false" customHeight="false" outlineLevel="0" collapsed="false">
      <c r="A58" s="21" t="n">
        <v>5</v>
      </c>
      <c r="B58" s="14" t="str">
        <f aca="false">INDEX(C_Name,A58)</f>
        <v>본동 래미안트윈파크 (32평형)</v>
      </c>
      <c r="C58" s="21" t="n">
        <v>2</v>
      </c>
      <c r="D58" s="8" t="n">
        <f aca="false">CHOOSE(C58,G1,G2,G3)</f>
        <v>0.04</v>
      </c>
      <c r="E58" s="21" t="n">
        <v>5</v>
      </c>
      <c r="F58" s="21" t="n">
        <f aca="false">MAX(0,E58-NonRes)</f>
        <v>5</v>
      </c>
      <c r="G58" s="14" t="n">
        <f aca="false">INDEX(C_Price,A58)</f>
        <v>24.2</v>
      </c>
      <c r="H58" s="14" t="n">
        <f aca="false">INDEX(C_Acq,A58)</f>
        <v>0.7986</v>
      </c>
      <c r="I58" s="14" t="n">
        <f aca="false">INDEX(C_Fee,A58)</f>
        <v>0.20634</v>
      </c>
      <c r="J58" s="14" t="n">
        <f aca="false">INDEX(C_Loan,A58)</f>
        <v>4</v>
      </c>
      <c r="K58" s="30" t="n">
        <f aca="false">G58-J58+H58+I58</f>
        <v>21.20494</v>
      </c>
      <c r="L58" s="30" t="n">
        <f aca="false">G58*(1+D58)^E58</f>
        <v>29.44300023808</v>
      </c>
      <c r="M58" s="30" t="n">
        <f aca="false">L58*LOOKUP(L58,FeeLo,FeeR)*(1+VAT)</f>
        <v>0.226711101833216</v>
      </c>
      <c r="N58" s="30" t="n">
        <f aca="false">-CUMIPMT(Rm,LoanYears*12,J58,1,E58*12,0)</f>
        <v>0.76369723456074</v>
      </c>
      <c r="O58" s="30" t="n">
        <f aca="false">J58*(1+Rm)^(E58*12)-(J58*Rm/(1-(1+Rm)^(-LoanYears*12)))*((1+Rm)^(E58*12)-1)/Rm</f>
        <v>3.61790052544364</v>
      </c>
      <c r="P58" s="16" t="n">
        <f aca="false">SUMIFS(Sch_Total,Sch_Idx,A58,Sch_Scen,C58,Sch_Year,"&lt;="&amp;E58)</f>
        <v>0.416504645976269</v>
      </c>
      <c r="Q58" s="30" t="n">
        <f aca="false">H58+I58+M58</f>
        <v>1.23165110183322</v>
      </c>
      <c r="R58" s="30" t="n">
        <f aca="false">L58-G58-Q58</f>
        <v>4.01134913624679</v>
      </c>
      <c r="S58" s="30" t="n">
        <f aca="false">MAX(0,IF(F58&gt;=2,IF(L58&gt;Exempt,R58*(L58-Exempt)/L58,0),R58))</f>
        <v>2.37645495950781</v>
      </c>
      <c r="T58" s="8" t="n">
        <f aca="false">IF(F58&gt;=2,MIN(MaxDed,MIN(0.4,HoldRate*E58)+MIN(0.4,LiveRate*F58)),IF(E58&gt;=3,MIN(0.3,0.02*E58),0))</f>
        <v>0.4</v>
      </c>
      <c r="U58" s="30" t="n">
        <f aca="false">S58*(1-T58)</f>
        <v>1.42587297570468</v>
      </c>
      <c r="V58" s="30" t="n">
        <f aca="false">MAX(0,U58-InitDed)</f>
        <v>1.40087297570468</v>
      </c>
      <c r="W58" s="16" t="n">
        <f aca="false">SUMPRODUCT((V58&gt;CLo)*(V58-CLo)*CD)*(1+LocalTax)</f>
        <v>0.369496095646303</v>
      </c>
      <c r="X58" s="30" t="n">
        <f aca="false">H58+P58+W58</f>
        <v>1.58460074162257</v>
      </c>
      <c r="Y58" s="16" t="n">
        <f aca="false">(L58-G58)-H58-I58-M58-N58-P58-W58</f>
        <v>2.46165116006348</v>
      </c>
      <c r="Z58" s="8" t="n">
        <f aca="false">Y58/K58</f>
        <v>0.116088569930567</v>
      </c>
      <c r="AA58" s="8" t="n">
        <f aca="false">IF(1+Z58&gt;0,(1+Z58)^(1/E58)-1,-1)</f>
        <v>0.0222090746794221</v>
      </c>
      <c r="AB58" s="30" t="n">
        <f aca="false">L58-O58-M58-W58</f>
        <v>25.2288925151568</v>
      </c>
      <c r="AC58" s="29" t="n">
        <f aca="false">AB58/K58</f>
        <v>1.18976486211028</v>
      </c>
      <c r="AD58" s="30" t="n">
        <f aca="false">K58*((1+DepRate*(1-DepTax))^E58-1)</f>
        <v>2.83100820002116</v>
      </c>
      <c r="AE58" s="30" t="n">
        <f aca="false">Y58-AD58</f>
        <v>-0.369357039957682</v>
      </c>
    </row>
    <row r="59" customFormat="false" ht="15" hidden="false" customHeight="false" outlineLevel="0" collapsed="false">
      <c r="A59" s="21" t="n">
        <v>5</v>
      </c>
      <c r="B59" s="14" t="str">
        <f aca="false">INDEX(C_Name,A59)</f>
        <v>본동 래미안트윈파크 (32평형)</v>
      </c>
      <c r="C59" s="21" t="n">
        <v>2</v>
      </c>
      <c r="D59" s="8" t="n">
        <f aca="false">CHOOSE(C59,G1,G2,G3)</f>
        <v>0.04</v>
      </c>
      <c r="E59" s="21" t="n">
        <v>7</v>
      </c>
      <c r="F59" s="21" t="n">
        <f aca="false">MAX(0,E59-NonRes)</f>
        <v>7</v>
      </c>
      <c r="G59" s="14" t="n">
        <f aca="false">INDEX(C_Price,A59)</f>
        <v>24.2</v>
      </c>
      <c r="H59" s="14" t="n">
        <f aca="false">INDEX(C_Acq,A59)</f>
        <v>0.7986</v>
      </c>
      <c r="I59" s="14" t="n">
        <f aca="false">INDEX(C_Fee,A59)</f>
        <v>0.20634</v>
      </c>
      <c r="J59" s="14" t="n">
        <f aca="false">INDEX(C_Loan,A59)</f>
        <v>4</v>
      </c>
      <c r="K59" s="30" t="n">
        <f aca="false">G59-J59+H59+I59</f>
        <v>21.20494</v>
      </c>
      <c r="L59" s="30" t="n">
        <f aca="false">G59*(1+D59)^E59</f>
        <v>31.8455490575073</v>
      </c>
      <c r="M59" s="30" t="n">
        <f aca="false">L59*LOOKUP(L59,FeeLo,FeeR)*(1+VAT)</f>
        <v>0.245210727742806</v>
      </c>
      <c r="N59" s="30" t="n">
        <f aca="false">-CUMIPMT(Rm,LoanYears*12,J59,1,E59*12,0)</f>
        <v>1.04649422888253</v>
      </c>
      <c r="O59" s="30" t="n">
        <f aca="false">J59*(1+Rm)^(E59*12)-(J59*Rm/(1-(1+Rm)^(-LoanYears*12)))*((1+Rm)^(E59*12)-1)/Rm</f>
        <v>3.4423788361186</v>
      </c>
      <c r="P59" s="16" t="n">
        <f aca="false">SUMIFS(Sch_Total,Sch_Idx,A59,Sch_Scen,C59,Sch_Year,"&lt;="&amp;E59)</f>
        <v>0.629073798079932</v>
      </c>
      <c r="Q59" s="30" t="n">
        <f aca="false">H59+I59+M59</f>
        <v>1.25015072774281</v>
      </c>
      <c r="R59" s="30" t="n">
        <f aca="false">L59-G59-Q59</f>
        <v>6.39539832976453</v>
      </c>
      <c r="S59" s="30" t="n">
        <f aca="false">MAX(0,IF(F59&gt;=2,IF(L59&gt;Exempt,R59*(L59-Exempt)/L59,0),R59))</f>
        <v>3.98549232316414</v>
      </c>
      <c r="T59" s="8" t="n">
        <f aca="false">IF(F59&gt;=2,MIN(MaxDed,MIN(0.4,HoldRate*E59)+MIN(0.4,LiveRate*F59)),IF(E59&gt;=3,MIN(0.3,0.02*E59),0))</f>
        <v>0.56</v>
      </c>
      <c r="U59" s="30" t="n">
        <f aca="false">S59*(1-T59)</f>
        <v>1.75361662219222</v>
      </c>
      <c r="V59" s="30" t="n">
        <f aca="false">MAX(0,U59-InitDed)</f>
        <v>1.72861662219222</v>
      </c>
      <c r="W59" s="16" t="n">
        <f aca="false">SUMPRODUCT((V59&gt;CLo)*(V59-CLo)*CD)*(1+LocalTax)</f>
        <v>0.503221748076348</v>
      </c>
      <c r="X59" s="30" t="n">
        <f aca="false">H59+P59+W59</f>
        <v>1.93089554615628</v>
      </c>
      <c r="Y59" s="16" t="n">
        <f aca="false">(L59-G59)-H59-I59-M59-N59-P59-W59</f>
        <v>4.21660855472572</v>
      </c>
      <c r="Z59" s="8" t="n">
        <f aca="false">Y59/K59</f>
        <v>0.198850294069482</v>
      </c>
      <c r="AA59" s="8" t="n">
        <f aca="false">IF(1+Z59&gt;0,(1+Z59)^(1/E59)-1,-1)</f>
        <v>0.0262475570539384</v>
      </c>
      <c r="AB59" s="30" t="n">
        <f aca="false">L59-O59-M59-W59</f>
        <v>27.6547377455696</v>
      </c>
      <c r="AC59" s="29" t="n">
        <f aca="false">AB59/K59</f>
        <v>1.30416486656268</v>
      </c>
      <c r="AD59" s="30" t="n">
        <f aca="false">K59*((1+DepRate*(1-DepTax))^E59-1)</f>
        <v>4.06655555208596</v>
      </c>
      <c r="AE59" s="30" t="n">
        <f aca="false">Y59-AD59</f>
        <v>0.150053002639755</v>
      </c>
    </row>
    <row r="60" customFormat="false" ht="15" hidden="false" customHeight="false" outlineLevel="0" collapsed="false">
      <c r="A60" s="21" t="n">
        <v>5</v>
      </c>
      <c r="B60" s="14" t="str">
        <f aca="false">INDEX(C_Name,A60)</f>
        <v>본동 래미안트윈파크 (32평형)</v>
      </c>
      <c r="C60" s="21" t="n">
        <v>2</v>
      </c>
      <c r="D60" s="8" t="n">
        <f aca="false">CHOOSE(C60,G1,G2,G3)</f>
        <v>0.04</v>
      </c>
      <c r="E60" s="21" t="n">
        <v>10</v>
      </c>
      <c r="F60" s="21" t="n">
        <f aca="false">MAX(0,E60-NonRes)</f>
        <v>10</v>
      </c>
      <c r="G60" s="14" t="n">
        <f aca="false">INDEX(C_Price,A60)</f>
        <v>24.2</v>
      </c>
      <c r="H60" s="14" t="n">
        <f aca="false">INDEX(C_Acq,A60)</f>
        <v>0.7986</v>
      </c>
      <c r="I60" s="14" t="n">
        <f aca="false">INDEX(C_Fee,A60)</f>
        <v>0.20634</v>
      </c>
      <c r="J60" s="14" t="n">
        <f aca="false">INDEX(C_Loan,A60)</f>
        <v>4</v>
      </c>
      <c r="K60" s="30" t="n">
        <f aca="false">G60-J60+H60+I60</f>
        <v>21.20494</v>
      </c>
      <c r="L60" s="30" t="n">
        <f aca="false">G60*(1+D60)^E60</f>
        <v>35.8219116950239</v>
      </c>
      <c r="M60" s="30" t="n">
        <f aca="false">L60*LOOKUP(L60,FeeLo,FeeR)*(1+VAT)</f>
        <v>0.275828720051684</v>
      </c>
      <c r="N60" s="30" t="n">
        <f aca="false">-CUMIPMT(Rm,LoanYears*12,J60,1,E60*12,0)</f>
        <v>1.44295178669745</v>
      </c>
      <c r="O60" s="30" t="n">
        <f aca="false">J60*(1+Rm)^(E60*12)-(J60*Rm/(1-(1+Rm)^(-LoanYears*12)))*((1+Rm)^(E60*12)-1)/Rm</f>
        <v>3.15135836846326</v>
      </c>
      <c r="P60" s="16" t="n">
        <f aca="false">SUMIFS(Sch_Total,Sch_Idx,A60,Sch_Scen,C60,Sch_Year,"&lt;="&amp;E60)</f>
        <v>1.00987862179362</v>
      </c>
      <c r="Q60" s="30" t="n">
        <f aca="false">H60+I60+M60</f>
        <v>1.28076872005168</v>
      </c>
      <c r="R60" s="30" t="n">
        <f aca="false">L60-G60-Q60</f>
        <v>10.3411429749723</v>
      </c>
      <c r="S60" s="30" t="n">
        <f aca="false">MAX(0,IF(F60&gt;=2,IF(L60&gt;Exempt,R60*(L60-Exempt)/L60,0),R60))</f>
        <v>6.87695835087512</v>
      </c>
      <c r="T60" s="8" t="n">
        <f aca="false">IF(F60&gt;=2,MIN(MaxDed,MIN(0.4,HoldRate*E60)+MIN(0.4,LiveRate*F60)),IF(E60&gt;=3,MIN(0.3,0.02*E60),0))</f>
        <v>0.8</v>
      </c>
      <c r="U60" s="30" t="n">
        <f aca="false">S60*(1-T60)</f>
        <v>1.37539167017502</v>
      </c>
      <c r="V60" s="30" t="n">
        <f aca="false">MAX(0,U60-InitDed)</f>
        <v>1.35039167017502</v>
      </c>
      <c r="W60" s="16" t="n">
        <f aca="false">SUMPRODUCT((V60&gt;CLo)*(V60-CLo)*CD)*(1+LocalTax)</f>
        <v>0.350060793017384</v>
      </c>
      <c r="X60" s="30" t="n">
        <f aca="false">H60+P60+W60</f>
        <v>2.15853941481101</v>
      </c>
      <c r="Y60" s="16" t="n">
        <f aca="false">(L60-G60)-H60-I60-M60-N60-P60-W60</f>
        <v>7.53825177346379</v>
      </c>
      <c r="Z60" s="8" t="n">
        <f aca="false">Y60/K60</f>
        <v>0.355495076782287</v>
      </c>
      <c r="AA60" s="8" t="n">
        <f aca="false">IF(1+Z60&gt;0,(1+Z60)^(1/E60)-1,-1)</f>
        <v>0.0308839888780128</v>
      </c>
      <c r="AB60" s="30" t="n">
        <f aca="false">L60-O60-M60-W60</f>
        <v>32.0446638134916</v>
      </c>
      <c r="AC60" s="29" t="n">
        <f aca="false">AB60/K60</f>
        <v>1.51118861046019</v>
      </c>
      <c r="AD60" s="30" t="n">
        <f aca="false">K60*((1+DepRate*(1-DepTax))^E60-1)</f>
        <v>6.03997584857586</v>
      </c>
      <c r="AE60" s="30" t="n">
        <f aca="false">Y60-AD60</f>
        <v>1.49827592488793</v>
      </c>
    </row>
    <row r="61" customFormat="false" ht="15" hidden="false" customHeight="false" outlineLevel="0" collapsed="false">
      <c r="A61" s="21" t="n">
        <v>5</v>
      </c>
      <c r="B61" s="14" t="str">
        <f aca="false">INDEX(C_Name,A61)</f>
        <v>본동 래미안트윈파크 (32평형)</v>
      </c>
      <c r="C61" s="21" t="n">
        <v>3</v>
      </c>
      <c r="D61" s="8" t="n">
        <f aca="false">CHOOSE(C61,G1,G2,G3)</f>
        <v>0.06</v>
      </c>
      <c r="E61" s="21" t="n">
        <v>3</v>
      </c>
      <c r="F61" s="21" t="n">
        <f aca="false">MAX(0,E61-NonRes)</f>
        <v>3</v>
      </c>
      <c r="G61" s="14" t="n">
        <f aca="false">INDEX(C_Price,A61)</f>
        <v>24.2</v>
      </c>
      <c r="H61" s="14" t="n">
        <f aca="false">INDEX(C_Acq,A61)</f>
        <v>0.7986</v>
      </c>
      <c r="I61" s="14" t="n">
        <f aca="false">INDEX(C_Fee,A61)</f>
        <v>0.20634</v>
      </c>
      <c r="J61" s="14" t="n">
        <f aca="false">INDEX(C_Loan,A61)</f>
        <v>4</v>
      </c>
      <c r="K61" s="30" t="n">
        <f aca="false">G61-J61+H61+I61</f>
        <v>21.20494</v>
      </c>
      <c r="L61" s="30" t="n">
        <f aca="false">G61*(1+D61)^E61</f>
        <v>28.8225872</v>
      </c>
      <c r="M61" s="30" t="n">
        <f aca="false">L61*LOOKUP(L61,FeeLo,FeeR)*(1+VAT)</f>
        <v>0.22193392144</v>
      </c>
      <c r="N61" s="30" t="n">
        <f aca="false">-CUMIPMT(Rm,LoanYears*12,J61,1,E61*12,0)</f>
        <v>0.467427048612969</v>
      </c>
      <c r="O61" s="30" t="n">
        <f aca="false">J61*(1+Rm)^(E61*12)-(J61*Rm/(1-(1+Rm)^(-LoanYears*12)))*((1+Rm)^(E61*12)-1)/Rm</f>
        <v>3.77994902314271</v>
      </c>
      <c r="P61" s="16" t="n">
        <f aca="false">SUMIFS(Sch_Total,Sch_Idx,A61,Sch_Scen,C61,Sch_Year,"&lt;="&amp;E61)</f>
        <v>0.240394314528</v>
      </c>
      <c r="Q61" s="30" t="n">
        <f aca="false">H61+I61+M61</f>
        <v>1.22687392144</v>
      </c>
      <c r="R61" s="30" t="n">
        <f aca="false">L61-G61-Q61</f>
        <v>3.39571327856</v>
      </c>
      <c r="S61" s="30" t="n">
        <f aca="false">MAX(0,IF(F61&gt;=2,IF(L61&gt;Exempt,R61*(L61-Exempt)/L61,0),R61))</f>
        <v>1.98194153558753</v>
      </c>
      <c r="T61" s="8" t="n">
        <f aca="false">IF(F61&gt;=2,MIN(MaxDed,MIN(0.4,HoldRate*E61)+MIN(0.4,LiveRate*F61)),IF(E61&gt;=3,MIN(0.3,0.02*E61),0))</f>
        <v>0.24</v>
      </c>
      <c r="U61" s="30" t="n">
        <f aca="false">S61*(1-T61)</f>
        <v>1.50627556704652</v>
      </c>
      <c r="V61" s="30" t="n">
        <f aca="false">MAX(0,U61-InitDed)</f>
        <v>1.48127556704652</v>
      </c>
      <c r="W61" s="16" t="n">
        <f aca="false">SUMPRODUCT((V61&gt;CLo)*(V61-CLo)*CD)*(1+LocalTax)</f>
        <v>0.400451093312912</v>
      </c>
      <c r="X61" s="30" t="n">
        <f aca="false">H61+P61+W61</f>
        <v>1.43944540784091</v>
      </c>
      <c r="Y61" s="16" t="n">
        <f aca="false">(L61-G61)-H61-I61-M61-N61-P61-W61</f>
        <v>2.28744082210612</v>
      </c>
      <c r="Z61" s="8" t="n">
        <f aca="false">Y61/K61</f>
        <v>0.107873015538177</v>
      </c>
      <c r="AA61" s="8" t="n">
        <f aca="false">IF(1+Z61&gt;0,(1+Z61)^(1/E61)-1,-1)</f>
        <v>0.034737038079085</v>
      </c>
      <c r="AB61" s="30" t="n">
        <f aca="false">L61-O61-M61-W61</f>
        <v>24.4202531621044</v>
      </c>
      <c r="AC61" s="29" t="n">
        <f aca="false">AB61/K61</f>
        <v>1.15163038245354</v>
      </c>
      <c r="AD61" s="30" t="n">
        <f aca="false">K61*((1+DepRate*(1-DepTax))^E61-1)</f>
        <v>1.65586792818031</v>
      </c>
      <c r="AE61" s="30" t="n">
        <f aca="false">Y61-AD61</f>
        <v>0.631572893925809</v>
      </c>
    </row>
    <row r="62" customFormat="false" ht="15" hidden="false" customHeight="false" outlineLevel="0" collapsed="false">
      <c r="A62" s="21" t="n">
        <v>5</v>
      </c>
      <c r="B62" s="14" t="str">
        <f aca="false">INDEX(C_Name,A62)</f>
        <v>본동 래미안트윈파크 (32평형)</v>
      </c>
      <c r="C62" s="21" t="n">
        <v>3</v>
      </c>
      <c r="D62" s="8" t="n">
        <f aca="false">CHOOSE(C62,G1,G2,G3)</f>
        <v>0.06</v>
      </c>
      <c r="E62" s="21" t="n">
        <v>5</v>
      </c>
      <c r="F62" s="21" t="n">
        <f aca="false">MAX(0,E62-NonRes)</f>
        <v>5</v>
      </c>
      <c r="G62" s="14" t="n">
        <f aca="false">INDEX(C_Price,A62)</f>
        <v>24.2</v>
      </c>
      <c r="H62" s="14" t="n">
        <f aca="false">INDEX(C_Acq,A62)</f>
        <v>0.7986</v>
      </c>
      <c r="I62" s="14" t="n">
        <f aca="false">INDEX(C_Fee,A62)</f>
        <v>0.20634</v>
      </c>
      <c r="J62" s="14" t="n">
        <f aca="false">INDEX(C_Loan,A62)</f>
        <v>4</v>
      </c>
      <c r="K62" s="30" t="n">
        <f aca="false">G62-J62+H62+I62</f>
        <v>21.20494</v>
      </c>
      <c r="L62" s="30" t="n">
        <f aca="false">G62*(1+D62)^E62</f>
        <v>32.38505897792</v>
      </c>
      <c r="M62" s="30" t="n">
        <f aca="false">L62*LOOKUP(L62,FeeLo,FeeR)*(1+VAT)</f>
        <v>0.249364954129984</v>
      </c>
      <c r="N62" s="30" t="n">
        <f aca="false">-CUMIPMT(Rm,LoanYears*12,J62,1,E62*12,0)</f>
        <v>0.76369723456074</v>
      </c>
      <c r="O62" s="30" t="n">
        <f aca="false">J62*(1+Rm)^(E62*12)-(J62*Rm/(1-(1+Rm)^(-LoanYears*12)))*((1+Rm)^(E62*12)-1)/Rm</f>
        <v>3.61790052544364</v>
      </c>
      <c r="P62" s="16" t="n">
        <f aca="false">SUMIFS(Sch_Total,Sch_Idx,A62,Sch_Scen,C62,Sch_Year,"&lt;="&amp;E62)</f>
        <v>0.448797721435661</v>
      </c>
      <c r="Q62" s="30" t="n">
        <f aca="false">H62+I62+M62</f>
        <v>1.25430495412998</v>
      </c>
      <c r="R62" s="30" t="n">
        <f aca="false">L62-G62-Q62</f>
        <v>6.93075402379002</v>
      </c>
      <c r="S62" s="30" t="n">
        <f aca="false">MAX(0,IF(F62&gt;=2,IF(L62&gt;Exempt,R62*(L62-Exempt)/L62,0),R62))</f>
        <v>4.36262381466536</v>
      </c>
      <c r="T62" s="8" t="n">
        <f aca="false">IF(F62&gt;=2,MIN(MaxDed,MIN(0.4,HoldRate*E62)+MIN(0.4,LiveRate*F62)),IF(E62&gt;=3,MIN(0.3,0.02*E62),0))</f>
        <v>0.4</v>
      </c>
      <c r="U62" s="30" t="n">
        <f aca="false">S62*(1-T62)</f>
        <v>2.61757428879921</v>
      </c>
      <c r="V62" s="30" t="n">
        <f aca="false">MAX(0,U62-InitDed)</f>
        <v>2.59257428879921</v>
      </c>
      <c r="W62" s="16" t="n">
        <f aca="false">SUMPRODUCT((V62&gt;CLo)*(V62-CLo)*CD)*(1+LocalTax)</f>
        <v>0.864356052718072</v>
      </c>
      <c r="X62" s="30" t="n">
        <f aca="false">H62+P62+W62</f>
        <v>2.11175377415373</v>
      </c>
      <c r="Y62" s="16" t="n">
        <f aca="false">(L62-G62)-H62-I62-M62-N62-P62-W62</f>
        <v>4.85390301507555</v>
      </c>
      <c r="Z62" s="8" t="n">
        <f aca="false">Y62/K62</f>
        <v>0.228904350357773</v>
      </c>
      <c r="AA62" s="8" t="n">
        <f aca="false">IF(1+Z62&gt;0,(1+Z62)^(1/E62)-1,-1)</f>
        <v>0.0420861318803041</v>
      </c>
      <c r="AB62" s="30" t="n">
        <f aca="false">L62-O62-M62-W62</f>
        <v>27.6534374456283</v>
      </c>
      <c r="AC62" s="29" t="n">
        <f aca="false">AB62/K62</f>
        <v>1.30410354594865</v>
      </c>
      <c r="AD62" s="30" t="n">
        <f aca="false">K62*((1+DepRate*(1-DepTax))^E62-1)</f>
        <v>2.83100820002116</v>
      </c>
      <c r="AE62" s="30" t="n">
        <f aca="false">Y62-AD62</f>
        <v>2.02289481505439</v>
      </c>
    </row>
    <row r="63" customFormat="false" ht="15" hidden="false" customHeight="false" outlineLevel="0" collapsed="false">
      <c r="A63" s="21" t="n">
        <v>5</v>
      </c>
      <c r="B63" s="14" t="str">
        <f aca="false">INDEX(C_Name,A63)</f>
        <v>본동 래미안트윈파크 (32평형)</v>
      </c>
      <c r="C63" s="21" t="n">
        <v>3</v>
      </c>
      <c r="D63" s="8" t="n">
        <f aca="false">CHOOSE(C63,G1,G2,G3)</f>
        <v>0.06</v>
      </c>
      <c r="E63" s="21" t="n">
        <v>7</v>
      </c>
      <c r="F63" s="21" t="n">
        <f aca="false">MAX(0,E63-NonRes)</f>
        <v>7</v>
      </c>
      <c r="G63" s="14" t="n">
        <f aca="false">INDEX(C_Price,A63)</f>
        <v>24.2</v>
      </c>
      <c r="H63" s="14" t="n">
        <f aca="false">INDEX(C_Acq,A63)</f>
        <v>0.7986</v>
      </c>
      <c r="I63" s="14" t="n">
        <f aca="false">INDEX(C_Fee,A63)</f>
        <v>0.20634</v>
      </c>
      <c r="J63" s="14" t="n">
        <f aca="false">INDEX(C_Loan,A63)</f>
        <v>4</v>
      </c>
      <c r="K63" s="30" t="n">
        <f aca="false">G63-J63+H63+I63</f>
        <v>21.20494</v>
      </c>
      <c r="L63" s="30" t="n">
        <f aca="false">G63*(1+D63)^E63</f>
        <v>36.3878522675909</v>
      </c>
      <c r="M63" s="30" t="n">
        <f aca="false">L63*LOOKUP(L63,FeeLo,FeeR)*(1+VAT)</f>
        <v>0.28018646246045</v>
      </c>
      <c r="N63" s="30" t="n">
        <f aca="false">-CUMIPMT(Rm,LoanYears*12,J63,1,E63*12,0)</f>
        <v>1.04649422888253</v>
      </c>
      <c r="O63" s="30" t="n">
        <f aca="false">J63*(1+Rm)^(E63*12)-(J63*Rm/(1-(1+Rm)^(-LoanYears*12)))*((1+Rm)^(E63*12)-1)/Rm</f>
        <v>3.4423788361186</v>
      </c>
      <c r="P63" s="16" t="n">
        <f aca="false">SUMIFS(Sch_Total,Sch_Idx,A63,Sch_Scen,C63,Sch_Year,"&lt;="&amp;E63)</f>
        <v>0.705948502752534</v>
      </c>
      <c r="Q63" s="30" t="n">
        <f aca="false">H63+I63+M63</f>
        <v>1.28512646246045</v>
      </c>
      <c r="R63" s="30" t="n">
        <f aca="false">L63-G63-Q63</f>
        <v>10.9027258051305</v>
      </c>
      <c r="S63" s="30" t="n">
        <f aca="false">MAX(0,IF(F63&gt;=2,IF(L63&gt;Exempt,R63*(L63-Exempt)/L63,0),R63))</f>
        <v>7.30722067063006</v>
      </c>
      <c r="T63" s="8" t="n">
        <f aca="false">IF(F63&gt;=2,MIN(MaxDed,MIN(0.4,HoldRate*E63)+MIN(0.4,LiveRate*F63)),IF(E63&gt;=3,MIN(0.3,0.02*E63),0))</f>
        <v>0.56</v>
      </c>
      <c r="U63" s="30" t="n">
        <f aca="false">S63*(1-T63)</f>
        <v>3.21517709507723</v>
      </c>
      <c r="V63" s="30" t="n">
        <f aca="false">MAX(0,U63-InitDed)</f>
        <v>3.19017709507723</v>
      </c>
      <c r="W63" s="16" t="n">
        <f aca="false">SUMPRODUCT((V63&gt;CLo)*(V63-CLo)*CD)*(1+LocalTax)</f>
        <v>1.11833792183398</v>
      </c>
      <c r="X63" s="30" t="n">
        <f aca="false">H63+P63+W63</f>
        <v>2.62288642458651</v>
      </c>
      <c r="Y63" s="16" t="n">
        <f aca="false">(L63-G63)-H63-I63-M63-N63-P63-W63</f>
        <v>8.03194515166143</v>
      </c>
      <c r="Z63" s="8" t="n">
        <f aca="false">Y63/K63</f>
        <v>0.378777075137276</v>
      </c>
      <c r="AA63" s="8" t="n">
        <f aca="false">IF(1+Z63&gt;0,(1+Z63)^(1/E63)-1,-1)</f>
        <v>0.0469542928106594</v>
      </c>
      <c r="AB63" s="30" t="n">
        <f aca="false">L63-O63-M63-W63</f>
        <v>31.5469490471779</v>
      </c>
      <c r="AC63" s="29" t="n">
        <f aca="false">AB63/K63</f>
        <v>1.48771696817713</v>
      </c>
      <c r="AD63" s="30" t="n">
        <f aca="false">K63*((1+DepRate*(1-DepTax))^E63-1)</f>
        <v>4.06655555208596</v>
      </c>
      <c r="AE63" s="30" t="n">
        <f aca="false">Y63-AD63</f>
        <v>3.96538959957547</v>
      </c>
    </row>
    <row r="64" customFormat="false" ht="15" hidden="false" customHeight="false" outlineLevel="0" collapsed="false">
      <c r="A64" s="21" t="n">
        <v>5</v>
      </c>
      <c r="B64" s="14" t="str">
        <f aca="false">INDEX(C_Name,A64)</f>
        <v>본동 래미안트윈파크 (32평형)</v>
      </c>
      <c r="C64" s="21" t="n">
        <v>3</v>
      </c>
      <c r="D64" s="8" t="n">
        <f aca="false">CHOOSE(C64,G1,G2,G3)</f>
        <v>0.06</v>
      </c>
      <c r="E64" s="21" t="n">
        <v>10</v>
      </c>
      <c r="F64" s="21" t="n">
        <f aca="false">MAX(0,E64-NonRes)</f>
        <v>10</v>
      </c>
      <c r="G64" s="14" t="n">
        <f aca="false">INDEX(C_Price,A64)</f>
        <v>24.2</v>
      </c>
      <c r="H64" s="14" t="n">
        <f aca="false">INDEX(C_Acq,A64)</f>
        <v>0.7986</v>
      </c>
      <c r="I64" s="14" t="n">
        <f aca="false">INDEX(C_Fee,A64)</f>
        <v>0.20634</v>
      </c>
      <c r="J64" s="14" t="n">
        <f aca="false">INDEX(C_Loan,A64)</f>
        <v>4</v>
      </c>
      <c r="K64" s="30" t="n">
        <f aca="false">G64-J64+H64+I64</f>
        <v>21.20494</v>
      </c>
      <c r="L64" s="30" t="n">
        <f aca="false">G64*(1+D64)^E64</f>
        <v>43.3385142563371</v>
      </c>
      <c r="M64" s="30" t="n">
        <f aca="false">L64*LOOKUP(L64,FeeLo,FeeR)*(1+VAT)</f>
        <v>0.333706559773796</v>
      </c>
      <c r="N64" s="30" t="n">
        <f aca="false">-CUMIPMT(Rm,LoanYears*12,J64,1,E64*12,0)</f>
        <v>1.44295178669745</v>
      </c>
      <c r="O64" s="30" t="n">
        <f aca="false">J64*(1+Rm)^(E64*12)-(J64*Rm/(1-(1+Rm)^(-LoanYears*12)))*((1+Rm)^(E64*12)-1)/Rm</f>
        <v>3.15135836846326</v>
      </c>
      <c r="P64" s="16" t="n">
        <f aca="false">SUMIFS(Sch_Total,Sch_Idx,A64,Sch_Scen,C64,Sch_Year,"&lt;="&amp;E64)</f>
        <v>1.21053263529928</v>
      </c>
      <c r="Q64" s="30" t="n">
        <f aca="false">H64+I64+M64</f>
        <v>1.3386465597738</v>
      </c>
      <c r="R64" s="30" t="n">
        <f aca="false">L64-G64-Q64</f>
        <v>17.7998676965633</v>
      </c>
      <c r="S64" s="30" t="n">
        <f aca="false">MAX(0,IF(F64&gt;=2,IF(L64&gt;Exempt,R64*(L64-Exempt)/L64,0),R64))</f>
        <v>12.8712628280305</v>
      </c>
      <c r="T64" s="8" t="n">
        <f aca="false">IF(F64&gt;=2,MIN(MaxDed,MIN(0.4,HoldRate*E64)+MIN(0.4,LiveRate*F64)),IF(E64&gt;=3,MIN(0.3,0.02*E64),0))</f>
        <v>0.8</v>
      </c>
      <c r="U64" s="30" t="n">
        <f aca="false">S64*(1-T64)</f>
        <v>2.5742525656061</v>
      </c>
      <c r="V64" s="30" t="n">
        <f aca="false">MAX(0,U64-InitDed)</f>
        <v>2.5492525656061</v>
      </c>
      <c r="W64" s="16" t="n">
        <f aca="false">SUMPRODUCT((V64&gt;CLo)*(V64-CLo)*CD)*(1+LocalTax)</f>
        <v>0.846247572423352</v>
      </c>
      <c r="X64" s="30" t="n">
        <f aca="false">H64+P64+W64</f>
        <v>2.85538020772263</v>
      </c>
      <c r="Y64" s="16" t="n">
        <f aca="false">(L64-G64)-H64-I64-M64-N64-P64-W64</f>
        <v>14.3001357021432</v>
      </c>
      <c r="Z64" s="8" t="n">
        <f aca="false">Y64/K64</f>
        <v>0.674377560235644</v>
      </c>
      <c r="AA64" s="8" t="n">
        <f aca="false">IF(1+Z64&gt;0,(1+Z64)^(1/E64)-1,-1)</f>
        <v>0.0528956695974834</v>
      </c>
      <c r="AB64" s="30" t="n">
        <f aca="false">L64-O64-M64-W64</f>
        <v>39.0072017556767</v>
      </c>
      <c r="AC64" s="29" t="n">
        <f aca="false">AB64/K64</f>
        <v>1.83953370090539</v>
      </c>
      <c r="AD64" s="30" t="n">
        <f aca="false">K64*((1+DepRate*(1-DepTax))^E64-1)</f>
        <v>6.03997584857586</v>
      </c>
      <c r="AE64" s="30" t="n">
        <f aca="false">Y64-AD64</f>
        <v>8.26015985356735</v>
      </c>
    </row>
    <row r="65" customFormat="false" ht="15" hidden="false" customHeight="false" outlineLevel="0" collapsed="false">
      <c r="A65" s="21" t="n">
        <v>6</v>
      </c>
      <c r="B65" s="14" t="str">
        <f aca="false">INDEX(C_Name,A65)</f>
        <v>흑석 아크로리버하임 84.75㎡</v>
      </c>
      <c r="C65" s="21" t="n">
        <v>1</v>
      </c>
      <c r="D65" s="8" t="n">
        <f aca="false">CHOOSE(C65,G1,G2,G3)</f>
        <v>0.02</v>
      </c>
      <c r="E65" s="21" t="n">
        <v>3</v>
      </c>
      <c r="F65" s="21" t="n">
        <f aca="false">MAX(0,E65-NonRes)</f>
        <v>3</v>
      </c>
      <c r="G65" s="14" t="n">
        <f aca="false">INDEX(C_Price,A65)</f>
        <v>28.75</v>
      </c>
      <c r="H65" s="14" t="n">
        <f aca="false">INDEX(C_Acq,A65)</f>
        <v>0.94875</v>
      </c>
      <c r="I65" s="14" t="n">
        <f aca="false">INDEX(C_Fee,A65)</f>
        <v>0.241375</v>
      </c>
      <c r="J65" s="14" t="n">
        <f aca="false">INDEX(C_Loan,A65)</f>
        <v>2</v>
      </c>
      <c r="K65" s="30" t="n">
        <f aca="false">G65-J65+H65+I65</f>
        <v>27.940125</v>
      </c>
      <c r="L65" s="30" t="n">
        <f aca="false">G65*(1+D65)^E65</f>
        <v>30.50973</v>
      </c>
      <c r="M65" s="30" t="n">
        <f aca="false">L65*LOOKUP(L65,FeeLo,FeeR)*(1+VAT)</f>
        <v>0.234924921</v>
      </c>
      <c r="N65" s="30" t="n">
        <f aca="false">-CUMIPMT(Rm,LoanYears*12,J65,1,E65*12,0)</f>
        <v>0.233713524306484</v>
      </c>
      <c r="O65" s="30" t="n">
        <f aca="false">J65*(1+Rm)^(E65*12)-(J65*Rm/(1-(1+Rm)^(-LoanYears*12)))*((1+Rm)^(E65*12)-1)/Rm</f>
        <v>1.88997451157136</v>
      </c>
      <c r="P65" s="16" t="n">
        <f aca="false">SUMIFS(Sch_Total,Sch_Idx,A65,Sch_Scen,C65,Sch_Year,"&lt;="&amp;E65)</f>
        <v>0.3061056006</v>
      </c>
      <c r="Q65" s="30" t="n">
        <f aca="false">H65+I65+M65</f>
        <v>1.425049921</v>
      </c>
      <c r="R65" s="30" t="n">
        <f aca="false">L65-G65-Q65</f>
        <v>0.334680079000004</v>
      </c>
      <c r="S65" s="30" t="n">
        <f aca="false">MAX(0,IF(F65&gt;=2,IF(L65&gt;Exempt,R65*(L65-Exempt)/L65,0),R65))</f>
        <v>0.203044664723967</v>
      </c>
      <c r="T65" s="8" t="n">
        <f aca="false">IF(F65&gt;=2,MIN(MaxDed,MIN(0.4,HoldRate*E65)+MIN(0.4,LiveRate*F65)),IF(E65&gt;=3,MIN(0.3,0.02*E65),0))</f>
        <v>0.24</v>
      </c>
      <c r="U65" s="30" t="n">
        <f aca="false">S65*(1-T65)</f>
        <v>0.154313945190215</v>
      </c>
      <c r="V65" s="30" t="n">
        <f aca="false">MAX(0,U65-InitDed)</f>
        <v>0.129313945190215</v>
      </c>
      <c r="W65" s="16" t="n">
        <f aca="false">SUMPRODUCT((V65&gt;CLo)*(V65-CLo)*CD)*(1+LocalTax)</f>
        <v>0.00853472038255418</v>
      </c>
      <c r="X65" s="30" t="n">
        <f aca="false">H65+P65+W65</f>
        <v>1.26339032098255</v>
      </c>
      <c r="Y65" s="16" t="n">
        <f aca="false">(L65-G65)-H65-I65-M65-N65-P65-W65</f>
        <v>-0.213673766289034</v>
      </c>
      <c r="Z65" s="8" t="n">
        <f aca="false">Y65/K65</f>
        <v>-0.00764755942534379</v>
      </c>
      <c r="AA65" s="8" t="n">
        <f aca="false">IF(1+Z65&gt;0,(1+Z65)^(1/E65)-1,-1)</f>
        <v>-0.00255571257753928</v>
      </c>
      <c r="AB65" s="30" t="n">
        <f aca="false">L65-O65-M65-W65</f>
        <v>28.3762958470461</v>
      </c>
      <c r="AC65" s="29" t="n">
        <f aca="false">AB65/K65</f>
        <v>1.01561091251546</v>
      </c>
      <c r="AD65" s="30" t="n">
        <f aca="false">K65*((1+DepRate*(1-DepTax))^E65-1)</f>
        <v>2.18181031857902</v>
      </c>
      <c r="AE65" s="30" t="n">
        <f aca="false">Y65-AD65</f>
        <v>-2.39548408486805</v>
      </c>
    </row>
    <row r="66" customFormat="false" ht="15" hidden="false" customHeight="false" outlineLevel="0" collapsed="false">
      <c r="A66" s="21" t="n">
        <v>6</v>
      </c>
      <c r="B66" s="14" t="str">
        <f aca="false">INDEX(C_Name,A66)</f>
        <v>흑석 아크로리버하임 84.75㎡</v>
      </c>
      <c r="C66" s="21" t="n">
        <v>1</v>
      </c>
      <c r="D66" s="8" t="n">
        <f aca="false">CHOOSE(C66,G1,G2,G3)</f>
        <v>0.02</v>
      </c>
      <c r="E66" s="21" t="n">
        <v>5</v>
      </c>
      <c r="F66" s="21" t="n">
        <f aca="false">MAX(0,E66-NonRes)</f>
        <v>5</v>
      </c>
      <c r="G66" s="14" t="n">
        <f aca="false">INDEX(C_Price,A66)</f>
        <v>28.75</v>
      </c>
      <c r="H66" s="14" t="n">
        <f aca="false">INDEX(C_Acq,A66)</f>
        <v>0.94875</v>
      </c>
      <c r="I66" s="14" t="n">
        <f aca="false">INDEX(C_Fee,A66)</f>
        <v>0.241375</v>
      </c>
      <c r="J66" s="14" t="n">
        <f aca="false">INDEX(C_Loan,A66)</f>
        <v>2</v>
      </c>
      <c r="K66" s="30" t="n">
        <f aca="false">G66-J66+H66+I66</f>
        <v>27.940125</v>
      </c>
      <c r="L66" s="30" t="n">
        <f aca="false">G66*(1+D66)^E66</f>
        <v>31.742323092</v>
      </c>
      <c r="M66" s="30" t="n">
        <f aca="false">L66*LOOKUP(L66,FeeLo,FeeR)*(1+VAT)</f>
        <v>0.2444158878084</v>
      </c>
      <c r="N66" s="30" t="n">
        <f aca="false">-CUMIPMT(Rm,LoanYears*12,J66,1,E66*12,0)</f>
        <v>0.38184861728037</v>
      </c>
      <c r="O66" s="30" t="n">
        <f aca="false">J66*(1+Rm)^(E66*12)-(J66*Rm/(1-(1+Rm)^(-LoanYears*12)))*((1+Rm)^(E66*12)-1)/Rm</f>
        <v>1.80895026272182</v>
      </c>
      <c r="P66" s="16" t="n">
        <f aca="false">SUMIFS(Sch_Total,Sch_Idx,A66,Sch_Scen,C66,Sch_Year,"&lt;="&amp;E66)</f>
        <v>0.52813988486424</v>
      </c>
      <c r="Q66" s="30" t="n">
        <f aca="false">H66+I66+M66</f>
        <v>1.4345408878084</v>
      </c>
      <c r="R66" s="30" t="n">
        <f aca="false">L66-G66-Q66</f>
        <v>1.5577822041916</v>
      </c>
      <c r="S66" s="30" t="n">
        <f aca="false">MAX(0,IF(F66&gt;=2,IF(L66&gt;Exempt,R66*(L66-Exempt)/L66,0),R66))</f>
        <v>0.96887173295358</v>
      </c>
      <c r="T66" s="8" t="n">
        <f aca="false">IF(F66&gt;=2,MIN(MaxDed,MIN(0.4,HoldRate*E66)+MIN(0.4,LiveRate*F66)),IF(E66&gt;=3,MIN(0.3,0.02*E66),0))</f>
        <v>0.4</v>
      </c>
      <c r="U66" s="30" t="n">
        <f aca="false">S66*(1-T66)</f>
        <v>0.581323039772148</v>
      </c>
      <c r="V66" s="30" t="n">
        <f aca="false">MAX(0,U66-InitDed)</f>
        <v>0.556323039772148</v>
      </c>
      <c r="W66" s="16" t="n">
        <f aca="false">SUMPRODUCT((V66&gt;CLo)*(V66-CLo)*CD)*(1+LocalTax)</f>
        <v>0.083509282499847</v>
      </c>
      <c r="X66" s="30" t="n">
        <f aca="false">H66+P66+W66</f>
        <v>1.56039916736409</v>
      </c>
      <c r="Y66" s="16" t="n">
        <f aca="false">(L66-G66)-H66-I66-M66-N66-P66-W66</f>
        <v>0.564284419547142</v>
      </c>
      <c r="Z66" s="8" t="n">
        <f aca="false">Y66/K66</f>
        <v>0.0201962023987775</v>
      </c>
      <c r="AA66" s="8" t="n">
        <f aca="false">IF(1+Z66&gt;0,(1+Z66)^(1/E66)-1,-1)</f>
        <v>0.00400699945929417</v>
      </c>
      <c r="AB66" s="30" t="n">
        <f aca="false">L66-O66-M66-W66</f>
        <v>29.6054476589699</v>
      </c>
      <c r="AC66" s="29" t="n">
        <f aca="false">AB66/K66</f>
        <v>1.05960326444388</v>
      </c>
      <c r="AD66" s="30" t="n">
        <f aca="false">K66*((1+DepRate*(1-DepTax))^E66-1)</f>
        <v>3.73020263130271</v>
      </c>
      <c r="AE66" s="30" t="n">
        <f aca="false">Y66-AD66</f>
        <v>-3.16591821175557</v>
      </c>
    </row>
    <row r="67" customFormat="false" ht="15" hidden="false" customHeight="false" outlineLevel="0" collapsed="false">
      <c r="A67" s="21" t="n">
        <v>6</v>
      </c>
      <c r="B67" s="14" t="str">
        <f aca="false">INDEX(C_Name,A67)</f>
        <v>흑석 아크로리버하임 84.75㎡</v>
      </c>
      <c r="C67" s="21" t="n">
        <v>1</v>
      </c>
      <c r="D67" s="8" t="n">
        <f aca="false">CHOOSE(C67,G1,G2,G3)</f>
        <v>0.02</v>
      </c>
      <c r="E67" s="21" t="n">
        <v>7</v>
      </c>
      <c r="F67" s="21" t="n">
        <f aca="false">MAX(0,E67-NonRes)</f>
        <v>7</v>
      </c>
      <c r="G67" s="14" t="n">
        <f aca="false">INDEX(C_Price,A67)</f>
        <v>28.75</v>
      </c>
      <c r="H67" s="14" t="n">
        <f aca="false">INDEX(C_Acq,A67)</f>
        <v>0.94875</v>
      </c>
      <c r="I67" s="14" t="n">
        <f aca="false">INDEX(C_Fee,A67)</f>
        <v>0.241375</v>
      </c>
      <c r="J67" s="14" t="n">
        <f aca="false">INDEX(C_Loan,A67)</f>
        <v>2</v>
      </c>
      <c r="K67" s="30" t="n">
        <f aca="false">G67-J67+H67+I67</f>
        <v>27.940125</v>
      </c>
      <c r="L67" s="30" t="n">
        <f aca="false">G67*(1+D67)^E67</f>
        <v>33.0247129449168</v>
      </c>
      <c r="M67" s="30" t="n">
        <f aca="false">L67*LOOKUP(L67,FeeLo,FeeR)*(1+VAT)</f>
        <v>0.254290289675859</v>
      </c>
      <c r="N67" s="30" t="n">
        <f aca="false">-CUMIPMT(Rm,LoanYears*12,J67,1,E67*12,0)</f>
        <v>0.523247114441265</v>
      </c>
      <c r="O67" s="30" t="n">
        <f aca="false">J67*(1+Rm)^(E67*12)-(J67*Rm/(1-(1+Rm)^(-LoanYears*12)))*((1+Rm)^(E67*12)-1)/Rm</f>
        <v>1.7211894180593</v>
      </c>
      <c r="P67" s="16" t="n">
        <f aca="false">SUMIFS(Sch_Total,Sch_Idx,A67,Sch_Scen,C67,Sch_Year,"&lt;="&amp;E67)</f>
        <v>0.765958679715799</v>
      </c>
      <c r="Q67" s="30" t="n">
        <f aca="false">H67+I67+M67</f>
        <v>1.44441528967586</v>
      </c>
      <c r="R67" s="30" t="n">
        <f aca="false">L67-G67-Q67</f>
        <v>2.83029765524094</v>
      </c>
      <c r="S67" s="30" t="n">
        <f aca="false">MAX(0,IF(F67&gt;=2,IF(L67&gt;Exempt,R67*(L67-Exempt)/L67,0),R67))</f>
        <v>1.80186867481224</v>
      </c>
      <c r="T67" s="8" t="n">
        <f aca="false">IF(F67&gt;=2,MIN(MaxDed,MIN(0.4,HoldRate*E67)+MIN(0.4,LiveRate*F67)),IF(E67&gt;=3,MIN(0.3,0.02*E67),0))</f>
        <v>0.56</v>
      </c>
      <c r="U67" s="30" t="n">
        <f aca="false">S67*(1-T67)</f>
        <v>0.792822216917386</v>
      </c>
      <c r="V67" s="30" t="n">
        <f aca="false">MAX(0,U67-InitDed)</f>
        <v>0.767822216917386</v>
      </c>
      <c r="W67" s="16" t="n">
        <f aca="false">SUMPRODUCT((V67&gt;CLo)*(V67-CLo)*CD)*(1+LocalTax)</f>
        <v>0.13934506526619</v>
      </c>
      <c r="X67" s="30" t="n">
        <f aca="false">H67+P67+W67</f>
        <v>1.85405374498199</v>
      </c>
      <c r="Y67" s="16" t="n">
        <f aca="false">(L67-G67)-H67-I67-M67-N67-P67-W67</f>
        <v>1.40174679581769</v>
      </c>
      <c r="Z67" s="8" t="n">
        <f aca="false">Y67/K67</f>
        <v>0.0501696680246666</v>
      </c>
      <c r="AA67" s="8" t="n">
        <f aca="false">IF(1+Z67&gt;0,(1+Z67)^(1/E67)-1,-1)</f>
        <v>0.007017614534089</v>
      </c>
      <c r="AB67" s="30" t="n">
        <f aca="false">L67-O67-M67-W67</f>
        <v>30.9098881719155</v>
      </c>
      <c r="AC67" s="29" t="n">
        <f aca="false">AB67/K67</f>
        <v>1.10629026075994</v>
      </c>
      <c r="AD67" s="30" t="n">
        <f aca="false">K67*((1+DepRate*(1-DepTax))^E67-1)</f>
        <v>5.3581887260575</v>
      </c>
      <c r="AE67" s="30" t="n">
        <f aca="false">Y67-AD67</f>
        <v>-3.95644193023982</v>
      </c>
    </row>
    <row r="68" customFormat="false" ht="15" hidden="false" customHeight="false" outlineLevel="0" collapsed="false">
      <c r="A68" s="21" t="n">
        <v>6</v>
      </c>
      <c r="B68" s="14" t="str">
        <f aca="false">INDEX(C_Name,A68)</f>
        <v>흑석 아크로리버하임 84.75㎡</v>
      </c>
      <c r="C68" s="21" t="n">
        <v>1</v>
      </c>
      <c r="D68" s="8" t="n">
        <f aca="false">CHOOSE(C68,G1,G2,G3)</f>
        <v>0.02</v>
      </c>
      <c r="E68" s="21" t="n">
        <v>10</v>
      </c>
      <c r="F68" s="21" t="n">
        <f aca="false">MAX(0,E68-NonRes)</f>
        <v>10</v>
      </c>
      <c r="G68" s="14" t="n">
        <f aca="false">INDEX(C_Price,A68)</f>
        <v>28.75</v>
      </c>
      <c r="H68" s="14" t="n">
        <f aca="false">INDEX(C_Acq,A68)</f>
        <v>0.94875</v>
      </c>
      <c r="I68" s="14" t="n">
        <f aca="false">INDEX(C_Fee,A68)</f>
        <v>0.241375</v>
      </c>
      <c r="J68" s="14" t="n">
        <f aca="false">INDEX(C_Loan,A68)</f>
        <v>2</v>
      </c>
      <c r="K68" s="30" t="n">
        <f aca="false">G68-J68+H68+I68</f>
        <v>27.940125</v>
      </c>
      <c r="L68" s="30" t="n">
        <f aca="false">G68*(1+D68)^E68</f>
        <v>35.0460895748493</v>
      </c>
      <c r="M68" s="30" t="n">
        <f aca="false">L68*LOOKUP(L68,FeeLo,FeeR)*(1+VAT)</f>
        <v>0.26985488972634</v>
      </c>
      <c r="N68" s="30" t="n">
        <f aca="false">-CUMIPMT(Rm,LoanYears*12,J68,1,E68*12,0)</f>
        <v>0.721475893348725</v>
      </c>
      <c r="O68" s="30" t="n">
        <f aca="false">J68*(1+Rm)^(E68*12)-(J68*Rm/(1-(1+Rm)^(-LoanYears*12)))*((1+Rm)^(E68*12)-1)/Rm</f>
        <v>1.57567918423163</v>
      </c>
      <c r="P68" s="16" t="n">
        <f aca="false">SUMIFS(Sch_Total,Sch_Idx,A68,Sch_Scen,C68,Sch_Year,"&lt;="&amp;E68)</f>
        <v>1.15921211127656</v>
      </c>
      <c r="Q68" s="30" t="n">
        <f aca="false">H68+I68+M68</f>
        <v>1.45997988972634</v>
      </c>
      <c r="R68" s="30" t="n">
        <f aca="false">L68-G68-Q68</f>
        <v>4.83610968512294</v>
      </c>
      <c r="S68" s="30" t="n">
        <f aca="false">MAX(0,IF(F68&gt;=2,IF(L68&gt;Exempt,R68*(L68-Exempt)/L68,0),R68))</f>
        <v>3.18019551822191</v>
      </c>
      <c r="T68" s="8" t="n">
        <f aca="false">IF(F68&gt;=2,MIN(MaxDed,MIN(0.4,HoldRate*E68)+MIN(0.4,LiveRate*F68)),IF(E68&gt;=3,MIN(0.3,0.02*E68),0))</f>
        <v>0.8</v>
      </c>
      <c r="U68" s="30" t="n">
        <f aca="false">S68*(1-T68)</f>
        <v>0.636039103644382</v>
      </c>
      <c r="V68" s="30" t="n">
        <f aca="false">MAX(0,U68-InitDed)</f>
        <v>0.611039103644382</v>
      </c>
      <c r="W68" s="16" t="n">
        <f aca="false">SUMPRODUCT((V68&gt;CLo)*(V68-CLo)*CD)*(1+LocalTax)</f>
        <v>0.0979543233621169</v>
      </c>
      <c r="X68" s="30" t="n">
        <f aca="false">H68+P68+W68</f>
        <v>2.20591643463867</v>
      </c>
      <c r="Y68" s="16" t="n">
        <f aca="false">(L68-G68)-H68-I68-M68-N68-P68-W68</f>
        <v>2.85746735713554</v>
      </c>
      <c r="Z68" s="8" t="n">
        <f aca="false">Y68/K68</f>
        <v>0.10227110140472</v>
      </c>
      <c r="AA68" s="8" t="n">
        <f aca="false">IF(1+Z68&gt;0,(1+Z68)^(1/E68)-1,-1)</f>
        <v>0.00978483035133815</v>
      </c>
      <c r="AB68" s="30" t="n">
        <f aca="false">L68-O68-M68-W68</f>
        <v>33.1026011775292</v>
      </c>
      <c r="AC68" s="29" t="n">
        <f aca="false">AB68/K68</f>
        <v>1.18476925845998</v>
      </c>
      <c r="AD68" s="30" t="n">
        <f aca="false">K68*((1+DepRate*(1-DepTax))^E68-1)</f>
        <v>7.95841347375615</v>
      </c>
      <c r="AE68" s="30" t="n">
        <f aca="false">Y68-AD68</f>
        <v>-5.10094611662061</v>
      </c>
    </row>
    <row r="69" customFormat="false" ht="15" hidden="false" customHeight="false" outlineLevel="0" collapsed="false">
      <c r="A69" s="21" t="n">
        <v>6</v>
      </c>
      <c r="B69" s="14" t="str">
        <f aca="false">INDEX(C_Name,A69)</f>
        <v>흑석 아크로리버하임 84.75㎡</v>
      </c>
      <c r="C69" s="21" t="n">
        <v>2</v>
      </c>
      <c r="D69" s="8" t="n">
        <f aca="false">CHOOSE(C69,G1,G2,G3)</f>
        <v>0.04</v>
      </c>
      <c r="E69" s="21" t="n">
        <v>3</v>
      </c>
      <c r="F69" s="21" t="n">
        <f aca="false">MAX(0,E69-NonRes)</f>
        <v>3</v>
      </c>
      <c r="G69" s="14" t="n">
        <f aca="false">INDEX(C_Price,A69)</f>
        <v>28.75</v>
      </c>
      <c r="H69" s="14" t="n">
        <f aca="false">INDEX(C_Acq,A69)</f>
        <v>0.94875</v>
      </c>
      <c r="I69" s="14" t="n">
        <f aca="false">INDEX(C_Fee,A69)</f>
        <v>0.241375</v>
      </c>
      <c r="J69" s="14" t="n">
        <f aca="false">INDEX(C_Loan,A69)</f>
        <v>2</v>
      </c>
      <c r="K69" s="30" t="n">
        <f aca="false">G69-J69+H69+I69</f>
        <v>27.940125</v>
      </c>
      <c r="L69" s="30" t="n">
        <f aca="false">G69*(1+D69)^E69</f>
        <v>32.33984</v>
      </c>
      <c r="M69" s="30" t="n">
        <f aca="false">L69*LOOKUP(L69,FeeLo,FeeR)*(1+VAT)</f>
        <v>0.249016768</v>
      </c>
      <c r="N69" s="30" t="n">
        <f aca="false">-CUMIPMT(Rm,LoanYears*12,J69,1,E69*12,0)</f>
        <v>0.233713524306484</v>
      </c>
      <c r="O69" s="30" t="n">
        <f aca="false">J69*(1+Rm)^(E69*12)-(J69*Rm/(1-(1+Rm)^(-LoanYears*12)))*((1+Rm)^(E69*12)-1)/Rm</f>
        <v>1.88997451157136</v>
      </c>
      <c r="P69" s="16" t="n">
        <f aca="false">SUMIFS(Sch_Total,Sch_Idx,A69,Sch_Scen,C69,Sch_Year,"&lt;="&amp;E69)</f>
        <v>0.3167407224</v>
      </c>
      <c r="Q69" s="30" t="n">
        <f aca="false">H69+I69+M69</f>
        <v>1.439141768</v>
      </c>
      <c r="R69" s="30" t="n">
        <f aca="false">L69-G69-Q69</f>
        <v>2.150698232</v>
      </c>
      <c r="S69" s="30" t="n">
        <f aca="false">MAX(0,IF(F69&gt;=2,IF(L69&gt;Exempt,R69*(L69-Exempt)/L69,0),R69))</f>
        <v>1.35266154461998</v>
      </c>
      <c r="T69" s="8" t="n">
        <f aca="false">IF(F69&gt;=2,MIN(MaxDed,MIN(0.4,HoldRate*E69)+MIN(0.4,LiveRate*F69)),IF(E69&gt;=3,MIN(0.3,0.02*E69),0))</f>
        <v>0.24</v>
      </c>
      <c r="U69" s="30" t="n">
        <f aca="false">S69*(1-T69)</f>
        <v>1.02802277391118</v>
      </c>
      <c r="V69" s="30" t="n">
        <f aca="false">MAX(0,U69-InitDed)</f>
        <v>1.00302277391118</v>
      </c>
      <c r="W69" s="16" t="n">
        <f aca="false">SUMPRODUCT((V69&gt;CLo)*(V69-CLo)*CD)*(1+LocalTax)</f>
        <v>0.216323767955805</v>
      </c>
      <c r="X69" s="30" t="n">
        <f aca="false">H69+P69+W69</f>
        <v>1.48181449035581</v>
      </c>
      <c r="Y69" s="16" t="n">
        <f aca="false">(L69-G69)-H69-I69-M69-N69-P69-W69</f>
        <v>1.38392021733771</v>
      </c>
      <c r="Z69" s="8" t="n">
        <f aca="false">Y69/K69</f>
        <v>0.0495316401532818</v>
      </c>
      <c r="AA69" s="8" t="n">
        <f aca="false">IF(1+Z69&gt;0,(1+Z69)^(1/E69)-1,-1)</f>
        <v>0.0162452107705233</v>
      </c>
      <c r="AB69" s="30" t="n">
        <f aca="false">L69-O69-M69-W69</f>
        <v>29.9845249524728</v>
      </c>
      <c r="AC69" s="29" t="n">
        <f aca="false">AB69/K69</f>
        <v>1.07317075182995</v>
      </c>
      <c r="AD69" s="30" t="n">
        <f aca="false">K69*((1+DepRate*(1-DepTax))^E69-1)</f>
        <v>2.18181031857902</v>
      </c>
      <c r="AE69" s="30" t="n">
        <f aca="false">Y69-AD69</f>
        <v>-0.797890101241306</v>
      </c>
    </row>
    <row r="70" customFormat="false" ht="15" hidden="false" customHeight="false" outlineLevel="0" collapsed="false">
      <c r="A70" s="21" t="n">
        <v>6</v>
      </c>
      <c r="B70" s="14" t="str">
        <f aca="false">INDEX(C_Name,A70)</f>
        <v>흑석 아크로리버하임 84.75㎡</v>
      </c>
      <c r="C70" s="21" t="n">
        <v>2</v>
      </c>
      <c r="D70" s="8" t="n">
        <f aca="false">CHOOSE(C70,G1,G2,G3)</f>
        <v>0.04</v>
      </c>
      <c r="E70" s="21" t="n">
        <v>5</v>
      </c>
      <c r="F70" s="21" t="n">
        <f aca="false">MAX(0,E70-NonRes)</f>
        <v>5</v>
      </c>
      <c r="G70" s="14" t="n">
        <f aca="false">INDEX(C_Price,A70)</f>
        <v>28.75</v>
      </c>
      <c r="H70" s="14" t="n">
        <f aca="false">INDEX(C_Acq,A70)</f>
        <v>0.94875</v>
      </c>
      <c r="I70" s="14" t="n">
        <f aca="false">INDEX(C_Fee,A70)</f>
        <v>0.241375</v>
      </c>
      <c r="J70" s="14" t="n">
        <f aca="false">INDEX(C_Loan,A70)</f>
        <v>2</v>
      </c>
      <c r="K70" s="30" t="n">
        <f aca="false">G70-J70+H70+I70</f>
        <v>27.940125</v>
      </c>
      <c r="L70" s="30" t="n">
        <f aca="false">G70*(1+D70)^E70</f>
        <v>34.978770944</v>
      </c>
      <c r="M70" s="30" t="n">
        <f aca="false">L70*LOOKUP(L70,FeeLo,FeeR)*(1+VAT)</f>
        <v>0.2693365362688</v>
      </c>
      <c r="N70" s="30" t="n">
        <f aca="false">-CUMIPMT(Rm,LoanYears*12,J70,1,E70*12,0)</f>
        <v>0.38184861728037</v>
      </c>
      <c r="O70" s="30" t="n">
        <f aca="false">J70*(1+Rm)^(E70*12)-(J70*Rm/(1-(1+Rm)^(-LoanYears*12)))*((1+Rm)^(E70*12)-1)/Rm</f>
        <v>1.80895026272182</v>
      </c>
      <c r="P70" s="16" t="n">
        <f aca="false">SUMIFS(Sch_Total,Sch_Idx,A70,Sch_Scen,C70,Sch_Year,"&lt;="&amp;E70)</f>
        <v>0.56831614432128</v>
      </c>
      <c r="Q70" s="30" t="n">
        <f aca="false">H70+I70+M70</f>
        <v>1.4594615362688</v>
      </c>
      <c r="R70" s="30" t="n">
        <f aca="false">L70-G70-Q70</f>
        <v>4.7693094077312</v>
      </c>
      <c r="S70" s="30" t="n">
        <f aca="false">MAX(0,IF(F70&gt;=2,IF(L70&gt;Exempt,R70*(L70-Exempt)/L70,0),R70))</f>
        <v>3.13312519232807</v>
      </c>
      <c r="T70" s="8" t="n">
        <f aca="false">IF(F70&gt;=2,MIN(MaxDed,MIN(0.4,HoldRate*E70)+MIN(0.4,LiveRate*F70)),IF(E70&gt;=3,MIN(0.3,0.02*E70),0))</f>
        <v>0.4</v>
      </c>
      <c r="U70" s="30" t="n">
        <f aca="false">S70*(1-T70)</f>
        <v>1.87987511539684</v>
      </c>
      <c r="V70" s="30" t="n">
        <f aca="false">MAX(0,U70-InitDed)</f>
        <v>1.85487511539684</v>
      </c>
      <c r="W70" s="16" t="n">
        <f aca="false">SUMPRODUCT((V70&gt;CLo)*(V70-CLo)*CD)*(1+LocalTax)</f>
        <v>0.555997798235881</v>
      </c>
      <c r="X70" s="30" t="n">
        <f aca="false">H70+P70+W70</f>
        <v>2.07306394255716</v>
      </c>
      <c r="Y70" s="16" t="n">
        <f aca="false">(L70-G70)-H70-I70-M70-N70-P70-W70</f>
        <v>3.26314684789367</v>
      </c>
      <c r="Z70" s="8" t="n">
        <f aca="false">Y70/K70</f>
        <v>0.116790703258975</v>
      </c>
      <c r="AA70" s="8" t="n">
        <f aca="false">IF(1+Z70&gt;0,(1+Z70)^(1/E70)-1,-1)</f>
        <v>0.0223376570407248</v>
      </c>
      <c r="AB70" s="30" t="n">
        <f aca="false">L70-O70-M70-W70</f>
        <v>32.3444863467735</v>
      </c>
      <c r="AC70" s="29" t="n">
        <f aca="false">AB70/K70</f>
        <v>1.15763570659664</v>
      </c>
      <c r="AD70" s="30" t="n">
        <f aca="false">K70*((1+DepRate*(1-DepTax))^E70-1)</f>
        <v>3.73020263130271</v>
      </c>
      <c r="AE70" s="30" t="n">
        <f aca="false">Y70-AD70</f>
        <v>-0.46705578340904</v>
      </c>
    </row>
    <row r="71" customFormat="false" ht="15" hidden="false" customHeight="false" outlineLevel="0" collapsed="false">
      <c r="A71" s="21" t="n">
        <v>6</v>
      </c>
      <c r="B71" s="14" t="str">
        <f aca="false">INDEX(C_Name,A71)</f>
        <v>흑석 아크로리버하임 84.75㎡</v>
      </c>
      <c r="C71" s="21" t="n">
        <v>2</v>
      </c>
      <c r="D71" s="8" t="n">
        <f aca="false">CHOOSE(C71,G1,G2,G3)</f>
        <v>0.04</v>
      </c>
      <c r="E71" s="21" t="n">
        <v>7</v>
      </c>
      <c r="F71" s="21" t="n">
        <f aca="false">MAX(0,E71-NonRes)</f>
        <v>7</v>
      </c>
      <c r="G71" s="14" t="n">
        <f aca="false">INDEX(C_Price,A71)</f>
        <v>28.75</v>
      </c>
      <c r="H71" s="14" t="n">
        <f aca="false">INDEX(C_Acq,A71)</f>
        <v>0.94875</v>
      </c>
      <c r="I71" s="14" t="n">
        <f aca="false">INDEX(C_Fee,A71)</f>
        <v>0.241375</v>
      </c>
      <c r="J71" s="14" t="n">
        <f aca="false">INDEX(C_Loan,A71)</f>
        <v>2</v>
      </c>
      <c r="K71" s="30" t="n">
        <f aca="false">G71-J71+H71+I71</f>
        <v>27.940125</v>
      </c>
      <c r="L71" s="30" t="n">
        <f aca="false">G71*(1+D71)^E71</f>
        <v>37.8330386530304</v>
      </c>
      <c r="M71" s="30" t="n">
        <f aca="false">L71*LOOKUP(L71,FeeLo,FeeR)*(1+VAT)</f>
        <v>0.291314397628334</v>
      </c>
      <c r="N71" s="30" t="n">
        <f aca="false">-CUMIPMT(Rm,LoanYears*12,J71,1,E71*12,0)</f>
        <v>0.523247114441265</v>
      </c>
      <c r="O71" s="30" t="n">
        <f aca="false">J71*(1+Rm)^(E71*12)-(J71*Rm/(1-(1+Rm)^(-LoanYears*12)))*((1+Rm)^(E71*12)-1)/Rm</f>
        <v>1.7211894180593</v>
      </c>
      <c r="P71" s="16" t="n">
        <f aca="false">SUMIFS(Sch_Total,Sch_Idx,A71,Sch_Scen,C71,Sch_Year,"&lt;="&amp;E71)</f>
        <v>0.860454552671337</v>
      </c>
      <c r="Q71" s="30" t="n">
        <f aca="false">H71+I71+M71</f>
        <v>1.48143939762833</v>
      </c>
      <c r="R71" s="30" t="n">
        <f aca="false">L71-G71-Q71</f>
        <v>7.60159925540207</v>
      </c>
      <c r="S71" s="30" t="n">
        <f aca="false">MAX(0,IF(F71&gt;=2,IF(L71&gt;Exempt,R71*(L71-Exempt)/L71,0),R71))</f>
        <v>5.19050053553971</v>
      </c>
      <c r="T71" s="8" t="n">
        <f aca="false">IF(F71&gt;=2,MIN(MaxDed,MIN(0.4,HoldRate*E71)+MIN(0.4,LiveRate*F71)),IF(E71&gt;=3,MIN(0.3,0.02*E71),0))</f>
        <v>0.56</v>
      </c>
      <c r="U71" s="30" t="n">
        <f aca="false">S71*(1-T71)</f>
        <v>2.28382023563747</v>
      </c>
      <c r="V71" s="30" t="n">
        <f aca="false">MAX(0,U71-InitDed)</f>
        <v>2.25882023563747</v>
      </c>
      <c r="W71" s="16" t="n">
        <f aca="false">SUMPRODUCT((V71&gt;CLo)*(V71-CLo)*CD)*(1+LocalTax)</f>
        <v>0.724846858496464</v>
      </c>
      <c r="X71" s="30" t="n">
        <f aca="false">H71+P71+W71</f>
        <v>2.5340514111678</v>
      </c>
      <c r="Y71" s="16" t="n">
        <f aca="false">(L71-G71)-H71-I71-M71-N71-P71-W71</f>
        <v>5.49305072979301</v>
      </c>
      <c r="Z71" s="8" t="n">
        <f aca="false">Y71/K71</f>
        <v>0.196600792938221</v>
      </c>
      <c r="AA71" s="8" t="n">
        <f aca="false">IF(1+Z71&gt;0,(1+Z71)^(1/E71)-1,-1)</f>
        <v>0.0259722452275717</v>
      </c>
      <c r="AB71" s="30" t="n">
        <f aca="false">L71-O71-M71-W71</f>
        <v>35.0956879788463</v>
      </c>
      <c r="AC71" s="29" t="n">
        <f aca="false">AB71/K71</f>
        <v>1.2561034705051</v>
      </c>
      <c r="AD71" s="30" t="n">
        <f aca="false">K71*((1+DepRate*(1-DepTax))^E71-1)</f>
        <v>5.3581887260575</v>
      </c>
      <c r="AE71" s="30" t="n">
        <f aca="false">Y71-AD71</f>
        <v>0.134862003735505</v>
      </c>
    </row>
    <row r="72" customFormat="false" ht="15" hidden="false" customHeight="false" outlineLevel="0" collapsed="false">
      <c r="A72" s="21" t="n">
        <v>6</v>
      </c>
      <c r="B72" s="14" t="str">
        <f aca="false">INDEX(C_Name,A72)</f>
        <v>흑석 아크로리버하임 84.75㎡</v>
      </c>
      <c r="C72" s="21" t="n">
        <v>2</v>
      </c>
      <c r="D72" s="8" t="n">
        <f aca="false">CHOOSE(C72,G1,G2,G3)</f>
        <v>0.04</v>
      </c>
      <c r="E72" s="21" t="n">
        <v>10</v>
      </c>
      <c r="F72" s="21" t="n">
        <f aca="false">MAX(0,E72-NonRes)</f>
        <v>10</v>
      </c>
      <c r="G72" s="14" t="n">
        <f aca="false">INDEX(C_Price,A72)</f>
        <v>28.75</v>
      </c>
      <c r="H72" s="14" t="n">
        <f aca="false">INDEX(C_Acq,A72)</f>
        <v>0.94875</v>
      </c>
      <c r="I72" s="14" t="n">
        <f aca="false">INDEX(C_Fee,A72)</f>
        <v>0.241375</v>
      </c>
      <c r="J72" s="14" t="n">
        <f aca="false">INDEX(C_Loan,A72)</f>
        <v>2</v>
      </c>
      <c r="K72" s="30" t="n">
        <f aca="false">G72-J72+H72+I72</f>
        <v>27.940125</v>
      </c>
      <c r="L72" s="30" t="n">
        <f aca="false">G72*(1+D72)^E72</f>
        <v>42.5570231914024</v>
      </c>
      <c r="M72" s="30" t="n">
        <f aca="false">L72*LOOKUP(L72,FeeLo,FeeR)*(1+VAT)</f>
        <v>0.327689078573799</v>
      </c>
      <c r="N72" s="30" t="n">
        <f aca="false">-CUMIPMT(Rm,LoanYears*12,J72,1,E72*12,0)</f>
        <v>0.721475893348725</v>
      </c>
      <c r="O72" s="30" t="n">
        <f aca="false">J72*(1+Rm)^(E72*12)-(J72*Rm/(1-(1+Rm)^(-LoanYears*12)))*((1+Rm)^(E72*12)-1)/Rm</f>
        <v>1.57567918423163</v>
      </c>
      <c r="P72" s="16" t="n">
        <f aca="false">SUMIFS(Sch_Total,Sch_Idx,A72,Sch_Scen,C72,Sch_Year,"&lt;="&amp;E72)</f>
        <v>1.38203152016447</v>
      </c>
      <c r="Q72" s="30" t="n">
        <f aca="false">H72+I72+M72</f>
        <v>1.5178140785738</v>
      </c>
      <c r="R72" s="30" t="n">
        <f aca="false">L72-G72-Q72</f>
        <v>12.2892091128286</v>
      </c>
      <c r="S72" s="30" t="n">
        <f aca="false">MAX(0,IF(F72&gt;=2,IF(L72&gt;Exempt,R72*(L72-Exempt)/L72,0),R72))</f>
        <v>8.82396417098464</v>
      </c>
      <c r="T72" s="8" t="n">
        <f aca="false">IF(F72&gt;=2,MIN(MaxDed,MIN(0.4,HoldRate*E72)+MIN(0.4,LiveRate*F72)),IF(E72&gt;=3,MIN(0.3,0.02*E72),0))</f>
        <v>0.8</v>
      </c>
      <c r="U72" s="30" t="n">
        <f aca="false">S72*(1-T72)</f>
        <v>1.76479283419693</v>
      </c>
      <c r="V72" s="30" t="n">
        <f aca="false">MAX(0,U72-InitDed)</f>
        <v>1.73979283419693</v>
      </c>
      <c r="W72" s="16" t="n">
        <f aca="false">SUMPRODUCT((V72&gt;CLo)*(V72-CLo)*CD)*(1+LocalTax)</f>
        <v>0.507893404694316</v>
      </c>
      <c r="X72" s="30" t="n">
        <f aca="false">H72+P72+W72</f>
        <v>2.83867492485878</v>
      </c>
      <c r="Y72" s="16" t="n">
        <f aca="false">(L72-G72)-H72-I72-M72-N72-P72-W72</f>
        <v>9.67780829462109</v>
      </c>
      <c r="Z72" s="8" t="n">
        <f aca="false">Y72/K72</f>
        <v>0.346376699983307</v>
      </c>
      <c r="AA72" s="8" t="n">
        <f aca="false">IF(1+Z72&gt;0,(1+Z72)^(1/E72)-1,-1)</f>
        <v>0.0301884079284342</v>
      </c>
      <c r="AB72" s="30" t="n">
        <f aca="false">L72-O72-M72-W72</f>
        <v>40.1457615239027</v>
      </c>
      <c r="AC72" s="29" t="n">
        <f aca="false">AB72/K72</f>
        <v>1.43684974651698</v>
      </c>
      <c r="AD72" s="30" t="n">
        <f aca="false">K72*((1+DepRate*(1-DepTax))^E72-1)</f>
        <v>7.95841347375615</v>
      </c>
      <c r="AE72" s="30" t="n">
        <f aca="false">Y72-AD72</f>
        <v>1.71939482086494</v>
      </c>
    </row>
    <row r="73" customFormat="false" ht="15" hidden="false" customHeight="false" outlineLevel="0" collapsed="false">
      <c r="A73" s="21" t="n">
        <v>6</v>
      </c>
      <c r="B73" s="14" t="str">
        <f aca="false">INDEX(C_Name,A73)</f>
        <v>흑석 아크로리버하임 84.75㎡</v>
      </c>
      <c r="C73" s="21" t="n">
        <v>3</v>
      </c>
      <c r="D73" s="8" t="n">
        <f aca="false">CHOOSE(C73,G1,G2,G3)</f>
        <v>0.06</v>
      </c>
      <c r="E73" s="21" t="n">
        <v>3</v>
      </c>
      <c r="F73" s="21" t="n">
        <f aca="false">MAX(0,E73-NonRes)</f>
        <v>3</v>
      </c>
      <c r="G73" s="14" t="n">
        <f aca="false">INDEX(C_Price,A73)</f>
        <v>28.75</v>
      </c>
      <c r="H73" s="14" t="n">
        <f aca="false">INDEX(C_Acq,A73)</f>
        <v>0.94875</v>
      </c>
      <c r="I73" s="14" t="n">
        <f aca="false">INDEX(C_Fee,A73)</f>
        <v>0.241375</v>
      </c>
      <c r="J73" s="14" t="n">
        <f aca="false">INDEX(C_Loan,A73)</f>
        <v>2</v>
      </c>
      <c r="K73" s="30" t="n">
        <f aca="false">G73-J73+H73+I73</f>
        <v>27.940125</v>
      </c>
      <c r="L73" s="30" t="n">
        <f aca="false">G73*(1+D73)^E73</f>
        <v>34.24171</v>
      </c>
      <c r="M73" s="30" t="n">
        <f aca="false">L73*LOOKUP(L73,FeeLo,FeeR)*(1+VAT)</f>
        <v>0.263661167</v>
      </c>
      <c r="N73" s="30" t="n">
        <f aca="false">-CUMIPMT(Rm,LoanYears*12,J73,1,E73*12,0)</f>
        <v>0.233713524306484</v>
      </c>
      <c r="O73" s="30" t="n">
        <f aca="false">J73*(1+Rm)^(E73*12)-(J73*Rm/(1-(1+Rm)^(-LoanYears*12)))*((1+Rm)^(E73*12)-1)/Rm</f>
        <v>1.88997451157136</v>
      </c>
      <c r="P73" s="16" t="n">
        <f aca="false">SUMIFS(Sch_Total,Sch_Idx,A73,Sch_Scen,C73,Sch_Year,"&lt;="&amp;E73)</f>
        <v>0.3281400018</v>
      </c>
      <c r="Q73" s="30" t="n">
        <f aca="false">H73+I73+M73</f>
        <v>1.453786167</v>
      </c>
      <c r="R73" s="30" t="n">
        <f aca="false">L73-G73-Q73</f>
        <v>4.037923833</v>
      </c>
      <c r="S73" s="30" t="n">
        <f aca="false">MAX(0,IF(F73&gt;=2,IF(L73&gt;Exempt,R73*(L73-Exempt)/L73,0),R73))</f>
        <v>2.62283428297461</v>
      </c>
      <c r="T73" s="8" t="n">
        <f aca="false">IF(F73&gt;=2,MIN(MaxDed,MIN(0.4,HoldRate*E73)+MIN(0.4,LiveRate*F73)),IF(E73&gt;=3,MIN(0.3,0.02*E73),0))</f>
        <v>0.24</v>
      </c>
      <c r="U73" s="30" t="n">
        <f aca="false">S73*(1-T73)</f>
        <v>1.9933540550607</v>
      </c>
      <c r="V73" s="30" t="n">
        <f aca="false">MAX(0,U73-InitDed)</f>
        <v>1.9683540550607</v>
      </c>
      <c r="W73" s="16" t="n">
        <f aca="false">SUMPRODUCT((V73&gt;CLo)*(V73-CLo)*CD)*(1+LocalTax)</f>
        <v>0.603431995015374</v>
      </c>
      <c r="X73" s="30" t="n">
        <f aca="false">H73+P73+W73</f>
        <v>1.88032199681537</v>
      </c>
      <c r="Y73" s="16" t="n">
        <f aca="false">(L73-G73)-H73-I73-M73-N73-P73-W73</f>
        <v>2.87263831187815</v>
      </c>
      <c r="Z73" s="8" t="n">
        <f aca="false">Y73/K73</f>
        <v>0.102814082323474</v>
      </c>
      <c r="AA73" s="8" t="n">
        <f aca="false">IF(1+Z73&gt;0,(1+Z73)^(1/E73)-1,-1)</f>
        <v>0.0331596450207496</v>
      </c>
      <c r="AB73" s="30" t="n">
        <f aca="false">L73-O73-M73-W73</f>
        <v>31.4846423264133</v>
      </c>
      <c r="AC73" s="29" t="n">
        <f aca="false">AB73/K73</f>
        <v>1.12686118356354</v>
      </c>
      <c r="AD73" s="30" t="n">
        <f aca="false">K73*((1+DepRate*(1-DepTax))^E73-1)</f>
        <v>2.18181031857902</v>
      </c>
      <c r="AE73" s="30" t="n">
        <f aca="false">Y73-AD73</f>
        <v>0.690827993299128</v>
      </c>
    </row>
    <row r="74" customFormat="false" ht="15" hidden="false" customHeight="false" outlineLevel="0" collapsed="false">
      <c r="A74" s="21" t="n">
        <v>6</v>
      </c>
      <c r="B74" s="14" t="str">
        <f aca="false">INDEX(C_Name,A74)</f>
        <v>흑석 아크로리버하임 84.75㎡</v>
      </c>
      <c r="C74" s="21" t="n">
        <v>3</v>
      </c>
      <c r="D74" s="8" t="n">
        <f aca="false">CHOOSE(C74,G1,G2,G3)</f>
        <v>0.06</v>
      </c>
      <c r="E74" s="21" t="n">
        <v>5</v>
      </c>
      <c r="F74" s="21" t="n">
        <f aca="false">MAX(0,E74-NonRes)</f>
        <v>5</v>
      </c>
      <c r="G74" s="14" t="n">
        <f aca="false">INDEX(C_Price,A74)</f>
        <v>28.75</v>
      </c>
      <c r="H74" s="14" t="n">
        <f aca="false">INDEX(C_Acq,A74)</f>
        <v>0.94875</v>
      </c>
      <c r="I74" s="14" t="n">
        <f aca="false">INDEX(C_Fee,A74)</f>
        <v>0.241375</v>
      </c>
      <c r="J74" s="14" t="n">
        <f aca="false">INDEX(C_Loan,A74)</f>
        <v>2</v>
      </c>
      <c r="K74" s="30" t="n">
        <f aca="false">G74-J74+H74+I74</f>
        <v>27.940125</v>
      </c>
      <c r="L74" s="30" t="n">
        <f aca="false">G74*(1+D74)^E74</f>
        <v>38.473985356</v>
      </c>
      <c r="M74" s="30" t="n">
        <f aca="false">L74*LOOKUP(L74,FeeLo,FeeR)*(1+VAT)</f>
        <v>0.2962496872412</v>
      </c>
      <c r="N74" s="30" t="n">
        <f aca="false">-CUMIPMT(Rm,LoanYears*12,J74,1,E74*12,0)</f>
        <v>0.38184861728037</v>
      </c>
      <c r="O74" s="30" t="n">
        <f aca="false">J74*(1+Rm)^(E74*12)-(J74*Rm/(1-(1+Rm)^(-LoanYears*12)))*((1+Rm)^(E74*12)-1)/Rm</f>
        <v>1.80895026272182</v>
      </c>
      <c r="P74" s="16" t="n">
        <f aca="false">SUMIFS(Sch_Total,Sch_Idx,A74,Sch_Scen,C74,Sch_Year,"&lt;="&amp;E74)</f>
        <v>0.61410914100648</v>
      </c>
      <c r="Q74" s="30" t="n">
        <f aca="false">H74+I74+M74</f>
        <v>1.4863746872412</v>
      </c>
      <c r="R74" s="30" t="n">
        <f aca="false">L74-G74-Q74</f>
        <v>8.23761066875881</v>
      </c>
      <c r="S74" s="30" t="n">
        <f aca="false">MAX(0,IF(F74&gt;=2,IF(L74&gt;Exempt,R74*(L74-Exempt)/L74,0),R74))</f>
        <v>5.66830761604842</v>
      </c>
      <c r="T74" s="8" t="n">
        <f aca="false">IF(F74&gt;=2,MIN(MaxDed,MIN(0.4,HoldRate*E74)+MIN(0.4,LiveRate*F74)),IF(E74&gt;=3,MIN(0.3,0.02*E74),0))</f>
        <v>0.4</v>
      </c>
      <c r="U74" s="30" t="n">
        <f aca="false">S74*(1-T74)</f>
        <v>3.40098456962905</v>
      </c>
      <c r="V74" s="30" t="n">
        <f aca="false">MAX(0,U74-InitDed)</f>
        <v>3.37598456962905</v>
      </c>
      <c r="W74" s="16" t="n">
        <f aca="false">SUMPRODUCT((V74&gt;CLo)*(V74-CLo)*CD)*(1+LocalTax)</f>
        <v>1.20009321063678</v>
      </c>
      <c r="X74" s="30" t="n">
        <f aca="false">H74+P74+W74</f>
        <v>2.76295235164326</v>
      </c>
      <c r="Y74" s="16" t="n">
        <f aca="false">(L74-G74)-H74-I74-M74-N74-P74-W74</f>
        <v>6.04155969983517</v>
      </c>
      <c r="Z74" s="8" t="n">
        <f aca="false">Y74/K74</f>
        <v>0.216232379054681</v>
      </c>
      <c r="AA74" s="8" t="n">
        <f aca="false">IF(1+Z74&gt;0,(1+Z74)^(1/E74)-1,-1)</f>
        <v>0.0399280970347087</v>
      </c>
      <c r="AB74" s="30" t="n">
        <f aca="false">L74-O74-M74-W74</f>
        <v>35.1686921954002</v>
      </c>
      <c r="AC74" s="29" t="n">
        <f aca="false">AB74/K74</f>
        <v>1.25871635131912</v>
      </c>
      <c r="AD74" s="30" t="n">
        <f aca="false">K74*((1+DepRate*(1-DepTax))^E74-1)</f>
        <v>3.73020263130271</v>
      </c>
      <c r="AE74" s="30" t="n">
        <f aca="false">Y74-AD74</f>
        <v>2.31135706853246</v>
      </c>
    </row>
    <row r="75" customFormat="false" ht="15" hidden="false" customHeight="false" outlineLevel="0" collapsed="false">
      <c r="A75" s="21" t="n">
        <v>6</v>
      </c>
      <c r="B75" s="14" t="str">
        <f aca="false">INDEX(C_Name,A75)</f>
        <v>흑석 아크로리버하임 84.75㎡</v>
      </c>
      <c r="C75" s="21" t="n">
        <v>3</v>
      </c>
      <c r="D75" s="8" t="n">
        <f aca="false">CHOOSE(C75,G1,G2,G3)</f>
        <v>0.06</v>
      </c>
      <c r="E75" s="21" t="n">
        <v>7</v>
      </c>
      <c r="F75" s="21" t="n">
        <f aca="false">MAX(0,E75-NonRes)</f>
        <v>7</v>
      </c>
      <c r="G75" s="14" t="n">
        <f aca="false">INDEX(C_Price,A75)</f>
        <v>28.75</v>
      </c>
      <c r="H75" s="14" t="n">
        <f aca="false">INDEX(C_Acq,A75)</f>
        <v>0.94875</v>
      </c>
      <c r="I75" s="14" t="n">
        <f aca="false">INDEX(C_Fee,A75)</f>
        <v>0.241375</v>
      </c>
      <c r="J75" s="14" t="n">
        <f aca="false">INDEX(C_Loan,A75)</f>
        <v>2</v>
      </c>
      <c r="K75" s="30" t="n">
        <f aca="false">G75-J75+H75+I75</f>
        <v>27.940125</v>
      </c>
      <c r="L75" s="30" t="n">
        <f aca="false">G75*(1+D75)^E75</f>
        <v>43.2293699460016</v>
      </c>
      <c r="M75" s="30" t="n">
        <f aca="false">L75*LOOKUP(L75,FeeLo,FeeR)*(1+VAT)</f>
        <v>0.332866148584213</v>
      </c>
      <c r="N75" s="30" t="n">
        <f aca="false">-CUMIPMT(Rm,LoanYears*12,J75,1,E75*12,0)</f>
        <v>0.523247114441265</v>
      </c>
      <c r="O75" s="30" t="n">
        <f aca="false">J75*(1+Rm)^(E75*12)-(J75*Rm/(1-(1+Rm)^(-LoanYears*12)))*((1+Rm)^(E75*12)-1)/Rm</f>
        <v>1.7211894180593</v>
      </c>
      <c r="P75" s="16" t="n">
        <f aca="false">SUMIFS(Sch_Total,Sch_Idx,A75,Sch_Scen,C75,Sch_Year,"&lt;="&amp;E75)</f>
        <v>0.965770337818881</v>
      </c>
      <c r="Q75" s="30" t="n">
        <f aca="false">H75+I75+M75</f>
        <v>1.52299114858421</v>
      </c>
      <c r="R75" s="30" t="n">
        <f aca="false">L75-G75-Q75</f>
        <v>12.9563787974174</v>
      </c>
      <c r="S75" s="30" t="n">
        <f aca="false">MAX(0,IF(F75&gt;=2,IF(L75&gt;Exempt,R75*(L75-Exempt)/L75,0),R75))</f>
        <v>9.359829836301</v>
      </c>
      <c r="T75" s="8" t="n">
        <f aca="false">IF(F75&gt;=2,MIN(MaxDed,MIN(0.4,HoldRate*E75)+MIN(0.4,LiveRate*F75)),IF(E75&gt;=3,MIN(0.3,0.02*E75),0))</f>
        <v>0.56</v>
      </c>
      <c r="U75" s="30" t="n">
        <f aca="false">S75*(1-T75)</f>
        <v>4.11832512797244</v>
      </c>
      <c r="V75" s="30" t="n">
        <f aca="false">MAX(0,U75-InitDed)</f>
        <v>4.09332512797244</v>
      </c>
      <c r="W75" s="16" t="n">
        <f aca="false">SUMPRODUCT((V75&gt;CLo)*(V75-CLo)*CD)*(1+LocalTax)</f>
        <v>1.51572305630787</v>
      </c>
      <c r="X75" s="30" t="n">
        <f aca="false">H75+P75+W75</f>
        <v>3.43024339412676</v>
      </c>
      <c r="Y75" s="16" t="n">
        <f aca="false">(L75-G75)-H75-I75-M75-N75-P75-W75</f>
        <v>9.95163828884939</v>
      </c>
      <c r="Z75" s="8" t="n">
        <f aca="false">Y75/K75</f>
        <v>0.356177300167747</v>
      </c>
      <c r="AA75" s="8" t="n">
        <f aca="false">IF(1+Z75&gt;0,(1+Z75)^(1/E75)-1,-1)</f>
        <v>0.0444853501256275</v>
      </c>
      <c r="AB75" s="30" t="n">
        <f aca="false">L75-O75-M75-W75</f>
        <v>39.6595913230502</v>
      </c>
      <c r="AC75" s="29" t="n">
        <f aca="false">AB75/K75</f>
        <v>1.41944931610185</v>
      </c>
      <c r="AD75" s="30" t="n">
        <f aca="false">K75*((1+DepRate*(1-DepTax))^E75-1)</f>
        <v>5.3581887260575</v>
      </c>
      <c r="AE75" s="30" t="n">
        <f aca="false">Y75-AD75</f>
        <v>4.59344956279188</v>
      </c>
    </row>
    <row r="76" customFormat="false" ht="15" hidden="false" customHeight="false" outlineLevel="0" collapsed="false">
      <c r="A76" s="21" t="n">
        <v>6</v>
      </c>
      <c r="B76" s="14" t="str">
        <f aca="false">INDEX(C_Name,A76)</f>
        <v>흑석 아크로리버하임 84.75㎡</v>
      </c>
      <c r="C76" s="21" t="n">
        <v>3</v>
      </c>
      <c r="D76" s="8" t="n">
        <f aca="false">CHOOSE(C76,G1,G2,G3)</f>
        <v>0.06</v>
      </c>
      <c r="E76" s="21" t="n">
        <v>10</v>
      </c>
      <c r="F76" s="21" t="n">
        <f aca="false">MAX(0,E76-NonRes)</f>
        <v>10</v>
      </c>
      <c r="G76" s="14" t="n">
        <f aca="false">INDEX(C_Price,A76)</f>
        <v>28.75</v>
      </c>
      <c r="H76" s="14" t="n">
        <f aca="false">INDEX(C_Acq,A76)</f>
        <v>0.94875</v>
      </c>
      <c r="I76" s="14" t="n">
        <f aca="false">INDEX(C_Fee,A76)</f>
        <v>0.241375</v>
      </c>
      <c r="J76" s="14" t="n">
        <f aca="false">INDEX(C_Loan,A76)</f>
        <v>2</v>
      </c>
      <c r="K76" s="30" t="n">
        <f aca="false">G76-J76+H76+I76</f>
        <v>27.940125</v>
      </c>
      <c r="L76" s="30" t="n">
        <f aca="false">G76*(1+D76)^E76</f>
        <v>51.4868712756071</v>
      </c>
      <c r="M76" s="30" t="n">
        <f aca="false">L76*LOOKUP(L76,FeeLo,FeeR)*(1+VAT)</f>
        <v>0.396448908822175</v>
      </c>
      <c r="N76" s="30" t="n">
        <f aca="false">-CUMIPMT(Rm,LoanYears*12,J76,1,E76*12,0)</f>
        <v>0.721475893348725</v>
      </c>
      <c r="O76" s="30" t="n">
        <f aca="false">J76*(1+Rm)^(E76*12)-(J76*Rm/(1-(1+Rm)^(-LoanYears*12)))*((1+Rm)^(E76*12)-1)/Rm</f>
        <v>1.57567918423163</v>
      </c>
      <c r="P76" s="16" t="n">
        <f aca="false">SUMIFS(Sch_Total,Sch_Idx,A76,Sch_Scen,C76,Sch_Year,"&lt;="&amp;E76)</f>
        <v>1.63773983870504</v>
      </c>
      <c r="Q76" s="30" t="n">
        <f aca="false">H76+I76+M76</f>
        <v>1.58657390882217</v>
      </c>
      <c r="R76" s="30" t="n">
        <f aca="false">L76-G76-Q76</f>
        <v>21.1502973667849</v>
      </c>
      <c r="S76" s="30" t="n">
        <f aca="false">MAX(0,IF(F76&gt;=2,IF(L76&gt;Exempt,R76*(L76-Exempt)/L76,0),R76))</f>
        <v>16.2208160812972</v>
      </c>
      <c r="T76" s="8" t="n">
        <f aca="false">IF(F76&gt;=2,MIN(MaxDed,MIN(0.4,HoldRate*E76)+MIN(0.4,LiveRate*F76)),IF(E76&gt;=3,MIN(0.3,0.02*E76),0))</f>
        <v>0.8</v>
      </c>
      <c r="U76" s="30" t="n">
        <f aca="false">S76*(1-T76)</f>
        <v>3.24416321625944</v>
      </c>
      <c r="V76" s="30" t="n">
        <f aca="false">MAX(0,U76-InitDed)</f>
        <v>3.21916321625944</v>
      </c>
      <c r="W76" s="16" t="n">
        <f aca="false">SUMPRODUCT((V76&gt;CLo)*(V76-CLo)*CD)*(1+LocalTax)</f>
        <v>1.13109181515415</v>
      </c>
      <c r="X76" s="30" t="n">
        <f aca="false">H76+P76+W76</f>
        <v>3.71758165385919</v>
      </c>
      <c r="Y76" s="16" t="n">
        <f aca="false">(L76-G76)-H76-I76-M76-N76-P76-W76</f>
        <v>17.659989819577</v>
      </c>
      <c r="Z76" s="8" t="n">
        <f aca="false">Y76/K76</f>
        <v>0.632065526534938</v>
      </c>
      <c r="AA76" s="8" t="n">
        <f aca="false">IF(1+Z76&gt;0,(1+Z76)^(1/E76)-1,-1)</f>
        <v>0.0502042201933586</v>
      </c>
      <c r="AB76" s="30" t="n">
        <f aca="false">L76-O76-M76-W76</f>
        <v>48.3836513673991</v>
      </c>
      <c r="AC76" s="29" t="n">
        <f aca="false">AB76/K76</f>
        <v>1.73169058361046</v>
      </c>
      <c r="AD76" s="30" t="n">
        <f aca="false">K76*((1+DepRate*(1-DepTax))^E76-1)</f>
        <v>7.95841347375615</v>
      </c>
      <c r="AE76" s="30" t="n">
        <f aca="false">Y76-AD76</f>
        <v>9.70157634582083</v>
      </c>
    </row>
    <row r="77" customFormat="false" ht="15" hidden="false" customHeight="false" outlineLevel="0" collapsed="false">
      <c r="A77" s="21" t="n">
        <v>7</v>
      </c>
      <c r="B77" s="14" t="str">
        <f aca="false">INDEX(C_Name,A77)</f>
        <v>예시 행: 직접 입력</v>
      </c>
      <c r="C77" s="21" t="n">
        <v>1</v>
      </c>
      <c r="D77" s="8" t="n">
        <f aca="false">CHOOSE(C77,G1,G2,G3)</f>
        <v>0.02</v>
      </c>
      <c r="E77" s="21" t="n">
        <v>3</v>
      </c>
      <c r="F77" s="21" t="n">
        <f aca="false">MAX(0,E77-NonRes)</f>
        <v>3</v>
      </c>
      <c r="G77" s="14" t="n">
        <f aca="false">INDEX(C_Price,A77)</f>
        <v>14</v>
      </c>
      <c r="H77" s="14" t="n">
        <f aca="false">INDEX(C_Acq,A77)</f>
        <v>0.462</v>
      </c>
      <c r="I77" s="14" t="n">
        <f aca="false">INDEX(C_Fee,A77)</f>
        <v>0.1124</v>
      </c>
      <c r="J77" s="14" t="n">
        <f aca="false">INDEX(C_Loan,A77)</f>
        <v>5.6</v>
      </c>
      <c r="K77" s="30" t="n">
        <f aca="false">G77-J77+H77+I77</f>
        <v>8.9744</v>
      </c>
      <c r="L77" s="30" t="n">
        <f aca="false">G77*(1+D77)^E77</f>
        <v>14.856912</v>
      </c>
      <c r="M77" s="30" t="n">
        <f aca="false">L77*LOOKUP(L77,FeeLo,FeeR)*(1+VAT)</f>
        <v>0.0980556192</v>
      </c>
      <c r="N77" s="30" t="n">
        <f aca="false">-CUMIPMT(Rm,LoanYears*12,J77,1,E77*12,0)</f>
        <v>0.654397868058156</v>
      </c>
      <c r="O77" s="30" t="n">
        <f aca="false">J77*(1+Rm)^(E77*12)-(J77*Rm/(1-(1+Rm)^(-LoanYears*12)))*((1+Rm)^(E77*12)-1)/Rm</f>
        <v>5.2919286323998</v>
      </c>
      <c r="P77" s="16" t="n">
        <f aca="false">SUMIFS(Sch_Total,Sch_Idx,A77,Sch_Scen,C77,Sch_Year,"&lt;="&amp;E77)</f>
        <v>0.08729608608</v>
      </c>
      <c r="Q77" s="30" t="n">
        <f aca="false">H77+I77+M77</f>
        <v>0.6724556192</v>
      </c>
      <c r="R77" s="30" t="n">
        <f aca="false">L77-G77-Q77</f>
        <v>0.184456380800001</v>
      </c>
      <c r="S77" s="30" t="n">
        <f aca="false">MAX(0,IF(F77&gt;=2,IF(L77&gt;Exempt,R77*(L77-Exempt)/L77,0),R77))</f>
        <v>0.0354700659049534</v>
      </c>
      <c r="T77" s="8" t="n">
        <f aca="false">IF(F77&gt;=2,MIN(MaxDed,MIN(0.4,HoldRate*E77)+MIN(0.4,LiveRate*F77)),IF(E77&gt;=3,MIN(0.3,0.02*E77),0))</f>
        <v>0.24</v>
      </c>
      <c r="U77" s="30" t="n">
        <f aca="false">S77*(1-T77)</f>
        <v>0.0269572500877646</v>
      </c>
      <c r="V77" s="30" t="n">
        <f aca="false">MAX(0,U77-InitDed)</f>
        <v>0.00195725008776459</v>
      </c>
      <c r="W77" s="16" t="n">
        <f aca="false">SUMPRODUCT((V77&gt;CLo)*(V77-CLo)*CD)*(1+LocalTax)</f>
        <v>0.000129178505792463</v>
      </c>
      <c r="X77" s="30" t="n">
        <f aca="false">H77+P77+W77</f>
        <v>0.549425264585792</v>
      </c>
      <c r="Y77" s="16" t="n">
        <f aca="false">(L77-G77)-H77-I77-M77-N77-P77-W77</f>
        <v>-0.557366751843947</v>
      </c>
      <c r="Z77" s="8" t="n">
        <f aca="false">Y77/K77</f>
        <v>-0.0621062970052535</v>
      </c>
      <c r="AA77" s="8" t="n">
        <f aca="false">IF(1+Z77&gt;0,(1+Z77)^(1/E77)-1,-1)</f>
        <v>-0.0211461048714169</v>
      </c>
      <c r="AB77" s="30" t="n">
        <f aca="false">L77-O77-M77-W77</f>
        <v>9.46679856989441</v>
      </c>
      <c r="AC77" s="29" t="n">
        <f aca="false">AB77/K77</f>
        <v>1.05486701839615</v>
      </c>
      <c r="AD77" s="30" t="n">
        <f aca="false">K77*((1+DepRate*(1-DepTax))^E77-1)</f>
        <v>0.700799961455274</v>
      </c>
      <c r="AE77" s="30" t="n">
        <f aca="false">Y77-AD77</f>
        <v>-1.25816671329922</v>
      </c>
    </row>
    <row r="78" customFormat="false" ht="15" hidden="false" customHeight="false" outlineLevel="0" collapsed="false">
      <c r="A78" s="21" t="n">
        <v>7</v>
      </c>
      <c r="B78" s="14" t="str">
        <f aca="false">INDEX(C_Name,A78)</f>
        <v>예시 행: 직접 입력</v>
      </c>
      <c r="C78" s="21" t="n">
        <v>1</v>
      </c>
      <c r="D78" s="8" t="n">
        <f aca="false">CHOOSE(C78,G1,G2,G3)</f>
        <v>0.02</v>
      </c>
      <c r="E78" s="21" t="n">
        <v>5</v>
      </c>
      <c r="F78" s="21" t="n">
        <f aca="false">MAX(0,E78-NonRes)</f>
        <v>5</v>
      </c>
      <c r="G78" s="14" t="n">
        <f aca="false">INDEX(C_Price,A78)</f>
        <v>14</v>
      </c>
      <c r="H78" s="14" t="n">
        <f aca="false">INDEX(C_Acq,A78)</f>
        <v>0.462</v>
      </c>
      <c r="I78" s="14" t="n">
        <f aca="false">INDEX(C_Fee,A78)</f>
        <v>0.1124</v>
      </c>
      <c r="J78" s="14" t="n">
        <f aca="false">INDEX(C_Loan,A78)</f>
        <v>5.6</v>
      </c>
      <c r="K78" s="30" t="n">
        <f aca="false">G78-J78+H78+I78</f>
        <v>8.9744</v>
      </c>
      <c r="L78" s="30" t="n">
        <f aca="false">G78*(1+D78)^E78</f>
        <v>15.4571312448</v>
      </c>
      <c r="M78" s="30" t="n">
        <f aca="false">L78*LOOKUP(L78,FeeLo,FeeR)*(1+VAT)</f>
        <v>0.11901991058496</v>
      </c>
      <c r="N78" s="30" t="n">
        <f aca="false">-CUMIPMT(Rm,LoanYears*12,J78,1,E78*12,0)</f>
        <v>1.06917612838504</v>
      </c>
      <c r="O78" s="30" t="n">
        <f aca="false">J78*(1+Rm)^(E78*12)-(J78*Rm/(1-(1+Rm)^(-LoanYears*12)))*((1+Rm)^(E78*12)-1)/Rm</f>
        <v>5.0650607356211</v>
      </c>
      <c r="P78" s="16" t="n">
        <f aca="false">SUMIFS(Sch_Total,Sch_Idx,A78,Sch_Scen,C78,Sch_Year,"&lt;="&amp;E78)</f>
        <v>0.149208223957632</v>
      </c>
      <c r="Q78" s="30" t="n">
        <f aca="false">H78+I78+M78</f>
        <v>0.69341991058496</v>
      </c>
      <c r="R78" s="30" t="n">
        <f aca="false">L78-G78-Q78</f>
        <v>0.763711334215039</v>
      </c>
      <c r="S78" s="30" t="n">
        <f aca="false">MAX(0,IF(F78&gt;=2,IF(L78&gt;Exempt,R78*(L78-Exempt)/L78,0),R78))</f>
        <v>0.170811146888005</v>
      </c>
      <c r="T78" s="8" t="n">
        <f aca="false">IF(F78&gt;=2,MIN(MaxDed,MIN(0.4,HoldRate*E78)+MIN(0.4,LiveRate*F78)),IF(E78&gt;=3,MIN(0.3,0.02*E78),0))</f>
        <v>0.4</v>
      </c>
      <c r="U78" s="30" t="n">
        <f aca="false">S78*(1-T78)</f>
        <v>0.102486688132803</v>
      </c>
      <c r="V78" s="30" t="n">
        <f aca="false">MAX(0,U78-InitDed)</f>
        <v>0.0774866881328031</v>
      </c>
      <c r="W78" s="16" t="n">
        <f aca="false">SUMPRODUCT((V78&gt;CLo)*(V78-CLo)*CD)*(1+LocalTax)</f>
        <v>0.00511412141676501</v>
      </c>
      <c r="X78" s="30" t="n">
        <f aca="false">H78+P78+W78</f>
        <v>0.616322345374397</v>
      </c>
      <c r="Y78" s="16" t="n">
        <f aca="false">(L78-G78)-H78-I78-M78-N78-P78-W78</f>
        <v>-0.459787139544394</v>
      </c>
      <c r="Z78" s="8" t="n">
        <f aca="false">Y78/K78</f>
        <v>-0.0512331899117929</v>
      </c>
      <c r="AA78" s="8" t="n">
        <f aca="false">IF(1+Z78&gt;0,(1+Z78)^(1/E78)-1,-1)</f>
        <v>-0.0104633210464981</v>
      </c>
      <c r="AB78" s="30" t="n">
        <f aca="false">L78-O78-M78-W78</f>
        <v>10.2679364771772</v>
      </c>
      <c r="AC78" s="29" t="n">
        <f aca="false">AB78/K78</f>
        <v>1.14413626283397</v>
      </c>
      <c r="AD78" s="30" t="n">
        <f aca="false">K78*((1+DepRate*(1-DepTax))^E78-1)</f>
        <v>1.19814533737279</v>
      </c>
      <c r="AE78" s="30" t="n">
        <f aca="false">Y78-AD78</f>
        <v>-1.65793247691719</v>
      </c>
    </row>
    <row r="79" customFormat="false" ht="15" hidden="false" customHeight="false" outlineLevel="0" collapsed="false">
      <c r="A79" s="21" t="n">
        <v>7</v>
      </c>
      <c r="B79" s="14" t="str">
        <f aca="false">INDEX(C_Name,A79)</f>
        <v>예시 행: 직접 입력</v>
      </c>
      <c r="C79" s="21" t="n">
        <v>1</v>
      </c>
      <c r="D79" s="8" t="n">
        <f aca="false">CHOOSE(C79,G1,G2,G3)</f>
        <v>0.02</v>
      </c>
      <c r="E79" s="21" t="n">
        <v>7</v>
      </c>
      <c r="F79" s="21" t="n">
        <f aca="false">MAX(0,E79-NonRes)</f>
        <v>7</v>
      </c>
      <c r="G79" s="14" t="n">
        <f aca="false">INDEX(C_Price,A79)</f>
        <v>14</v>
      </c>
      <c r="H79" s="14" t="n">
        <f aca="false">INDEX(C_Acq,A79)</f>
        <v>0.462</v>
      </c>
      <c r="I79" s="14" t="n">
        <f aca="false">INDEX(C_Fee,A79)</f>
        <v>0.1124</v>
      </c>
      <c r="J79" s="14" t="n">
        <f aca="false">INDEX(C_Loan,A79)</f>
        <v>5.6</v>
      </c>
      <c r="K79" s="30" t="n">
        <f aca="false">G79-J79+H79+I79</f>
        <v>8.9744</v>
      </c>
      <c r="L79" s="30" t="n">
        <f aca="false">G79*(1+D79)^E79</f>
        <v>16.0815993470899</v>
      </c>
      <c r="M79" s="30" t="n">
        <f aca="false">L79*LOOKUP(L79,FeeLo,FeeR)*(1+VAT)</f>
        <v>0.123828314972592</v>
      </c>
      <c r="N79" s="30" t="n">
        <f aca="false">-CUMIPMT(Rm,LoanYears*12,J79,1,E79*12,0)</f>
        <v>1.46509192043554</v>
      </c>
      <c r="O79" s="30" t="n">
        <f aca="false">J79*(1+Rm)^(E79*12)-(J79*Rm/(1-(1+Rm)^(-LoanYears*12)))*((1+Rm)^(E79*12)-1)/Rm</f>
        <v>4.81933037056604</v>
      </c>
      <c r="P79" s="16" t="n">
        <f aca="false">SUMIFS(Sch_Total,Sch_Idx,A79,Sch_Scen,C79,Sch_Year,"&lt;="&amp;E79)</f>
        <v>0.21423246020552</v>
      </c>
      <c r="Q79" s="30" t="n">
        <f aca="false">H79+I79+M79</f>
        <v>0.698228314972592</v>
      </c>
      <c r="R79" s="30" t="n">
        <f aca="false">L79-G79-Q79</f>
        <v>1.38337103211733</v>
      </c>
      <c r="S79" s="30" t="n">
        <f aca="false">MAX(0,IF(F79&gt;=2,IF(L79&gt;Exempt,R79*(L79-Exempt)/L79,0),R79))</f>
        <v>0.351107261137863</v>
      </c>
      <c r="T79" s="8" t="n">
        <f aca="false">IF(F79&gt;=2,MIN(MaxDed,MIN(0.4,HoldRate*E79)+MIN(0.4,LiveRate*F79)),IF(E79&gt;=3,MIN(0.3,0.02*E79),0))</f>
        <v>0.56</v>
      </c>
      <c r="U79" s="30" t="n">
        <f aca="false">S79*(1-T79)</f>
        <v>0.15448719490066</v>
      </c>
      <c r="V79" s="30" t="n">
        <f aca="false">MAX(0,U79-InitDed)</f>
        <v>0.12948719490066</v>
      </c>
      <c r="W79" s="16" t="n">
        <f aca="false">SUMPRODUCT((V79&gt;CLo)*(V79-CLo)*CD)*(1+LocalTax)</f>
        <v>0.00854615486344355</v>
      </c>
      <c r="X79" s="30" t="n">
        <f aca="false">H79+P79+W79</f>
        <v>0.684778615068964</v>
      </c>
      <c r="Y79" s="16" t="n">
        <f aca="false">(L79-G79)-H79-I79-M79-N79-P79-W79</f>
        <v>-0.304499503387179</v>
      </c>
      <c r="Z79" s="8" t="n">
        <f aca="false">Y79/K79</f>
        <v>-0.0339297895555334</v>
      </c>
      <c r="AA79" s="8" t="n">
        <f aca="false">IF(1+Z79&gt;0,(1+Z79)^(1/E79)-1,-1)</f>
        <v>-0.00491911359262354</v>
      </c>
      <c r="AB79" s="30" t="n">
        <f aca="false">L79-O79-M79-W79</f>
        <v>11.1298945066879</v>
      </c>
      <c r="AC79" s="29" t="n">
        <f aca="false">AB79/K79</f>
        <v>1.24018257562487</v>
      </c>
      <c r="AD79" s="30" t="n">
        <f aca="false">K79*((1+DepRate*(1-DepTax))^E79-1)</f>
        <v>1.72105632681065</v>
      </c>
      <c r="AE79" s="30" t="n">
        <f aca="false">Y79-AD79</f>
        <v>-2.02555583019783</v>
      </c>
    </row>
    <row r="80" customFormat="false" ht="15" hidden="false" customHeight="false" outlineLevel="0" collapsed="false">
      <c r="A80" s="21" t="n">
        <v>7</v>
      </c>
      <c r="B80" s="14" t="str">
        <f aca="false">INDEX(C_Name,A80)</f>
        <v>예시 행: 직접 입력</v>
      </c>
      <c r="C80" s="21" t="n">
        <v>1</v>
      </c>
      <c r="D80" s="8" t="n">
        <f aca="false">CHOOSE(C80,G1,G2,G3)</f>
        <v>0.02</v>
      </c>
      <c r="E80" s="21" t="n">
        <v>10</v>
      </c>
      <c r="F80" s="21" t="n">
        <f aca="false">MAX(0,E80-NonRes)</f>
        <v>10</v>
      </c>
      <c r="G80" s="14" t="n">
        <f aca="false">INDEX(C_Price,A80)</f>
        <v>14</v>
      </c>
      <c r="H80" s="14" t="n">
        <f aca="false">INDEX(C_Acq,A80)</f>
        <v>0.462</v>
      </c>
      <c r="I80" s="14" t="n">
        <f aca="false">INDEX(C_Fee,A80)</f>
        <v>0.1124</v>
      </c>
      <c r="J80" s="14" t="n">
        <f aca="false">INDEX(C_Loan,A80)</f>
        <v>5.6</v>
      </c>
      <c r="K80" s="30" t="n">
        <f aca="false">G80-J80+H80+I80</f>
        <v>8.9744</v>
      </c>
      <c r="L80" s="30" t="n">
        <f aca="false">G80*(1+D80)^E80</f>
        <v>17.0659218799266</v>
      </c>
      <c r="M80" s="30" t="n">
        <f aca="false">L80*LOOKUP(L80,FeeLo,FeeR)*(1+VAT)</f>
        <v>0.131407598475435</v>
      </c>
      <c r="N80" s="30" t="n">
        <f aca="false">-CUMIPMT(Rm,LoanYears*12,J80,1,E80*12,0)</f>
        <v>2.02013250137643</v>
      </c>
      <c r="O80" s="30" t="n">
        <f aca="false">J80*(1+Rm)^(E80*12)-(J80*Rm/(1-(1+Rm)^(-LoanYears*12)))*((1+Rm)^(E80*12)-1)/Rm</f>
        <v>4.41190171584856</v>
      </c>
      <c r="P80" s="16" t="n">
        <f aca="false">SUMIFS(Sch_Total,Sch_Idx,A80,Sch_Scen,C80,Sch_Year,"&lt;="&amp;E80)</f>
        <v>0.31788041406978</v>
      </c>
      <c r="Q80" s="30" t="n">
        <f aca="false">H80+I80+M80</f>
        <v>0.705807598475435</v>
      </c>
      <c r="R80" s="30" t="n">
        <f aca="false">L80-G80-Q80</f>
        <v>2.36011428145117</v>
      </c>
      <c r="S80" s="30" t="n">
        <f aca="false">MAX(0,IF(F80&gt;=2,IF(L80&gt;Exempt,R80*(L80-Exempt)/L80,0),R80))</f>
        <v>0.700586505765849</v>
      </c>
      <c r="T80" s="8" t="n">
        <f aca="false">IF(F80&gt;=2,MIN(MaxDed,MIN(0.4,HoldRate*E80)+MIN(0.4,LiveRate*F80)),IF(E80&gt;=3,MIN(0.3,0.02*E80),0))</f>
        <v>0.8</v>
      </c>
      <c r="U80" s="30" t="n">
        <f aca="false">S80*(1-T80)</f>
        <v>0.14011730115317</v>
      </c>
      <c r="V80" s="30" t="n">
        <f aca="false">MAX(0,U80-InitDed)</f>
        <v>0.11511730115317</v>
      </c>
      <c r="W80" s="16" t="n">
        <f aca="false">SUMPRODUCT((V80&gt;CLo)*(V80-CLo)*CD)*(1+LocalTax)</f>
        <v>0.0075977418761092</v>
      </c>
      <c r="X80" s="30" t="n">
        <f aca="false">H80+P80+W80</f>
        <v>0.787478155945889</v>
      </c>
      <c r="Y80" s="16" t="n">
        <f aca="false">(L80-G80)-H80-I80-M80-N80-P80-W80</f>
        <v>0.0145036241288477</v>
      </c>
      <c r="Z80" s="8" t="n">
        <f aca="false">Y80/K80</f>
        <v>0.00161611072927969</v>
      </c>
      <c r="AA80" s="8" t="n">
        <f aca="false">IF(1+Z80&gt;0,(1+Z80)^(1/E80)-1,-1)</f>
        <v>0.00016149366146001</v>
      </c>
      <c r="AB80" s="30" t="n">
        <f aca="false">L80-O80-M80-W80</f>
        <v>12.5150148237265</v>
      </c>
      <c r="AC80" s="29" t="n">
        <f aca="false">AB80/K80</f>
        <v>1.39452384824908</v>
      </c>
      <c r="AD80" s="30" t="n">
        <f aca="false">K80*((1+DepRate*(1-DepTax))^E80-1)</f>
        <v>2.5562514798655</v>
      </c>
      <c r="AE80" s="30" t="n">
        <f aca="false">Y80-AD80</f>
        <v>-2.54174785573666</v>
      </c>
    </row>
    <row r="81" customFormat="false" ht="15" hidden="false" customHeight="false" outlineLevel="0" collapsed="false">
      <c r="A81" s="21" t="n">
        <v>7</v>
      </c>
      <c r="B81" s="14" t="str">
        <f aca="false">INDEX(C_Name,A81)</f>
        <v>예시 행: 직접 입력</v>
      </c>
      <c r="C81" s="21" t="n">
        <v>2</v>
      </c>
      <c r="D81" s="8" t="n">
        <f aca="false">CHOOSE(C81,G1,G2,G3)</f>
        <v>0.04</v>
      </c>
      <c r="E81" s="21" t="n">
        <v>3</v>
      </c>
      <c r="F81" s="21" t="n">
        <f aca="false">MAX(0,E81-NonRes)</f>
        <v>3</v>
      </c>
      <c r="G81" s="14" t="n">
        <f aca="false">INDEX(C_Price,A81)</f>
        <v>14</v>
      </c>
      <c r="H81" s="14" t="n">
        <f aca="false">INDEX(C_Acq,A81)</f>
        <v>0.462</v>
      </c>
      <c r="I81" s="14" t="n">
        <f aca="false">INDEX(C_Fee,A81)</f>
        <v>0.1124</v>
      </c>
      <c r="J81" s="14" t="n">
        <f aca="false">INDEX(C_Loan,A81)</f>
        <v>5.6</v>
      </c>
      <c r="K81" s="30" t="n">
        <f aca="false">G81-J81+H81+I81</f>
        <v>8.9744</v>
      </c>
      <c r="L81" s="30" t="n">
        <f aca="false">G81*(1+D81)^E81</f>
        <v>15.748096</v>
      </c>
      <c r="M81" s="30" t="n">
        <f aca="false">L81*LOOKUP(L81,FeeLo,FeeR)*(1+VAT)</f>
        <v>0.1212603392</v>
      </c>
      <c r="N81" s="30" t="n">
        <f aca="false">-CUMIPMT(Rm,LoanYears*12,J81,1,E81*12,0)</f>
        <v>0.654397868058156</v>
      </c>
      <c r="O81" s="30" t="n">
        <f aca="false">J81*(1+Rm)^(E81*12)-(J81*Rm/(1-(1+Rm)^(-LoanYears*12)))*((1+Rm)^(E81*12)-1)/Rm</f>
        <v>5.2919286323998</v>
      </c>
      <c r="P81" s="16" t="n">
        <f aca="false">SUMIFS(Sch_Total,Sch_Idx,A81,Sch_Scen,C81,Sch_Year,"&lt;="&amp;E81)</f>
        <v>0.08949532032</v>
      </c>
      <c r="Q81" s="30" t="n">
        <f aca="false">H81+I81+M81</f>
        <v>0.6956603392</v>
      </c>
      <c r="R81" s="30" t="n">
        <f aca="false">L81-G81-Q81</f>
        <v>1.0524356608</v>
      </c>
      <c r="S81" s="30" t="n">
        <f aca="false">MAX(0,IF(F81&gt;=2,IF(L81&gt;Exempt,R81*(L81-Exempt)/L81,0),R81))</f>
        <v>0.250482972068613</v>
      </c>
      <c r="T81" s="8" t="n">
        <f aca="false">IF(F81&gt;=2,MIN(MaxDed,MIN(0.4,HoldRate*E81)+MIN(0.4,LiveRate*F81)),IF(E81&gt;=3,MIN(0.3,0.02*E81),0))</f>
        <v>0.24</v>
      </c>
      <c r="U81" s="30" t="n">
        <f aca="false">S81*(1-T81)</f>
        <v>0.190367058772146</v>
      </c>
      <c r="V81" s="30" t="n">
        <f aca="false">MAX(0,U81-InitDed)</f>
        <v>0.165367058772146</v>
      </c>
      <c r="W81" s="16" t="n">
        <f aca="false">SUMPRODUCT((V81&gt;CLo)*(V81-CLo)*CD)*(1+LocalTax)</f>
        <v>0.0134255646974041</v>
      </c>
      <c r="X81" s="30" t="n">
        <f aca="false">H81+P81+W81</f>
        <v>0.564920885017404</v>
      </c>
      <c r="Y81" s="16" t="n">
        <f aca="false">(L81-G81)-H81-I81-M81-N81-P81-W81</f>
        <v>0.29511690772444</v>
      </c>
      <c r="Z81" s="8" t="n">
        <f aca="false">Y81/K81</f>
        <v>0.0328843051039</v>
      </c>
      <c r="AA81" s="8" t="n">
        <f aca="false">IF(1+Z81&gt;0,(1+Z81)^(1/E81)-1,-1)</f>
        <v>0.0108434300688931</v>
      </c>
      <c r="AB81" s="30" t="n">
        <f aca="false">L81-O81-M81-W81</f>
        <v>10.3214814637028</v>
      </c>
      <c r="AC81" s="29" t="n">
        <f aca="false">AB81/K81</f>
        <v>1.15010267691465</v>
      </c>
      <c r="AD81" s="30" t="n">
        <f aca="false">K81*((1+DepRate*(1-DepTax))^E81-1)</f>
        <v>0.700799961455274</v>
      </c>
      <c r="AE81" s="30" t="n">
        <f aca="false">Y81-AD81</f>
        <v>-0.405683053730834</v>
      </c>
    </row>
    <row r="82" customFormat="false" ht="15" hidden="false" customHeight="false" outlineLevel="0" collapsed="false">
      <c r="A82" s="21" t="n">
        <v>7</v>
      </c>
      <c r="B82" s="14" t="str">
        <f aca="false">INDEX(C_Name,A82)</f>
        <v>예시 행: 직접 입력</v>
      </c>
      <c r="C82" s="21" t="n">
        <v>2</v>
      </c>
      <c r="D82" s="8" t="n">
        <f aca="false">CHOOSE(C82,G1,G2,G3)</f>
        <v>0.04</v>
      </c>
      <c r="E82" s="21" t="n">
        <v>5</v>
      </c>
      <c r="F82" s="21" t="n">
        <f aca="false">MAX(0,E82-NonRes)</f>
        <v>5</v>
      </c>
      <c r="G82" s="14" t="n">
        <f aca="false">INDEX(C_Price,A82)</f>
        <v>14</v>
      </c>
      <c r="H82" s="14" t="n">
        <f aca="false">INDEX(C_Acq,A82)</f>
        <v>0.462</v>
      </c>
      <c r="I82" s="14" t="n">
        <f aca="false">INDEX(C_Fee,A82)</f>
        <v>0.1124</v>
      </c>
      <c r="J82" s="14" t="n">
        <f aca="false">INDEX(C_Loan,A82)</f>
        <v>5.6</v>
      </c>
      <c r="K82" s="30" t="n">
        <f aca="false">G82-J82+H82+I82</f>
        <v>8.9744</v>
      </c>
      <c r="L82" s="30" t="n">
        <f aca="false">G82*(1+D82)^E82</f>
        <v>17.0331406336</v>
      </c>
      <c r="M82" s="30" t="n">
        <f aca="false">L82*LOOKUP(L82,FeeLo,FeeR)*(1+VAT)</f>
        <v>0.13115518287872</v>
      </c>
      <c r="N82" s="30" t="n">
        <f aca="false">-CUMIPMT(Rm,LoanYears*12,J82,1,E82*12,0)</f>
        <v>1.06917612838504</v>
      </c>
      <c r="O82" s="30" t="n">
        <f aca="false">J82*(1+Rm)^(E82*12)-(J82*Rm/(1-(1+Rm)^(-LoanYears*12)))*((1+Rm)^(E82*12)-1)/Rm</f>
        <v>5.0650607356211</v>
      </c>
      <c r="P82" s="16" t="n">
        <f aca="false">SUMIFS(Sch_Total,Sch_Idx,A82,Sch_Scen,C82,Sch_Year,"&lt;="&amp;E82)</f>
        <v>0.156836634458112</v>
      </c>
      <c r="Q82" s="30" t="n">
        <f aca="false">H82+I82+M82</f>
        <v>0.70555518287872</v>
      </c>
      <c r="R82" s="30" t="n">
        <f aca="false">L82-G82-Q82</f>
        <v>2.32758545072128</v>
      </c>
      <c r="S82" s="30" t="n">
        <f aca="false">MAX(0,IF(F82&gt;=2,IF(L82&gt;Exempt,R82*(L82-Exempt)/L82,0),R82))</f>
        <v>0.687780671938564</v>
      </c>
      <c r="T82" s="8" t="n">
        <f aca="false">IF(F82&gt;=2,MIN(MaxDed,MIN(0.4,HoldRate*E82)+MIN(0.4,LiveRate*F82)),IF(E82&gt;=3,MIN(0.3,0.02*E82),0))</f>
        <v>0.4</v>
      </c>
      <c r="U82" s="30" t="n">
        <f aca="false">S82*(1-T82)</f>
        <v>0.412668403163138</v>
      </c>
      <c r="V82" s="30" t="n">
        <f aca="false">MAX(0,U82-InitDed)</f>
        <v>0.387668403163138</v>
      </c>
      <c r="W82" s="16" t="n">
        <f aca="false">SUMPRODUCT((V82&gt;CLo)*(V82-CLo)*CD)*(1+LocalTax)</f>
        <v>0.0501052865219178</v>
      </c>
      <c r="X82" s="30" t="n">
        <f aca="false">H82+P82+W82</f>
        <v>0.66894192098003</v>
      </c>
      <c r="Y82" s="16" t="n">
        <f aca="false">(L82-G82)-H82-I82-M82-N82-P82-W82</f>
        <v>1.05146740135622</v>
      </c>
      <c r="Z82" s="8" t="n">
        <f aca="false">Y82/K82</f>
        <v>0.117162974834665</v>
      </c>
      <c r="AA82" s="8" t="n">
        <f aca="false">IF(1+Z82&gt;0,(1+Z82)^(1/E82)-1,-1)</f>
        <v>0.0224058052646403</v>
      </c>
      <c r="AB82" s="30" t="n">
        <f aca="false">L82-O82-M82-W82</f>
        <v>11.7868194285783</v>
      </c>
      <c r="AC82" s="29" t="n">
        <f aca="false">AB82/K82</f>
        <v>1.31338244657897</v>
      </c>
      <c r="AD82" s="30" t="n">
        <f aca="false">K82*((1+DepRate*(1-DepTax))^E82-1)</f>
        <v>1.19814533737279</v>
      </c>
      <c r="AE82" s="30" t="n">
        <f aca="false">Y82-AD82</f>
        <v>-0.146677936016579</v>
      </c>
    </row>
    <row r="83" customFormat="false" ht="15" hidden="false" customHeight="false" outlineLevel="0" collapsed="false">
      <c r="A83" s="21" t="n">
        <v>7</v>
      </c>
      <c r="B83" s="14" t="str">
        <f aca="false">INDEX(C_Name,A83)</f>
        <v>예시 행: 직접 입력</v>
      </c>
      <c r="C83" s="21" t="n">
        <v>2</v>
      </c>
      <c r="D83" s="8" t="n">
        <f aca="false">CHOOSE(C83,G1,G2,G3)</f>
        <v>0.04</v>
      </c>
      <c r="E83" s="21" t="n">
        <v>7</v>
      </c>
      <c r="F83" s="21" t="n">
        <f aca="false">MAX(0,E83-NonRes)</f>
        <v>7</v>
      </c>
      <c r="G83" s="14" t="n">
        <f aca="false">INDEX(C_Price,A83)</f>
        <v>14</v>
      </c>
      <c r="H83" s="14" t="n">
        <f aca="false">INDEX(C_Acq,A83)</f>
        <v>0.462</v>
      </c>
      <c r="I83" s="14" t="n">
        <f aca="false">INDEX(C_Fee,A83)</f>
        <v>0.1124</v>
      </c>
      <c r="J83" s="14" t="n">
        <f aca="false">INDEX(C_Loan,A83)</f>
        <v>5.6</v>
      </c>
      <c r="K83" s="30" t="n">
        <f aca="false">G83-J83+H83+I83</f>
        <v>8.9744</v>
      </c>
      <c r="L83" s="30" t="n">
        <f aca="false">G83*(1+D83)^E83</f>
        <v>18.4230449093018</v>
      </c>
      <c r="M83" s="30" t="n">
        <f aca="false">L83*LOOKUP(L83,FeeLo,FeeR)*(1+VAT)</f>
        <v>0.141857445801624</v>
      </c>
      <c r="N83" s="30" t="n">
        <f aca="false">-CUMIPMT(Rm,LoanYears*12,J83,1,E83*12,0)</f>
        <v>1.46509192043554</v>
      </c>
      <c r="O83" s="30" t="n">
        <f aca="false">J83*(1+Rm)^(E83*12)-(J83*Rm/(1-(1+Rm)^(-LoanYears*12)))*((1+Rm)^(E83*12)-1)/Rm</f>
        <v>4.81933037056604</v>
      </c>
      <c r="P83" s="16" t="n">
        <f aca="false">SUMIFS(Sch_Total,Sch_Idx,A83,Sch_Scen,C83,Sch_Year,"&lt;="&amp;E83)</f>
        <v>0.231709526017111</v>
      </c>
      <c r="Q83" s="30" t="n">
        <f aca="false">H83+I83+M83</f>
        <v>0.716257445801624</v>
      </c>
      <c r="R83" s="30" t="n">
        <f aca="false">L83-G83-Q83</f>
        <v>3.70678746350014</v>
      </c>
      <c r="S83" s="30" t="n">
        <f aca="false">MAX(0,IF(F83&gt;=2,IF(L83&gt;Exempt,R83*(L83-Exempt)/L83,0),R83))</f>
        <v>1.29234132927056</v>
      </c>
      <c r="T83" s="8" t="n">
        <f aca="false">IF(F83&gt;=2,MIN(MaxDed,MIN(0.4,HoldRate*E83)+MIN(0.4,LiveRate*F83)),IF(E83&gt;=3,MIN(0.3,0.02*E83),0))</f>
        <v>0.56</v>
      </c>
      <c r="U83" s="30" t="n">
        <f aca="false">S83*(1-T83)</f>
        <v>0.568630184879044</v>
      </c>
      <c r="V83" s="30" t="n">
        <f aca="false">MAX(0,U83-InitDed)</f>
        <v>0.543630184879044</v>
      </c>
      <c r="W83" s="16" t="n">
        <f aca="false">SUMPRODUCT((V83&gt;CLo)*(V83-CLo)*CD)*(1+LocalTax)</f>
        <v>0.0801583688080677</v>
      </c>
      <c r="X83" s="30" t="n">
        <f aca="false">H83+P83+W83</f>
        <v>0.773867894825179</v>
      </c>
      <c r="Y83" s="16" t="n">
        <f aca="false">(L83-G83)-H83-I83-M83-N83-P83-W83</f>
        <v>1.92982764823942</v>
      </c>
      <c r="Z83" s="8" t="n">
        <f aca="false">Y83/K83</f>
        <v>0.215036954920599</v>
      </c>
      <c r="AA83" s="8" t="n">
        <f aca="false">IF(1+Z83&gt;0,(1+Z83)^(1/E83)-1,-1)</f>
        <v>0.028215656289635</v>
      </c>
      <c r="AB83" s="30" t="n">
        <f aca="false">L83-O83-M83-W83</f>
        <v>13.381698724126</v>
      </c>
      <c r="AC83" s="29" t="n">
        <f aca="false">AB83/K83</f>
        <v>1.49109675567459</v>
      </c>
      <c r="AD83" s="30" t="n">
        <f aca="false">K83*((1+DepRate*(1-DepTax))^E83-1)</f>
        <v>1.72105632681065</v>
      </c>
      <c r="AE83" s="30" t="n">
        <f aca="false">Y83-AD83</f>
        <v>0.20877132142877</v>
      </c>
    </row>
    <row r="84" customFormat="false" ht="15" hidden="false" customHeight="false" outlineLevel="0" collapsed="false">
      <c r="A84" s="21" t="n">
        <v>7</v>
      </c>
      <c r="B84" s="14" t="str">
        <f aca="false">INDEX(C_Name,A84)</f>
        <v>예시 행: 직접 입력</v>
      </c>
      <c r="C84" s="21" t="n">
        <v>2</v>
      </c>
      <c r="D84" s="8" t="n">
        <f aca="false">CHOOSE(C84,G1,G2,G3)</f>
        <v>0.04</v>
      </c>
      <c r="E84" s="21" t="n">
        <v>10</v>
      </c>
      <c r="F84" s="21" t="n">
        <f aca="false">MAX(0,E84-NonRes)</f>
        <v>10</v>
      </c>
      <c r="G84" s="14" t="n">
        <f aca="false">INDEX(C_Price,A84)</f>
        <v>14</v>
      </c>
      <c r="H84" s="14" t="n">
        <f aca="false">INDEX(C_Acq,A84)</f>
        <v>0.462</v>
      </c>
      <c r="I84" s="14" t="n">
        <f aca="false">INDEX(C_Fee,A84)</f>
        <v>0.1124</v>
      </c>
      <c r="J84" s="14" t="n">
        <f aca="false">INDEX(C_Loan,A84)</f>
        <v>5.6</v>
      </c>
      <c r="K84" s="30" t="n">
        <f aca="false">G84-J84+H84+I84</f>
        <v>8.9744</v>
      </c>
      <c r="L84" s="30" t="n">
        <f aca="false">G84*(1+D84)^E84</f>
        <v>20.7234199888568</v>
      </c>
      <c r="M84" s="30" t="n">
        <f aca="false">L84*LOOKUP(L84,FeeLo,FeeR)*(1+VAT)</f>
        <v>0.159570333914198</v>
      </c>
      <c r="N84" s="30" t="n">
        <f aca="false">-CUMIPMT(Rm,LoanYears*12,J84,1,E84*12,0)</f>
        <v>2.02013250137643</v>
      </c>
      <c r="O84" s="30" t="n">
        <f aca="false">J84*(1+Rm)^(E84*12)-(J84*Rm/(1-(1+Rm)^(-LoanYears*12)))*((1+Rm)^(E84*12)-1)/Rm</f>
        <v>4.41190171584856</v>
      </c>
      <c r="P84" s="16" t="n">
        <f aca="false">SUMIFS(Sch_Total,Sch_Idx,A84,Sch_Scen,C84,Sch_Year,"&lt;="&amp;E84)</f>
        <v>0.369897887312528</v>
      </c>
      <c r="Q84" s="30" t="n">
        <f aca="false">H84+I84+M84</f>
        <v>0.733970333914198</v>
      </c>
      <c r="R84" s="30" t="n">
        <f aca="false">L84-G84-Q84</f>
        <v>5.98944965494262</v>
      </c>
      <c r="S84" s="30" t="n">
        <f aca="false">MAX(0,IF(F84&gt;=2,IF(L84&gt;Exempt,R84*(L84-Exempt)/L84,0),R84))</f>
        <v>2.52122887391524</v>
      </c>
      <c r="T84" s="8" t="n">
        <f aca="false">IF(F84&gt;=2,MIN(MaxDed,MIN(0.4,HoldRate*E84)+MIN(0.4,LiveRate*F84)),IF(E84&gt;=3,MIN(0.3,0.02*E84),0))</f>
        <v>0.8</v>
      </c>
      <c r="U84" s="30" t="n">
        <f aca="false">S84*(1-T84)</f>
        <v>0.504245774783048</v>
      </c>
      <c r="V84" s="30" t="n">
        <f aca="false">MAX(0,U84-InitDed)</f>
        <v>0.479245774783048</v>
      </c>
      <c r="W84" s="16" t="n">
        <f aca="false">SUMPRODUCT((V84&gt;CLo)*(V84-CLo)*CD)*(1+LocalTax)</f>
        <v>0.0652155528392029</v>
      </c>
      <c r="X84" s="30" t="n">
        <f aca="false">H84+P84+W84</f>
        <v>0.897113440151731</v>
      </c>
      <c r="Y84" s="16" t="n">
        <f aca="false">(L84-G84)-H84-I84-M84-N84-P84-W84</f>
        <v>3.53420371341446</v>
      </c>
      <c r="Z84" s="8" t="n">
        <f aca="false">Y84/K84</f>
        <v>0.39380947065146</v>
      </c>
      <c r="AA84" s="8" t="n">
        <f aca="false">IF(1+Z84&gt;0,(1+Z84)^(1/E84)-1,-1)</f>
        <v>0.0337614696526167</v>
      </c>
      <c r="AB84" s="30" t="n">
        <f aca="false">L84-O84-M84-W84</f>
        <v>16.0867323862549</v>
      </c>
      <c r="AC84" s="29" t="n">
        <f aca="false">AB84/K84</f>
        <v>1.79251341440708</v>
      </c>
      <c r="AD84" s="30" t="n">
        <f aca="false">K84*((1+DepRate*(1-DepTax))^E84-1)</f>
        <v>2.5562514798655</v>
      </c>
      <c r="AE84" s="30" t="n">
        <f aca="false">Y84-AD84</f>
        <v>0.97795223354896</v>
      </c>
    </row>
    <row r="85" customFormat="false" ht="15" hidden="false" customHeight="false" outlineLevel="0" collapsed="false">
      <c r="A85" s="21" t="n">
        <v>7</v>
      </c>
      <c r="B85" s="14" t="str">
        <f aca="false">INDEX(C_Name,A85)</f>
        <v>예시 행: 직접 입력</v>
      </c>
      <c r="C85" s="21" t="n">
        <v>3</v>
      </c>
      <c r="D85" s="8" t="n">
        <f aca="false">CHOOSE(C85,G1,G2,G3)</f>
        <v>0.06</v>
      </c>
      <c r="E85" s="21" t="n">
        <v>3</v>
      </c>
      <c r="F85" s="21" t="n">
        <f aca="false">MAX(0,E85-NonRes)</f>
        <v>3</v>
      </c>
      <c r="G85" s="14" t="n">
        <f aca="false">INDEX(C_Price,A85)</f>
        <v>14</v>
      </c>
      <c r="H85" s="14" t="n">
        <f aca="false">INDEX(C_Acq,A85)</f>
        <v>0.462</v>
      </c>
      <c r="I85" s="14" t="n">
        <f aca="false">INDEX(C_Fee,A85)</f>
        <v>0.1124</v>
      </c>
      <c r="J85" s="14" t="n">
        <f aca="false">INDEX(C_Loan,A85)</f>
        <v>5.6</v>
      </c>
      <c r="K85" s="30" t="n">
        <f aca="false">G85-J85+H85+I85</f>
        <v>8.9744</v>
      </c>
      <c r="L85" s="30" t="n">
        <f aca="false">G85*(1+D85)^E85</f>
        <v>16.674224</v>
      </c>
      <c r="M85" s="30" t="n">
        <f aca="false">L85*LOOKUP(L85,FeeLo,FeeR)*(1+VAT)</f>
        <v>0.1283915248</v>
      </c>
      <c r="N85" s="30" t="n">
        <f aca="false">-CUMIPMT(Rm,LoanYears*12,J85,1,E85*12,0)</f>
        <v>0.654397868058156</v>
      </c>
      <c r="O85" s="30" t="n">
        <f aca="false">J85*(1+Rm)^(E85*12)-(J85*Rm/(1-(1+Rm)^(-LoanYears*12)))*((1+Rm)^(E85*12)-1)/Rm</f>
        <v>5.2919286323998</v>
      </c>
      <c r="P85" s="16" t="n">
        <f aca="false">SUMIFS(Sch_Total,Sch_Idx,A85,Sch_Scen,C85,Sch_Year,"&lt;="&amp;E85)</f>
        <v>0.09172330272</v>
      </c>
      <c r="Q85" s="30" t="n">
        <f aca="false">H85+I85+M85</f>
        <v>0.7027915248</v>
      </c>
      <c r="R85" s="30" t="n">
        <f aca="false">L85-G85-Q85</f>
        <v>1.9714324752</v>
      </c>
      <c r="S85" s="30" t="n">
        <f aca="false">MAX(0,IF(F85&gt;=2,IF(L85&gt;Exempt,R85*(L85-Exempt)/L85,0),R85))</f>
        <v>0.552644428307984</v>
      </c>
      <c r="T85" s="8" t="n">
        <f aca="false">IF(F85&gt;=2,MIN(MaxDed,MIN(0.4,HoldRate*E85)+MIN(0.4,LiveRate*F85)),IF(E85&gt;=3,MIN(0.3,0.02*E85),0))</f>
        <v>0.24</v>
      </c>
      <c r="U85" s="30" t="n">
        <f aca="false">S85*(1-T85)</f>
        <v>0.420009765514068</v>
      </c>
      <c r="V85" s="30" t="n">
        <f aca="false">MAX(0,U85-InitDed)</f>
        <v>0.395009765514067</v>
      </c>
      <c r="W85" s="16" t="n">
        <f aca="false">SUMPRODUCT((V85&gt;CLo)*(V85-CLo)*CD)*(1+LocalTax)</f>
        <v>0.0513166113098211</v>
      </c>
      <c r="X85" s="30" t="n">
        <f aca="false">H85+P85+W85</f>
        <v>0.605039914029821</v>
      </c>
      <c r="Y85" s="16" t="n">
        <f aca="false">(L85-G85)-H85-I85-M85-N85-P85-W85</f>
        <v>1.17399469311203</v>
      </c>
      <c r="Z85" s="8" t="n">
        <f aca="false">Y85/K85</f>
        <v>0.13081595350241</v>
      </c>
      <c r="AA85" s="8" t="n">
        <f aca="false">IF(1+Z85&gt;0,(1+Z85)^(1/E85)-1,-1)</f>
        <v>0.0418310794087315</v>
      </c>
      <c r="AB85" s="30" t="n">
        <f aca="false">L85-O85-M85-W85</f>
        <v>11.2025872314904</v>
      </c>
      <c r="AC85" s="29" t="n">
        <f aca="false">AB85/K85</f>
        <v>1.24828258507425</v>
      </c>
      <c r="AD85" s="30" t="n">
        <f aca="false">K85*((1+DepRate*(1-DepTax))^E85-1)</f>
        <v>0.700799961455274</v>
      </c>
      <c r="AE85" s="30" t="n">
        <f aca="false">Y85-AD85</f>
        <v>0.473194731656751</v>
      </c>
    </row>
    <row r="86" customFormat="false" ht="15" hidden="false" customHeight="false" outlineLevel="0" collapsed="false">
      <c r="A86" s="21" t="n">
        <v>7</v>
      </c>
      <c r="B86" s="14" t="str">
        <f aca="false">INDEX(C_Name,A86)</f>
        <v>예시 행: 직접 입력</v>
      </c>
      <c r="C86" s="21" t="n">
        <v>3</v>
      </c>
      <c r="D86" s="8" t="n">
        <f aca="false">CHOOSE(C86,G1,G2,G3)</f>
        <v>0.06</v>
      </c>
      <c r="E86" s="21" t="n">
        <v>5</v>
      </c>
      <c r="F86" s="21" t="n">
        <f aca="false">MAX(0,E86-NonRes)</f>
        <v>5</v>
      </c>
      <c r="G86" s="14" t="n">
        <f aca="false">INDEX(C_Price,A86)</f>
        <v>14</v>
      </c>
      <c r="H86" s="14" t="n">
        <f aca="false">INDEX(C_Acq,A86)</f>
        <v>0.462</v>
      </c>
      <c r="I86" s="14" t="n">
        <f aca="false">INDEX(C_Fee,A86)</f>
        <v>0.1124</v>
      </c>
      <c r="J86" s="14" t="n">
        <f aca="false">INDEX(C_Loan,A86)</f>
        <v>5.6</v>
      </c>
      <c r="K86" s="30" t="n">
        <f aca="false">G86-J86+H86+I86</f>
        <v>8.9744</v>
      </c>
      <c r="L86" s="30" t="n">
        <f aca="false">G86*(1+D86)^E86</f>
        <v>18.7351580864</v>
      </c>
      <c r="M86" s="30" t="n">
        <f aca="false">L86*LOOKUP(L86,FeeLo,FeeR)*(1+VAT)</f>
        <v>0.14426071726528</v>
      </c>
      <c r="N86" s="30" t="n">
        <f aca="false">-CUMIPMT(Rm,LoanYears*12,J86,1,E86*12,0)</f>
        <v>1.06917612838504</v>
      </c>
      <c r="O86" s="30" t="n">
        <f aca="false">J86*(1+Rm)^(E86*12)-(J86*Rm/(1-(1+Rm)^(-LoanYears*12)))*((1+Rm)^(E86*12)-1)/Rm</f>
        <v>5.0650607356211</v>
      </c>
      <c r="P86" s="16" t="n">
        <f aca="false">SUMIFS(Sch_Total,Sch_Idx,A86,Sch_Scen,C86,Sch_Year,"&lt;="&amp;E86)</f>
        <v>0.165473961697152</v>
      </c>
      <c r="Q86" s="30" t="n">
        <f aca="false">H86+I86+M86</f>
        <v>0.71866071726528</v>
      </c>
      <c r="R86" s="30" t="n">
        <f aca="false">L86-G86-Q86</f>
        <v>4.01649736913473</v>
      </c>
      <c r="S86" s="30" t="n">
        <f aca="false">MAX(0,IF(F86&gt;=2,IF(L86&gt;Exempt,R86*(L86-Exempt)/L86,0),R86))</f>
        <v>1.44390266737963</v>
      </c>
      <c r="T86" s="8" t="n">
        <f aca="false">IF(F86&gt;=2,MIN(MaxDed,MIN(0.4,HoldRate*E86)+MIN(0.4,LiveRate*F86)),IF(E86&gt;=3,MIN(0.3,0.02*E86),0))</f>
        <v>0.4</v>
      </c>
      <c r="U86" s="30" t="n">
        <f aca="false">S86*(1-T86)</f>
        <v>0.866341600427781</v>
      </c>
      <c r="V86" s="30" t="n">
        <f aca="false">MAX(0,U86-InitDed)</f>
        <v>0.841341600427781</v>
      </c>
      <c r="W86" s="16" t="n">
        <f aca="false">SUMPRODUCT((V86&gt;CLo)*(V86-CLo)*CD)*(1+LocalTax)</f>
        <v>0.158754182512934</v>
      </c>
      <c r="X86" s="30" t="n">
        <f aca="false">H86+P86+W86</f>
        <v>0.786228144210086</v>
      </c>
      <c r="Y86" s="16" t="n">
        <f aca="false">(L86-G86)-H86-I86-M86-N86-P86-W86</f>
        <v>2.6230930965396</v>
      </c>
      <c r="Z86" s="8" t="n">
        <f aca="false">Y86/K86</f>
        <v>0.29228618030616</v>
      </c>
      <c r="AA86" s="8" t="n">
        <f aca="false">IF(1+Z86&gt;0,(1+Z86)^(1/E86)-1,-1)</f>
        <v>0.0526202970456617</v>
      </c>
      <c r="AB86" s="30" t="n">
        <f aca="false">L86-O86-M86-W86</f>
        <v>13.3670824510007</v>
      </c>
      <c r="AC86" s="29" t="n">
        <f aca="false">AB86/K86</f>
        <v>1.48946809268594</v>
      </c>
      <c r="AD86" s="30" t="n">
        <f aca="false">K86*((1+DepRate*(1-DepTax))^E86-1)</f>
        <v>1.19814533737279</v>
      </c>
      <c r="AE86" s="30" t="n">
        <f aca="false">Y86-AD86</f>
        <v>1.42494775916681</v>
      </c>
    </row>
    <row r="87" customFormat="false" ht="15" hidden="false" customHeight="false" outlineLevel="0" collapsed="false">
      <c r="A87" s="21" t="n">
        <v>7</v>
      </c>
      <c r="B87" s="14" t="str">
        <f aca="false">INDEX(C_Name,A87)</f>
        <v>예시 행: 직접 입력</v>
      </c>
      <c r="C87" s="21" t="n">
        <v>3</v>
      </c>
      <c r="D87" s="8" t="n">
        <f aca="false">CHOOSE(C87,G1,G2,G3)</f>
        <v>0.06</v>
      </c>
      <c r="E87" s="21" t="n">
        <v>7</v>
      </c>
      <c r="F87" s="21" t="n">
        <f aca="false">MAX(0,E87-NonRes)</f>
        <v>7</v>
      </c>
      <c r="G87" s="14" t="n">
        <f aca="false">INDEX(C_Price,A87)</f>
        <v>14</v>
      </c>
      <c r="H87" s="14" t="n">
        <f aca="false">INDEX(C_Acq,A87)</f>
        <v>0.462</v>
      </c>
      <c r="I87" s="14" t="n">
        <f aca="false">INDEX(C_Fee,A87)</f>
        <v>0.1124</v>
      </c>
      <c r="J87" s="14" t="n">
        <f aca="false">INDEX(C_Loan,A87)</f>
        <v>5.6</v>
      </c>
      <c r="K87" s="30" t="n">
        <f aca="false">G87-J87+H87+I87</f>
        <v>8.9744</v>
      </c>
      <c r="L87" s="30" t="n">
        <f aca="false">G87*(1+D87)^E87</f>
        <v>21.050823625879</v>
      </c>
      <c r="M87" s="30" t="n">
        <f aca="false">L87*LOOKUP(L87,FeeLo,FeeR)*(1+VAT)</f>
        <v>0.162091341919269</v>
      </c>
      <c r="N87" s="30" t="n">
        <f aca="false">-CUMIPMT(Rm,LoanYears*12,J87,1,E87*12,0)</f>
        <v>1.46509192043554</v>
      </c>
      <c r="O87" s="30" t="n">
        <f aca="false">J87*(1+Rm)^(E87*12)-(J87*Rm/(1-(1+Rm)^(-LoanYears*12)))*((1+Rm)^(E87*12)-1)/Rm</f>
        <v>4.81933037056604</v>
      </c>
      <c r="P87" s="16" t="n">
        <f aca="false">SUMIFS(Sch_Total,Sch_Idx,A87,Sch_Scen,C87,Sch_Year,"&lt;="&amp;E87)</f>
        <v>0.258886686810498</v>
      </c>
      <c r="Q87" s="30" t="n">
        <f aca="false">H87+I87+M87</f>
        <v>0.736491341919269</v>
      </c>
      <c r="R87" s="30" t="n">
        <f aca="false">L87-G87-Q87</f>
        <v>6.31433228395978</v>
      </c>
      <c r="S87" s="30" t="n">
        <f aca="false">MAX(0,IF(F87&gt;=2,IF(L87&gt;Exempt,R87*(L87-Exempt)/L87,0),R87))</f>
        <v>2.71485376691182</v>
      </c>
      <c r="T87" s="8" t="n">
        <f aca="false">IF(F87&gt;=2,MIN(MaxDed,MIN(0.4,HoldRate*E87)+MIN(0.4,LiveRate*F87)),IF(E87&gt;=3,MIN(0.3,0.02*E87),0))</f>
        <v>0.56</v>
      </c>
      <c r="U87" s="30" t="n">
        <f aca="false">S87*(1-T87)</f>
        <v>1.1945356574412</v>
      </c>
      <c r="V87" s="30" t="n">
        <f aca="false">MAX(0,U87-InitDed)</f>
        <v>1.1695356574412</v>
      </c>
      <c r="W87" s="16" t="n">
        <f aca="false">SUMPRODUCT((V87&gt;CLo)*(V87-CLo)*CD)*(1+LocalTax)</f>
        <v>0.280431228114862</v>
      </c>
      <c r="X87" s="30" t="n">
        <f aca="false">H87+P87+W87</f>
        <v>1.00131791492536</v>
      </c>
      <c r="Y87" s="16" t="n">
        <f aca="false">(L87-G87)-H87-I87-M87-N87-P87-W87</f>
        <v>4.30992244859888</v>
      </c>
      <c r="Z87" s="8" t="n">
        <f aca="false">Y87/K87</f>
        <v>0.480246306003619</v>
      </c>
      <c r="AA87" s="8" t="n">
        <f aca="false">IF(1+Z87&gt;0,(1+Z87)^(1/E87)-1,-1)</f>
        <v>0.0576291850405251</v>
      </c>
      <c r="AB87" s="30" t="n">
        <f aca="false">L87-O87-M87-W87</f>
        <v>15.7889706852789</v>
      </c>
      <c r="AC87" s="29" t="n">
        <f aca="false">AB87/K87</f>
        <v>1.75933440511665</v>
      </c>
      <c r="AD87" s="30" t="n">
        <f aca="false">K87*((1+DepRate*(1-DepTax))^E87-1)</f>
        <v>1.72105632681065</v>
      </c>
      <c r="AE87" s="30" t="n">
        <f aca="false">Y87-AD87</f>
        <v>2.58886612178823</v>
      </c>
    </row>
    <row r="88" customFormat="false" ht="15" hidden="false" customHeight="false" outlineLevel="0" collapsed="false">
      <c r="A88" s="21" t="n">
        <v>7</v>
      </c>
      <c r="B88" s="14" t="str">
        <f aca="false">INDEX(C_Name,A88)</f>
        <v>예시 행: 직접 입력</v>
      </c>
      <c r="C88" s="21" t="n">
        <v>3</v>
      </c>
      <c r="D88" s="8" t="n">
        <f aca="false">CHOOSE(C88,G1,G2,G3)</f>
        <v>0.06</v>
      </c>
      <c r="E88" s="21" t="n">
        <v>10</v>
      </c>
      <c r="F88" s="21" t="n">
        <f aca="false">MAX(0,E88-NonRes)</f>
        <v>10</v>
      </c>
      <c r="G88" s="14" t="n">
        <f aca="false">INDEX(C_Price,A88)</f>
        <v>14</v>
      </c>
      <c r="H88" s="14" t="n">
        <f aca="false">INDEX(C_Acq,A88)</f>
        <v>0.462</v>
      </c>
      <c r="I88" s="14" t="n">
        <f aca="false">INDEX(C_Fee,A88)</f>
        <v>0.1124</v>
      </c>
      <c r="J88" s="14" t="n">
        <f aca="false">INDEX(C_Loan,A88)</f>
        <v>5.6</v>
      </c>
      <c r="K88" s="30" t="n">
        <f aca="false">G88-J88+H88+I88</f>
        <v>8.9744</v>
      </c>
      <c r="L88" s="30" t="n">
        <f aca="false">G88*(1+D88)^E88</f>
        <v>25.0718677516</v>
      </c>
      <c r="M88" s="30" t="n">
        <f aca="false">L88*LOOKUP(L88,FeeLo,FeeR)*(1+VAT)</f>
        <v>0.19305338168732</v>
      </c>
      <c r="N88" s="30" t="n">
        <f aca="false">-CUMIPMT(Rm,LoanYears*12,J88,1,E88*12,0)</f>
        <v>2.02013250137643</v>
      </c>
      <c r="O88" s="30" t="n">
        <f aca="false">J88*(1+Rm)^(E88*12)-(J88*Rm/(1-(1+Rm)^(-LoanYears*12)))*((1+Rm)^(E88*12)-1)/Rm</f>
        <v>4.41190171584856</v>
      </c>
      <c r="P88" s="16" t="n">
        <f aca="false">SUMIFS(Sch_Total,Sch_Idx,A88,Sch_Scen,C88,Sch_Year,"&lt;="&amp;E88)</f>
        <v>0.445098181313684</v>
      </c>
      <c r="Q88" s="30" t="n">
        <f aca="false">H88+I88+M88</f>
        <v>0.76745338168732</v>
      </c>
      <c r="R88" s="30" t="n">
        <f aca="false">L88-G88-Q88</f>
        <v>10.3044143699126</v>
      </c>
      <c r="S88" s="30" t="n">
        <f aca="false">MAX(0,IF(F88&gt;=2,IF(L88&gt;Exempt,R88*(L88-Exempt)/L88,0),R88))</f>
        <v>5.3724733727741</v>
      </c>
      <c r="T88" s="8" t="n">
        <f aca="false">IF(F88&gt;=2,MIN(MaxDed,MIN(0.4,HoldRate*E88)+MIN(0.4,LiveRate*F88)),IF(E88&gt;=3,MIN(0.3,0.02*E88),0))</f>
        <v>0.8</v>
      </c>
      <c r="U88" s="30" t="n">
        <f aca="false">S88*(1-T88)</f>
        <v>1.07449467455482</v>
      </c>
      <c r="V88" s="30" t="n">
        <f aca="false">MAX(0,U88-InitDed)</f>
        <v>1.04949467455482</v>
      </c>
      <c r="W88" s="16" t="n">
        <f aca="false">SUMPRODUCT((V88&gt;CLo)*(V88-CLo)*CD)*(1+LocalTax)</f>
        <v>0.234215449703605</v>
      </c>
      <c r="X88" s="30" t="n">
        <f aca="false">H88+P88+W88</f>
        <v>1.14131363101729</v>
      </c>
      <c r="Y88" s="16" t="n">
        <f aca="false">(L88-G88)-H88-I88-M88-N88-P88-W88</f>
        <v>7.60496823751893</v>
      </c>
      <c r="Z88" s="8" t="n">
        <f aca="false">Y88/K88</f>
        <v>0.847406872606406</v>
      </c>
      <c r="AA88" s="8" t="n">
        <f aca="false">IF(1+Z88&gt;0,(1+Z88)^(1/E88)-1,-1)</f>
        <v>0.063301081224717</v>
      </c>
      <c r="AB88" s="30" t="n">
        <f aca="false">L88-O88-M88-W88</f>
        <v>20.2326972043605</v>
      </c>
      <c r="AC88" s="29" t="n">
        <f aca="false">AB88/K88</f>
        <v>2.25449023938765</v>
      </c>
      <c r="AD88" s="30" t="n">
        <f aca="false">K88*((1+DepRate*(1-DepTax))^E88-1)</f>
        <v>2.5562514798655</v>
      </c>
      <c r="AE88" s="30" t="n">
        <f aca="false">Y88-AD88</f>
        <v>5.04871675765342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8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14" min="8" style="0" width="11"/>
    <col collapsed="false" customWidth="true" hidden="false" outlineLevel="0" max="15" min="15" style="0" width="12"/>
  </cols>
  <sheetData>
    <row r="1" customFormat="false" ht="19.4" hidden="false" customHeight="false" outlineLevel="0" collapsed="false">
      <c r="A1" s="1" t="s">
        <v>131</v>
      </c>
    </row>
    <row r="2" customFormat="false" ht="15" hidden="false" customHeight="false" outlineLevel="0" collapsed="false">
      <c r="A2" s="35" t="s">
        <v>132</v>
      </c>
    </row>
    <row r="4" customFormat="false" ht="42" hidden="false" customHeight="true" outlineLevel="0" collapsed="false">
      <c r="A4" s="9" t="s">
        <v>107</v>
      </c>
      <c r="B4" s="9" t="s">
        <v>23</v>
      </c>
      <c r="C4" s="9" t="s">
        <v>108</v>
      </c>
      <c r="D4" s="9" t="s">
        <v>21</v>
      </c>
      <c r="E4" s="9" t="s">
        <v>133</v>
      </c>
      <c r="F4" s="9" t="s">
        <v>134</v>
      </c>
      <c r="G4" s="9" t="s">
        <v>135</v>
      </c>
      <c r="H4" s="9" t="s">
        <v>136</v>
      </c>
      <c r="I4" s="9" t="s">
        <v>137</v>
      </c>
      <c r="J4" s="9" t="s">
        <v>138</v>
      </c>
      <c r="K4" s="9" t="s">
        <v>139</v>
      </c>
      <c r="L4" s="9" t="s">
        <v>140</v>
      </c>
      <c r="M4" s="9" t="s">
        <v>141</v>
      </c>
      <c r="N4" s="9" t="s">
        <v>142</v>
      </c>
      <c r="O4" s="9" t="s">
        <v>143</v>
      </c>
    </row>
    <row r="5" customFormat="false" ht="15" hidden="false" customHeight="false" outlineLevel="0" collapsed="false">
      <c r="A5" s="21" t="n">
        <v>1</v>
      </c>
      <c r="B5" s="36" t="str">
        <f aca="false">INDEX(C_Name,A5)</f>
        <v>문래동 대단지 (단지 미특정, 입력 필요)</v>
      </c>
      <c r="C5" s="21" t="n">
        <v>1</v>
      </c>
      <c r="D5" s="8" t="n">
        <f aca="false">CHOOSE(C5,G1,G2,G3)</f>
        <v>0.02</v>
      </c>
      <c r="E5" s="21" t="n">
        <v>1</v>
      </c>
      <c r="F5" s="29" t="n">
        <f aca="false">INDEX(C_Price,A5)*(1+D5)^(E5-1)</f>
        <v>12.5</v>
      </c>
      <c r="G5" s="29" t="n">
        <f aca="false">F5*Gongsi</f>
        <v>8.625</v>
      </c>
      <c r="H5" s="29" t="n">
        <f aca="false">G5*FairProp</f>
        <v>5.175</v>
      </c>
      <c r="I5" s="37" t="n">
        <f aca="false">IF(G5&lt;=SpcLimit,SUMPRODUCT((H5&gt;SLo)*(H5-SLo)*SD),SUMPRODUCT((H5&gt;GLo)*(H5-GLo)*GD))</f>
        <v>0.0118125</v>
      </c>
      <c r="J5" s="37" t="n">
        <f aca="false">H5*CityRate</f>
        <v>0.007245</v>
      </c>
      <c r="K5" s="37" t="n">
        <f aca="false">I5*EduProp</f>
        <v>0.0023625</v>
      </c>
      <c r="L5" s="29" t="n">
        <f aca="false">MAX(0,(G5-JongDeduct)*FairJong)</f>
        <v>0</v>
      </c>
      <c r="M5" s="37" t="n">
        <f aca="false">SUMPRODUCT((L5&gt;JLo)*(L5-JLo)*JD)</f>
        <v>0</v>
      </c>
      <c r="N5" s="37" t="n">
        <f aca="false">M5*NongJong</f>
        <v>0</v>
      </c>
      <c r="O5" s="38" t="n">
        <f aca="false">I5+J5+K5+M5+N5</f>
        <v>0.02142</v>
      </c>
    </row>
    <row r="6" customFormat="false" ht="15" hidden="false" customHeight="false" outlineLevel="0" collapsed="false">
      <c r="A6" s="21" t="n">
        <v>1</v>
      </c>
      <c r="B6" s="36" t="str">
        <f aca="false">INDEX(C_Name,A6)</f>
        <v>문래동 대단지 (단지 미특정, 입력 필요)</v>
      </c>
      <c r="C6" s="21" t="n">
        <v>1</v>
      </c>
      <c r="D6" s="8" t="n">
        <f aca="false">CHOOSE(C6,G1,G2,G3)</f>
        <v>0.02</v>
      </c>
      <c r="E6" s="21" t="n">
        <v>2</v>
      </c>
      <c r="F6" s="29" t="n">
        <f aca="false">INDEX(C_Price,A6)*(1+D6)^(E6-1)</f>
        <v>12.75</v>
      </c>
      <c r="G6" s="29" t="n">
        <f aca="false">F6*Gongsi</f>
        <v>8.7975</v>
      </c>
      <c r="H6" s="29" t="n">
        <f aca="false">G6*FairProp</f>
        <v>5.2785</v>
      </c>
      <c r="I6" s="37" t="n">
        <f aca="false">IF(G6&lt;=SpcLimit,SUMPRODUCT((H6&gt;SLo)*(H6-SLo)*SD),SUMPRODUCT((H6&gt;GLo)*(H6-GLo)*GD))</f>
        <v>0.01217475</v>
      </c>
      <c r="J6" s="37" t="n">
        <f aca="false">H6*CityRate</f>
        <v>0.0073899</v>
      </c>
      <c r="K6" s="37" t="n">
        <f aca="false">I6*EduProp</f>
        <v>0.00243495</v>
      </c>
      <c r="L6" s="29" t="n">
        <f aca="false">MAX(0,(G6-JongDeduct)*FairJong)</f>
        <v>0</v>
      </c>
      <c r="M6" s="37" t="n">
        <f aca="false">SUMPRODUCT((L6&gt;JLo)*(L6-JLo)*JD)</f>
        <v>0</v>
      </c>
      <c r="N6" s="37" t="n">
        <f aca="false">M6*NongJong</f>
        <v>0</v>
      </c>
      <c r="O6" s="38" t="n">
        <f aca="false">I6+J6+K6+M6+N6</f>
        <v>0.0219996</v>
      </c>
    </row>
    <row r="7" customFormat="false" ht="15" hidden="false" customHeight="false" outlineLevel="0" collapsed="false">
      <c r="A7" s="21" t="n">
        <v>1</v>
      </c>
      <c r="B7" s="36" t="str">
        <f aca="false">INDEX(C_Name,A7)</f>
        <v>문래동 대단지 (단지 미특정, 입력 필요)</v>
      </c>
      <c r="C7" s="21" t="n">
        <v>1</v>
      </c>
      <c r="D7" s="8" t="n">
        <f aca="false">CHOOSE(C7,G1,G2,G3)</f>
        <v>0.02</v>
      </c>
      <c r="E7" s="21" t="n">
        <v>3</v>
      </c>
      <c r="F7" s="29" t="n">
        <f aca="false">INDEX(C_Price,A7)*(1+D7)^(E7-1)</f>
        <v>13.005</v>
      </c>
      <c r="G7" s="29" t="n">
        <f aca="false">F7*Gongsi</f>
        <v>8.97345</v>
      </c>
      <c r="H7" s="29" t="n">
        <f aca="false">G7*FairProp</f>
        <v>5.38407</v>
      </c>
      <c r="I7" s="37" t="n">
        <f aca="false">IF(G7&lt;=SpcLimit,SUMPRODUCT((H7&gt;SLo)*(H7-SLo)*SD),SUMPRODUCT((H7&gt;GLo)*(H7-GLo)*GD))</f>
        <v>0.012544245</v>
      </c>
      <c r="J7" s="37" t="n">
        <f aca="false">H7*CityRate</f>
        <v>0.007537698</v>
      </c>
      <c r="K7" s="37" t="n">
        <f aca="false">I7*EduProp</f>
        <v>0.002508849</v>
      </c>
      <c r="L7" s="29" t="n">
        <f aca="false">MAX(0,(G7-JongDeduct)*FairJong)</f>
        <v>0</v>
      </c>
      <c r="M7" s="37" t="n">
        <f aca="false">SUMPRODUCT((L7&gt;JLo)*(L7-JLo)*JD)</f>
        <v>0</v>
      </c>
      <c r="N7" s="37" t="n">
        <f aca="false">M7*NongJong</f>
        <v>0</v>
      </c>
      <c r="O7" s="38" t="n">
        <f aca="false">I7+J7+K7+M7+N7</f>
        <v>0.022590792</v>
      </c>
    </row>
    <row r="8" customFormat="false" ht="15" hidden="false" customHeight="false" outlineLevel="0" collapsed="false">
      <c r="A8" s="21" t="n">
        <v>1</v>
      </c>
      <c r="B8" s="36" t="str">
        <f aca="false">INDEX(C_Name,A8)</f>
        <v>문래동 대단지 (단지 미특정, 입력 필요)</v>
      </c>
      <c r="C8" s="21" t="n">
        <v>1</v>
      </c>
      <c r="D8" s="8" t="n">
        <f aca="false">CHOOSE(C8,G1,G2,G3)</f>
        <v>0.02</v>
      </c>
      <c r="E8" s="21" t="n">
        <v>4</v>
      </c>
      <c r="F8" s="29" t="n">
        <f aca="false">INDEX(C_Price,A8)*(1+D8)^(E8-1)</f>
        <v>13.2651</v>
      </c>
      <c r="G8" s="29" t="n">
        <f aca="false">F8*Gongsi</f>
        <v>9.152919</v>
      </c>
      <c r="H8" s="29" t="n">
        <f aca="false">G8*FairProp</f>
        <v>5.4917514</v>
      </c>
      <c r="I8" s="37" t="n">
        <f aca="false">IF(G8&lt;=SpcLimit,SUMPRODUCT((H8&gt;SLo)*(H8-SLo)*SD),SUMPRODUCT((H8&gt;GLo)*(H8-GLo)*GD))</f>
        <v>0.0156670056</v>
      </c>
      <c r="J8" s="37" t="n">
        <f aca="false">H8*CityRate</f>
        <v>0.00768845196</v>
      </c>
      <c r="K8" s="37" t="n">
        <f aca="false">I8*EduProp</f>
        <v>0.00313340112</v>
      </c>
      <c r="L8" s="29" t="n">
        <f aca="false">MAX(0,(G8-JongDeduct)*FairJong)</f>
        <v>0</v>
      </c>
      <c r="M8" s="37" t="n">
        <f aca="false">SUMPRODUCT((L8&gt;JLo)*(L8-JLo)*JD)</f>
        <v>0</v>
      </c>
      <c r="N8" s="37" t="n">
        <f aca="false">M8*NongJong</f>
        <v>0</v>
      </c>
      <c r="O8" s="38" t="n">
        <f aca="false">I8+J8+K8+M8+N8</f>
        <v>0.02648885868</v>
      </c>
    </row>
    <row r="9" customFormat="false" ht="15" hidden="false" customHeight="false" outlineLevel="0" collapsed="false">
      <c r="A9" s="21" t="n">
        <v>1</v>
      </c>
      <c r="B9" s="36" t="str">
        <f aca="false">INDEX(C_Name,A9)</f>
        <v>문래동 대단지 (단지 미특정, 입력 필요)</v>
      </c>
      <c r="C9" s="21" t="n">
        <v>1</v>
      </c>
      <c r="D9" s="8" t="n">
        <f aca="false">CHOOSE(C9,G1,G2,G3)</f>
        <v>0.02</v>
      </c>
      <c r="E9" s="21" t="n">
        <v>5</v>
      </c>
      <c r="F9" s="29" t="n">
        <f aca="false">INDEX(C_Price,A9)*(1+D9)^(E9-1)</f>
        <v>13.530402</v>
      </c>
      <c r="G9" s="29" t="n">
        <f aca="false">F9*Gongsi</f>
        <v>9.33597738</v>
      </c>
      <c r="H9" s="29" t="n">
        <f aca="false">G9*FairProp</f>
        <v>5.601586428</v>
      </c>
      <c r="I9" s="37" t="n">
        <f aca="false">IF(G9&lt;=SpcLimit,SUMPRODUCT((H9&gt;SLo)*(H9-SLo)*SD),SUMPRODUCT((H9&gt;GLo)*(H9-GLo)*GD))</f>
        <v>0.016106345712</v>
      </c>
      <c r="J9" s="37" t="n">
        <f aca="false">H9*CityRate</f>
        <v>0.0078422209992</v>
      </c>
      <c r="K9" s="37" t="n">
        <f aca="false">I9*EduProp</f>
        <v>0.0032212691424</v>
      </c>
      <c r="L9" s="29" t="n">
        <f aca="false">MAX(0,(G9-JongDeduct)*FairJong)</f>
        <v>0</v>
      </c>
      <c r="M9" s="37" t="n">
        <f aca="false">SUMPRODUCT((L9&gt;JLo)*(L9-JLo)*JD)</f>
        <v>0</v>
      </c>
      <c r="N9" s="37" t="n">
        <f aca="false">M9*NongJong</f>
        <v>0</v>
      </c>
      <c r="O9" s="38" t="n">
        <f aca="false">I9+J9+K9+M9+N9</f>
        <v>0.0271698358536</v>
      </c>
    </row>
    <row r="10" customFormat="false" ht="15" hidden="false" customHeight="false" outlineLevel="0" collapsed="false">
      <c r="A10" s="21" t="n">
        <v>1</v>
      </c>
      <c r="B10" s="36" t="str">
        <f aca="false">INDEX(C_Name,A10)</f>
        <v>문래동 대단지 (단지 미특정, 입력 필요)</v>
      </c>
      <c r="C10" s="21" t="n">
        <v>1</v>
      </c>
      <c r="D10" s="8" t="n">
        <f aca="false">CHOOSE(C10,G1,G2,G3)</f>
        <v>0.02</v>
      </c>
      <c r="E10" s="21" t="n">
        <v>6</v>
      </c>
      <c r="F10" s="29" t="n">
        <f aca="false">INDEX(C_Price,A10)*(1+D10)^(E10-1)</f>
        <v>13.80101004</v>
      </c>
      <c r="G10" s="29" t="n">
        <f aca="false">F10*Gongsi</f>
        <v>9.5226969276</v>
      </c>
      <c r="H10" s="29" t="n">
        <f aca="false">G10*FairProp</f>
        <v>5.71361815656</v>
      </c>
      <c r="I10" s="37" t="n">
        <f aca="false">IF(G10&lt;=SpcLimit,SUMPRODUCT((H10&gt;SLo)*(H10-SLo)*SD),SUMPRODUCT((H10&gt;GLo)*(H10-GLo)*GD))</f>
        <v>0.01655447262624</v>
      </c>
      <c r="J10" s="37" t="n">
        <f aca="false">H10*CityRate</f>
        <v>0.007999065419184</v>
      </c>
      <c r="K10" s="37" t="n">
        <f aca="false">I10*EduProp</f>
        <v>0.003310894525248</v>
      </c>
      <c r="L10" s="29" t="n">
        <f aca="false">MAX(0,(G10-JongDeduct)*FairJong)</f>
        <v>0</v>
      </c>
      <c r="M10" s="37" t="n">
        <f aca="false">SUMPRODUCT((L10&gt;JLo)*(L10-JLo)*JD)</f>
        <v>0</v>
      </c>
      <c r="N10" s="37" t="n">
        <f aca="false">M10*NongJong</f>
        <v>0</v>
      </c>
      <c r="O10" s="38" t="n">
        <f aca="false">I10+J10+K10+M10+N10</f>
        <v>0.027864432570672</v>
      </c>
    </row>
    <row r="11" customFormat="false" ht="15" hidden="false" customHeight="false" outlineLevel="0" collapsed="false">
      <c r="A11" s="21" t="n">
        <v>1</v>
      </c>
      <c r="B11" s="36" t="str">
        <f aca="false">INDEX(C_Name,A11)</f>
        <v>문래동 대단지 (단지 미특정, 입력 필요)</v>
      </c>
      <c r="C11" s="21" t="n">
        <v>1</v>
      </c>
      <c r="D11" s="8" t="n">
        <f aca="false">CHOOSE(C11,G1,G2,G3)</f>
        <v>0.02</v>
      </c>
      <c r="E11" s="21" t="n">
        <v>7</v>
      </c>
      <c r="F11" s="29" t="n">
        <f aca="false">INDEX(C_Price,A11)*(1+D11)^(E11-1)</f>
        <v>14.0770302408</v>
      </c>
      <c r="G11" s="29" t="n">
        <f aca="false">F11*Gongsi</f>
        <v>9.713150866152</v>
      </c>
      <c r="H11" s="29" t="n">
        <f aca="false">G11*FairProp</f>
        <v>5.8278905196912</v>
      </c>
      <c r="I11" s="37" t="n">
        <f aca="false">IF(G11&lt;=SpcLimit,SUMPRODUCT((H11&gt;SLo)*(H11-SLo)*SD),SUMPRODUCT((H11&gt;GLo)*(H11-GLo)*GD))</f>
        <v>0.0170115620787648</v>
      </c>
      <c r="J11" s="37" t="n">
        <f aca="false">H11*CityRate</f>
        <v>0.00815904672756768</v>
      </c>
      <c r="K11" s="37" t="n">
        <f aca="false">I11*EduProp</f>
        <v>0.00340231241575296</v>
      </c>
      <c r="L11" s="29" t="n">
        <f aca="false">MAX(0,(G11-JongDeduct)*FairJong)</f>
        <v>0</v>
      </c>
      <c r="M11" s="37" t="n">
        <f aca="false">SUMPRODUCT((L11&gt;JLo)*(L11-JLo)*JD)</f>
        <v>0</v>
      </c>
      <c r="N11" s="37" t="n">
        <f aca="false">M11*NongJong</f>
        <v>0</v>
      </c>
      <c r="O11" s="38" t="n">
        <f aca="false">I11+J11+K11+M11+N11</f>
        <v>0.0285729212220854</v>
      </c>
    </row>
    <row r="12" customFormat="false" ht="15" hidden="false" customHeight="false" outlineLevel="0" collapsed="false">
      <c r="A12" s="21" t="n">
        <v>1</v>
      </c>
      <c r="B12" s="36" t="str">
        <f aca="false">INDEX(C_Name,A12)</f>
        <v>문래동 대단지 (단지 미특정, 입력 필요)</v>
      </c>
      <c r="C12" s="21" t="n">
        <v>1</v>
      </c>
      <c r="D12" s="8" t="n">
        <f aca="false">CHOOSE(C12,G1,G2,G3)</f>
        <v>0.02</v>
      </c>
      <c r="E12" s="21" t="n">
        <v>8</v>
      </c>
      <c r="F12" s="29" t="n">
        <f aca="false">INDEX(C_Price,A12)*(1+D12)^(E12-1)</f>
        <v>14.358570845616</v>
      </c>
      <c r="G12" s="29" t="n">
        <f aca="false">F12*Gongsi</f>
        <v>9.90741388347504</v>
      </c>
      <c r="H12" s="29" t="n">
        <f aca="false">G12*FairProp</f>
        <v>5.94444833008502</v>
      </c>
      <c r="I12" s="37" t="n">
        <f aca="false">IF(G12&lt;=SpcLimit,SUMPRODUCT((H12&gt;SLo)*(H12-SLo)*SD),SUMPRODUCT((H12&gt;GLo)*(H12-GLo)*GD))</f>
        <v>0.0174777933203401</v>
      </c>
      <c r="J12" s="37" t="n">
        <f aca="false">H12*CityRate</f>
        <v>0.00832222766211903</v>
      </c>
      <c r="K12" s="37" t="n">
        <f aca="false">I12*EduProp</f>
        <v>0.00349555866406802</v>
      </c>
      <c r="L12" s="29" t="n">
        <f aca="false">MAX(0,(G12-JongDeduct)*FairJong)</f>
        <v>0</v>
      </c>
      <c r="M12" s="37" t="n">
        <f aca="false">SUMPRODUCT((L12&gt;JLo)*(L12-JLo)*JD)</f>
        <v>0</v>
      </c>
      <c r="N12" s="37" t="n">
        <f aca="false">M12*NongJong</f>
        <v>0</v>
      </c>
      <c r="O12" s="38" t="n">
        <f aca="false">I12+J12+K12+M12+N12</f>
        <v>0.0292955796465271</v>
      </c>
    </row>
    <row r="13" customFormat="false" ht="15" hidden="false" customHeight="false" outlineLevel="0" collapsed="false">
      <c r="A13" s="21" t="n">
        <v>1</v>
      </c>
      <c r="B13" s="36" t="str">
        <f aca="false">INDEX(C_Name,A13)</f>
        <v>문래동 대단지 (단지 미특정, 입력 필요)</v>
      </c>
      <c r="C13" s="21" t="n">
        <v>1</v>
      </c>
      <c r="D13" s="8" t="n">
        <f aca="false">CHOOSE(C13,G1,G2,G3)</f>
        <v>0.02</v>
      </c>
      <c r="E13" s="21" t="n">
        <v>9</v>
      </c>
      <c r="F13" s="29" t="n">
        <f aca="false">INDEX(C_Price,A13)*(1+D13)^(E13-1)</f>
        <v>14.6457422625283</v>
      </c>
      <c r="G13" s="29" t="n">
        <f aca="false">F13*Gongsi</f>
        <v>10.1055621611445</v>
      </c>
      <c r="H13" s="29" t="n">
        <f aca="false">G13*FairProp</f>
        <v>6.06333729668672</v>
      </c>
      <c r="I13" s="37" t="n">
        <f aca="false">IF(G13&lt;=SpcLimit,SUMPRODUCT((H13&gt;SLo)*(H13-SLo)*SD),SUMPRODUCT((H13&gt;GLo)*(H13-GLo)*GD))</f>
        <v>0.0179533491867469</v>
      </c>
      <c r="J13" s="37" t="n">
        <f aca="false">H13*CityRate</f>
        <v>0.00848867221536141</v>
      </c>
      <c r="K13" s="37" t="n">
        <f aca="false">I13*EduProp</f>
        <v>0.00359066983734938</v>
      </c>
      <c r="L13" s="29" t="n">
        <f aca="false">MAX(0,(G13-JongDeduct)*FairJong)</f>
        <v>0</v>
      </c>
      <c r="M13" s="37" t="n">
        <f aca="false">SUMPRODUCT((L13&gt;JLo)*(L13-JLo)*JD)</f>
        <v>0</v>
      </c>
      <c r="N13" s="37" t="n">
        <f aca="false">M13*NongJong</f>
        <v>0</v>
      </c>
      <c r="O13" s="38" t="n">
        <f aca="false">I13+J13+K13+M13+N13</f>
        <v>0.0300326912394577</v>
      </c>
    </row>
    <row r="14" customFormat="false" ht="15" hidden="false" customHeight="false" outlineLevel="0" collapsed="false">
      <c r="A14" s="21" t="n">
        <v>1</v>
      </c>
      <c r="B14" s="36" t="str">
        <f aca="false">INDEX(C_Name,A14)</f>
        <v>문래동 대단지 (단지 미특정, 입력 필요)</v>
      </c>
      <c r="C14" s="21" t="n">
        <v>1</v>
      </c>
      <c r="D14" s="8" t="n">
        <f aca="false">CHOOSE(C14,G1,G2,G3)</f>
        <v>0.02</v>
      </c>
      <c r="E14" s="21" t="n">
        <v>10</v>
      </c>
      <c r="F14" s="29" t="n">
        <f aca="false">INDEX(C_Price,A14)*(1+D14)^(E14-1)</f>
        <v>14.9386571077789</v>
      </c>
      <c r="G14" s="29" t="n">
        <f aca="false">F14*Gongsi</f>
        <v>10.3076734043674</v>
      </c>
      <c r="H14" s="29" t="n">
        <f aca="false">G14*FairProp</f>
        <v>6.18460404262046</v>
      </c>
      <c r="I14" s="37" t="n">
        <f aca="false">IF(G14&lt;=SpcLimit,SUMPRODUCT((H14&gt;SLo)*(H14-SLo)*SD),SUMPRODUCT((H14&gt;GLo)*(H14-GLo)*GD))</f>
        <v>0.0184384161704818</v>
      </c>
      <c r="J14" s="37" t="n">
        <f aca="false">H14*CityRate</f>
        <v>0.00865844565966864</v>
      </c>
      <c r="K14" s="37" t="n">
        <f aca="false">I14*EduProp</f>
        <v>0.00368768323409637</v>
      </c>
      <c r="L14" s="29" t="n">
        <f aca="false">MAX(0,(G14-JongDeduct)*FairJong)</f>
        <v>0</v>
      </c>
      <c r="M14" s="37" t="n">
        <f aca="false">SUMPRODUCT((L14&gt;JLo)*(L14-JLo)*JD)</f>
        <v>0</v>
      </c>
      <c r="N14" s="37" t="n">
        <f aca="false">M14*NongJong</f>
        <v>0</v>
      </c>
      <c r="O14" s="38" t="n">
        <f aca="false">I14+J14+K14+M14+N14</f>
        <v>0.0307845450642469</v>
      </c>
    </row>
    <row r="15" customFormat="false" ht="15" hidden="false" customHeight="false" outlineLevel="0" collapsed="false">
      <c r="A15" s="21" t="n">
        <v>1</v>
      </c>
      <c r="B15" s="36" t="str">
        <f aca="false">INDEX(C_Name,A15)</f>
        <v>문래동 대단지 (단지 미특정, 입력 필요)</v>
      </c>
      <c r="C15" s="21" t="n">
        <v>2</v>
      </c>
      <c r="D15" s="8" t="n">
        <f aca="false">CHOOSE(C15,G1,G2,G3)</f>
        <v>0.04</v>
      </c>
      <c r="E15" s="21" t="n">
        <v>1</v>
      </c>
      <c r="F15" s="29" t="n">
        <f aca="false">INDEX(C_Price,A15)*(1+D15)^(E15-1)</f>
        <v>12.5</v>
      </c>
      <c r="G15" s="29" t="n">
        <f aca="false">F15*Gongsi</f>
        <v>8.625</v>
      </c>
      <c r="H15" s="29" t="n">
        <f aca="false">G15*FairProp</f>
        <v>5.175</v>
      </c>
      <c r="I15" s="37" t="n">
        <f aca="false">IF(G15&lt;=SpcLimit,SUMPRODUCT((H15&gt;SLo)*(H15-SLo)*SD),SUMPRODUCT((H15&gt;GLo)*(H15-GLo)*GD))</f>
        <v>0.0118125</v>
      </c>
      <c r="J15" s="37" t="n">
        <f aca="false">H15*CityRate</f>
        <v>0.007245</v>
      </c>
      <c r="K15" s="37" t="n">
        <f aca="false">I15*EduProp</f>
        <v>0.0023625</v>
      </c>
      <c r="L15" s="29" t="n">
        <f aca="false">MAX(0,(G15-JongDeduct)*FairJong)</f>
        <v>0</v>
      </c>
      <c r="M15" s="37" t="n">
        <f aca="false">SUMPRODUCT((L15&gt;JLo)*(L15-JLo)*JD)</f>
        <v>0</v>
      </c>
      <c r="N15" s="37" t="n">
        <f aca="false">M15*NongJong</f>
        <v>0</v>
      </c>
      <c r="O15" s="38" t="n">
        <f aca="false">I15+J15+K15+M15+N15</f>
        <v>0.02142</v>
      </c>
    </row>
    <row r="16" customFormat="false" ht="15" hidden="false" customHeight="false" outlineLevel="0" collapsed="false">
      <c r="A16" s="21" t="n">
        <v>1</v>
      </c>
      <c r="B16" s="36" t="str">
        <f aca="false">INDEX(C_Name,A16)</f>
        <v>문래동 대단지 (단지 미특정, 입력 필요)</v>
      </c>
      <c r="C16" s="21" t="n">
        <v>2</v>
      </c>
      <c r="D16" s="8" t="n">
        <f aca="false">CHOOSE(C16,G1,G2,G3)</f>
        <v>0.04</v>
      </c>
      <c r="E16" s="21" t="n">
        <v>2</v>
      </c>
      <c r="F16" s="29" t="n">
        <f aca="false">INDEX(C_Price,A16)*(1+D16)^(E16-1)</f>
        <v>13</v>
      </c>
      <c r="G16" s="29" t="n">
        <f aca="false">F16*Gongsi</f>
        <v>8.97</v>
      </c>
      <c r="H16" s="29" t="n">
        <f aca="false">G16*FairProp</f>
        <v>5.382</v>
      </c>
      <c r="I16" s="37" t="n">
        <f aca="false">IF(G16&lt;=SpcLimit,SUMPRODUCT((H16&gt;SLo)*(H16-SLo)*SD),SUMPRODUCT((H16&gt;GLo)*(H16-GLo)*GD))</f>
        <v>0.012537</v>
      </c>
      <c r="J16" s="37" t="n">
        <f aca="false">H16*CityRate</f>
        <v>0.0075348</v>
      </c>
      <c r="K16" s="37" t="n">
        <f aca="false">I16*EduProp</f>
        <v>0.0025074</v>
      </c>
      <c r="L16" s="29" t="n">
        <f aca="false">MAX(0,(G16-JongDeduct)*FairJong)</f>
        <v>0</v>
      </c>
      <c r="M16" s="37" t="n">
        <f aca="false">SUMPRODUCT((L16&gt;JLo)*(L16-JLo)*JD)</f>
        <v>0</v>
      </c>
      <c r="N16" s="37" t="n">
        <f aca="false">M16*NongJong</f>
        <v>0</v>
      </c>
      <c r="O16" s="38" t="n">
        <f aca="false">I16+J16+K16+M16+N16</f>
        <v>0.0225792</v>
      </c>
    </row>
    <row r="17" customFormat="false" ht="15" hidden="false" customHeight="false" outlineLevel="0" collapsed="false">
      <c r="A17" s="21" t="n">
        <v>1</v>
      </c>
      <c r="B17" s="36" t="str">
        <f aca="false">INDEX(C_Name,A17)</f>
        <v>문래동 대단지 (단지 미특정, 입력 필요)</v>
      </c>
      <c r="C17" s="21" t="n">
        <v>2</v>
      </c>
      <c r="D17" s="8" t="n">
        <f aca="false">CHOOSE(C17,G1,G2,G3)</f>
        <v>0.04</v>
      </c>
      <c r="E17" s="21" t="n">
        <v>3</v>
      </c>
      <c r="F17" s="29" t="n">
        <f aca="false">INDEX(C_Price,A17)*(1+D17)^(E17-1)</f>
        <v>13.52</v>
      </c>
      <c r="G17" s="29" t="n">
        <f aca="false">F17*Gongsi</f>
        <v>9.3288</v>
      </c>
      <c r="H17" s="29" t="n">
        <f aca="false">G17*FairProp</f>
        <v>5.59728</v>
      </c>
      <c r="I17" s="37" t="n">
        <f aca="false">IF(G17&lt;=SpcLimit,SUMPRODUCT((H17&gt;SLo)*(H17-SLo)*SD),SUMPRODUCT((H17&gt;GLo)*(H17-GLo)*GD))</f>
        <v>0.01608912</v>
      </c>
      <c r="J17" s="37" t="n">
        <f aca="false">H17*CityRate</f>
        <v>0.007836192</v>
      </c>
      <c r="K17" s="37" t="n">
        <f aca="false">I17*EduProp</f>
        <v>0.003217824</v>
      </c>
      <c r="L17" s="29" t="n">
        <f aca="false">MAX(0,(G17-JongDeduct)*FairJong)</f>
        <v>0</v>
      </c>
      <c r="M17" s="37" t="n">
        <f aca="false">SUMPRODUCT((L17&gt;JLo)*(L17-JLo)*JD)</f>
        <v>0</v>
      </c>
      <c r="N17" s="37" t="n">
        <f aca="false">M17*NongJong</f>
        <v>0</v>
      </c>
      <c r="O17" s="38" t="n">
        <f aca="false">I17+J17+K17+M17+N17</f>
        <v>0.027143136</v>
      </c>
    </row>
    <row r="18" customFormat="false" ht="15" hidden="false" customHeight="false" outlineLevel="0" collapsed="false">
      <c r="A18" s="21" t="n">
        <v>1</v>
      </c>
      <c r="B18" s="36" t="str">
        <f aca="false">INDEX(C_Name,A18)</f>
        <v>문래동 대단지 (단지 미특정, 입력 필요)</v>
      </c>
      <c r="C18" s="21" t="n">
        <v>2</v>
      </c>
      <c r="D18" s="8" t="n">
        <f aca="false">CHOOSE(C18,G1,G2,G3)</f>
        <v>0.04</v>
      </c>
      <c r="E18" s="21" t="n">
        <v>4</v>
      </c>
      <c r="F18" s="29" t="n">
        <f aca="false">INDEX(C_Price,A18)*(1+D18)^(E18-1)</f>
        <v>14.0608</v>
      </c>
      <c r="G18" s="29" t="n">
        <f aca="false">F18*Gongsi</f>
        <v>9.701952</v>
      </c>
      <c r="H18" s="29" t="n">
        <f aca="false">G18*FairProp</f>
        <v>5.8211712</v>
      </c>
      <c r="I18" s="37" t="n">
        <f aca="false">IF(G18&lt;=SpcLimit,SUMPRODUCT((H18&gt;SLo)*(H18-SLo)*SD),SUMPRODUCT((H18&gt;GLo)*(H18-GLo)*GD))</f>
        <v>0.0169846848</v>
      </c>
      <c r="J18" s="37" t="n">
        <f aca="false">H18*CityRate</f>
        <v>0.00814963968</v>
      </c>
      <c r="K18" s="37" t="n">
        <f aca="false">I18*EduProp</f>
        <v>0.00339693696</v>
      </c>
      <c r="L18" s="29" t="n">
        <f aca="false">MAX(0,(G18-JongDeduct)*FairJong)</f>
        <v>0</v>
      </c>
      <c r="M18" s="37" t="n">
        <f aca="false">SUMPRODUCT((L18&gt;JLo)*(L18-JLo)*JD)</f>
        <v>0</v>
      </c>
      <c r="N18" s="37" t="n">
        <f aca="false">M18*NongJong</f>
        <v>0</v>
      </c>
      <c r="O18" s="38" t="n">
        <f aca="false">I18+J18+K18+M18+N18</f>
        <v>0.02853126144</v>
      </c>
    </row>
    <row r="19" customFormat="false" ht="15" hidden="false" customHeight="false" outlineLevel="0" collapsed="false">
      <c r="A19" s="21" t="n">
        <v>1</v>
      </c>
      <c r="B19" s="36" t="str">
        <f aca="false">INDEX(C_Name,A19)</f>
        <v>문래동 대단지 (단지 미특정, 입력 필요)</v>
      </c>
      <c r="C19" s="21" t="n">
        <v>2</v>
      </c>
      <c r="D19" s="8" t="n">
        <f aca="false">CHOOSE(C19,G1,G2,G3)</f>
        <v>0.04</v>
      </c>
      <c r="E19" s="21" t="n">
        <v>5</v>
      </c>
      <c r="F19" s="29" t="n">
        <f aca="false">INDEX(C_Price,A19)*(1+D19)^(E19-1)</f>
        <v>14.623232</v>
      </c>
      <c r="G19" s="29" t="n">
        <f aca="false">F19*Gongsi</f>
        <v>10.09003008</v>
      </c>
      <c r="H19" s="29" t="n">
        <f aca="false">G19*FairProp</f>
        <v>6.054018048</v>
      </c>
      <c r="I19" s="37" t="n">
        <f aca="false">IF(G19&lt;=SpcLimit,SUMPRODUCT((H19&gt;SLo)*(H19-SLo)*SD),SUMPRODUCT((H19&gt;GLo)*(H19-GLo)*GD))</f>
        <v>0.017916072192</v>
      </c>
      <c r="J19" s="37" t="n">
        <f aca="false">H19*CityRate</f>
        <v>0.0084756252672</v>
      </c>
      <c r="K19" s="37" t="n">
        <f aca="false">I19*EduProp</f>
        <v>0.0035832144384</v>
      </c>
      <c r="L19" s="29" t="n">
        <f aca="false">MAX(0,(G19-JongDeduct)*FairJong)</f>
        <v>0</v>
      </c>
      <c r="M19" s="37" t="n">
        <f aca="false">SUMPRODUCT((L19&gt;JLo)*(L19-JLo)*JD)</f>
        <v>0</v>
      </c>
      <c r="N19" s="37" t="n">
        <f aca="false">M19*NongJong</f>
        <v>0</v>
      </c>
      <c r="O19" s="38" t="n">
        <f aca="false">I19+J19+K19+M19+N19</f>
        <v>0.0299749118976</v>
      </c>
    </row>
    <row r="20" customFormat="false" ht="15" hidden="false" customHeight="false" outlineLevel="0" collapsed="false">
      <c r="A20" s="21" t="n">
        <v>1</v>
      </c>
      <c r="B20" s="36" t="str">
        <f aca="false">INDEX(C_Name,A20)</f>
        <v>문래동 대단지 (단지 미특정, 입력 필요)</v>
      </c>
      <c r="C20" s="21" t="n">
        <v>2</v>
      </c>
      <c r="D20" s="8" t="n">
        <f aca="false">CHOOSE(C20,G1,G2,G3)</f>
        <v>0.04</v>
      </c>
      <c r="E20" s="21" t="n">
        <v>6</v>
      </c>
      <c r="F20" s="29" t="n">
        <f aca="false">INDEX(C_Price,A20)*(1+D20)^(E20-1)</f>
        <v>15.20816128</v>
      </c>
      <c r="G20" s="29" t="n">
        <f aca="false">F20*Gongsi</f>
        <v>10.4936312832</v>
      </c>
      <c r="H20" s="29" t="n">
        <f aca="false">G20*FairProp</f>
        <v>6.29617876992</v>
      </c>
      <c r="I20" s="37" t="n">
        <f aca="false">IF(G20&lt;=SpcLimit,SUMPRODUCT((H20&gt;SLo)*(H20-SLo)*SD),SUMPRODUCT((H20&gt;GLo)*(H20-GLo)*GD))</f>
        <v>0.01888471507968</v>
      </c>
      <c r="J20" s="37" t="n">
        <f aca="false">H20*CityRate</f>
        <v>0.008814650277888</v>
      </c>
      <c r="K20" s="37" t="n">
        <f aca="false">I20*EduProp</f>
        <v>0.003776943015936</v>
      </c>
      <c r="L20" s="29" t="n">
        <f aca="false">MAX(0,(G20-JongDeduct)*FairJong)</f>
        <v>0</v>
      </c>
      <c r="M20" s="37" t="n">
        <f aca="false">SUMPRODUCT((L20&gt;JLo)*(L20-JLo)*JD)</f>
        <v>0</v>
      </c>
      <c r="N20" s="37" t="n">
        <f aca="false">M20*NongJong</f>
        <v>0</v>
      </c>
      <c r="O20" s="38" t="n">
        <f aca="false">I20+J20+K20+M20+N20</f>
        <v>0.031476308373504</v>
      </c>
    </row>
    <row r="21" customFormat="false" ht="15" hidden="false" customHeight="false" outlineLevel="0" collapsed="false">
      <c r="A21" s="21" t="n">
        <v>1</v>
      </c>
      <c r="B21" s="36" t="str">
        <f aca="false">INDEX(C_Name,A21)</f>
        <v>문래동 대단지 (단지 미특정, 입력 필요)</v>
      </c>
      <c r="C21" s="21" t="n">
        <v>2</v>
      </c>
      <c r="D21" s="8" t="n">
        <f aca="false">CHOOSE(C21,G1,G2,G3)</f>
        <v>0.04</v>
      </c>
      <c r="E21" s="21" t="n">
        <v>7</v>
      </c>
      <c r="F21" s="29" t="n">
        <f aca="false">INDEX(C_Price,A21)*(1+D21)^(E21-1)</f>
        <v>15.8164877312</v>
      </c>
      <c r="G21" s="29" t="n">
        <f aca="false">F21*Gongsi</f>
        <v>10.913376534528</v>
      </c>
      <c r="H21" s="29" t="n">
        <f aca="false">G21*FairProp</f>
        <v>6.5480259207168</v>
      </c>
      <c r="I21" s="37" t="n">
        <f aca="false">IF(G21&lt;=SpcLimit,SUMPRODUCT((H21&gt;SLo)*(H21-SLo)*SD),SUMPRODUCT((H21&gt;GLo)*(H21-GLo)*GD))</f>
        <v>0.0198921036828672</v>
      </c>
      <c r="J21" s="37" t="n">
        <f aca="false">H21*CityRate</f>
        <v>0.00916723628900352</v>
      </c>
      <c r="K21" s="37" t="n">
        <f aca="false">I21*EduProp</f>
        <v>0.00397842073657344</v>
      </c>
      <c r="L21" s="29" t="n">
        <f aca="false">MAX(0,(G21-JongDeduct)*FairJong)</f>
        <v>0</v>
      </c>
      <c r="M21" s="37" t="n">
        <f aca="false">SUMPRODUCT((L21&gt;JLo)*(L21-JLo)*JD)</f>
        <v>0</v>
      </c>
      <c r="N21" s="37" t="n">
        <f aca="false">M21*NongJong</f>
        <v>0</v>
      </c>
      <c r="O21" s="38" t="n">
        <f aca="false">I21+J21+K21+M21+N21</f>
        <v>0.0330377607084442</v>
      </c>
    </row>
    <row r="22" customFormat="false" ht="15" hidden="false" customHeight="false" outlineLevel="0" collapsed="false">
      <c r="A22" s="21" t="n">
        <v>1</v>
      </c>
      <c r="B22" s="36" t="str">
        <f aca="false">INDEX(C_Name,A22)</f>
        <v>문래동 대단지 (단지 미특정, 입력 필요)</v>
      </c>
      <c r="C22" s="21" t="n">
        <v>2</v>
      </c>
      <c r="D22" s="8" t="n">
        <f aca="false">CHOOSE(C22,G1,G2,G3)</f>
        <v>0.04</v>
      </c>
      <c r="E22" s="21" t="n">
        <v>8</v>
      </c>
      <c r="F22" s="29" t="n">
        <f aca="false">INDEX(C_Price,A22)*(1+D22)^(E22-1)</f>
        <v>16.449147240448</v>
      </c>
      <c r="G22" s="29" t="n">
        <f aca="false">F22*Gongsi</f>
        <v>11.3499115959091</v>
      </c>
      <c r="H22" s="29" t="n">
        <f aca="false">G22*FairProp</f>
        <v>6.80994695754547</v>
      </c>
      <c r="I22" s="37" t="n">
        <f aca="false">IF(G22&lt;=SpcLimit,SUMPRODUCT((H22&gt;SLo)*(H22-SLo)*SD),SUMPRODUCT((H22&gt;GLo)*(H22-GLo)*GD))</f>
        <v>0.0209397878301819</v>
      </c>
      <c r="J22" s="37" t="n">
        <f aca="false">H22*CityRate</f>
        <v>0.00953392574056366</v>
      </c>
      <c r="K22" s="37" t="n">
        <f aca="false">I22*EduProp</f>
        <v>0.00418795756603638</v>
      </c>
      <c r="L22" s="29" t="n">
        <f aca="false">MAX(0,(G22-JongDeduct)*FairJong)</f>
        <v>0</v>
      </c>
      <c r="M22" s="37" t="n">
        <f aca="false">SUMPRODUCT((L22&gt;JLo)*(L22-JLo)*JD)</f>
        <v>0</v>
      </c>
      <c r="N22" s="37" t="n">
        <f aca="false">M22*NongJong</f>
        <v>0</v>
      </c>
      <c r="O22" s="38" t="n">
        <f aca="false">I22+J22+K22+M22+N22</f>
        <v>0.0346616711367819</v>
      </c>
    </row>
    <row r="23" customFormat="false" ht="15" hidden="false" customHeight="false" outlineLevel="0" collapsed="false">
      <c r="A23" s="21" t="n">
        <v>1</v>
      </c>
      <c r="B23" s="36" t="str">
        <f aca="false">INDEX(C_Name,A23)</f>
        <v>문래동 대단지 (단지 미특정, 입력 필요)</v>
      </c>
      <c r="C23" s="21" t="n">
        <v>2</v>
      </c>
      <c r="D23" s="8" t="n">
        <f aca="false">CHOOSE(C23,G1,G2,G3)</f>
        <v>0.04</v>
      </c>
      <c r="E23" s="21" t="n">
        <v>9</v>
      </c>
      <c r="F23" s="29" t="n">
        <f aca="false">INDEX(C_Price,A23)*(1+D23)^(E23-1)</f>
        <v>17.1071131300659</v>
      </c>
      <c r="G23" s="29" t="n">
        <f aca="false">F23*Gongsi</f>
        <v>11.8039080597455</v>
      </c>
      <c r="H23" s="29" t="n">
        <f aca="false">G23*FairProp</f>
        <v>7.08234483584729</v>
      </c>
      <c r="I23" s="37" t="n">
        <f aca="false">IF(G23&lt;=SpcLimit,SUMPRODUCT((H23&gt;SLo)*(H23-SLo)*SD),SUMPRODUCT((H23&gt;GLo)*(H23-GLo)*GD))</f>
        <v>0.0220293793433892</v>
      </c>
      <c r="J23" s="37" t="n">
        <f aca="false">H23*CityRate</f>
        <v>0.00991528277018621</v>
      </c>
      <c r="K23" s="37" t="n">
        <f aca="false">I23*EduProp</f>
        <v>0.00440587586867783</v>
      </c>
      <c r="L23" s="29" t="n">
        <f aca="false">MAX(0,(G23-JongDeduct)*FairJong)</f>
        <v>0</v>
      </c>
      <c r="M23" s="37" t="n">
        <f aca="false">SUMPRODUCT((L23&gt;JLo)*(L23-JLo)*JD)</f>
        <v>0</v>
      </c>
      <c r="N23" s="37" t="n">
        <f aca="false">M23*NongJong</f>
        <v>0</v>
      </c>
      <c r="O23" s="38" t="n">
        <f aca="false">I23+J23+K23+M23+N23</f>
        <v>0.0363505379822532</v>
      </c>
    </row>
    <row r="24" customFormat="false" ht="15" hidden="false" customHeight="false" outlineLevel="0" collapsed="false">
      <c r="A24" s="21" t="n">
        <v>1</v>
      </c>
      <c r="B24" s="36" t="str">
        <f aca="false">INDEX(C_Name,A24)</f>
        <v>문래동 대단지 (단지 미특정, 입력 필요)</v>
      </c>
      <c r="C24" s="21" t="n">
        <v>2</v>
      </c>
      <c r="D24" s="8" t="n">
        <f aca="false">CHOOSE(C24,G1,G2,G3)</f>
        <v>0.04</v>
      </c>
      <c r="E24" s="21" t="n">
        <v>10</v>
      </c>
      <c r="F24" s="29" t="n">
        <f aca="false">INDEX(C_Price,A24)*(1+D24)^(E24-1)</f>
        <v>17.7913976552686</v>
      </c>
      <c r="G24" s="29" t="n">
        <f aca="false">F24*Gongsi</f>
        <v>12.2760643821353</v>
      </c>
      <c r="H24" s="29" t="n">
        <f aca="false">G24*FairProp</f>
        <v>7.36563862928118</v>
      </c>
      <c r="I24" s="37" t="n">
        <f aca="false">IF(G24&lt;=SpcLimit,SUMPRODUCT((H24&gt;SLo)*(H24-SLo)*SD),SUMPRODUCT((H24&gt;GLo)*(H24-GLo)*GD))</f>
        <v>0.0231625545171247</v>
      </c>
      <c r="J24" s="37" t="n">
        <f aca="false">H24*CityRate</f>
        <v>0.0103118940809937</v>
      </c>
      <c r="K24" s="37" t="n">
        <f aca="false">I24*EduProp</f>
        <v>0.00463251090342495</v>
      </c>
      <c r="L24" s="29" t="n">
        <f aca="false">MAX(0,(G24-JongDeduct)*FairJong)</f>
        <v>0.165638629281184</v>
      </c>
      <c r="M24" s="37" t="n">
        <f aca="false">SUMPRODUCT((L24&gt;JLo)*(L24-JLo)*JD)</f>
        <v>0.000828193146405919</v>
      </c>
      <c r="N24" s="37" t="n">
        <f aca="false">M24*NongJong</f>
        <v>0.000165638629281184</v>
      </c>
      <c r="O24" s="38" t="n">
        <f aca="false">I24+J24+K24+M24+N24</f>
        <v>0.0391007912772304</v>
      </c>
    </row>
    <row r="25" customFormat="false" ht="15" hidden="false" customHeight="false" outlineLevel="0" collapsed="false">
      <c r="A25" s="21" t="n">
        <v>1</v>
      </c>
      <c r="B25" s="36" t="str">
        <f aca="false">INDEX(C_Name,A25)</f>
        <v>문래동 대단지 (단지 미특정, 입력 필요)</v>
      </c>
      <c r="C25" s="21" t="n">
        <v>3</v>
      </c>
      <c r="D25" s="8" t="n">
        <f aca="false">CHOOSE(C25,G1,G2,G3)</f>
        <v>0.06</v>
      </c>
      <c r="E25" s="21" t="n">
        <v>1</v>
      </c>
      <c r="F25" s="29" t="n">
        <f aca="false">INDEX(C_Price,A25)*(1+D25)^(E25-1)</f>
        <v>12.5</v>
      </c>
      <c r="G25" s="29" t="n">
        <f aca="false">F25*Gongsi</f>
        <v>8.625</v>
      </c>
      <c r="H25" s="29" t="n">
        <f aca="false">G25*FairProp</f>
        <v>5.175</v>
      </c>
      <c r="I25" s="37" t="n">
        <f aca="false">IF(G25&lt;=SpcLimit,SUMPRODUCT((H25&gt;SLo)*(H25-SLo)*SD),SUMPRODUCT((H25&gt;GLo)*(H25-GLo)*GD))</f>
        <v>0.0118125</v>
      </c>
      <c r="J25" s="37" t="n">
        <f aca="false">H25*CityRate</f>
        <v>0.007245</v>
      </c>
      <c r="K25" s="37" t="n">
        <f aca="false">I25*EduProp</f>
        <v>0.0023625</v>
      </c>
      <c r="L25" s="29" t="n">
        <f aca="false">MAX(0,(G25-JongDeduct)*FairJong)</f>
        <v>0</v>
      </c>
      <c r="M25" s="37" t="n">
        <f aca="false">SUMPRODUCT((L25&gt;JLo)*(L25-JLo)*JD)</f>
        <v>0</v>
      </c>
      <c r="N25" s="37" t="n">
        <f aca="false">M25*NongJong</f>
        <v>0</v>
      </c>
      <c r="O25" s="38" t="n">
        <f aca="false">I25+J25+K25+M25+N25</f>
        <v>0.02142</v>
      </c>
    </row>
    <row r="26" customFormat="false" ht="15" hidden="false" customHeight="false" outlineLevel="0" collapsed="false">
      <c r="A26" s="21" t="n">
        <v>1</v>
      </c>
      <c r="B26" s="36" t="str">
        <f aca="false">INDEX(C_Name,A26)</f>
        <v>문래동 대단지 (단지 미특정, 입력 필요)</v>
      </c>
      <c r="C26" s="21" t="n">
        <v>3</v>
      </c>
      <c r="D26" s="8" t="n">
        <f aca="false">CHOOSE(C26,G1,G2,G3)</f>
        <v>0.06</v>
      </c>
      <c r="E26" s="21" t="n">
        <v>2</v>
      </c>
      <c r="F26" s="29" t="n">
        <f aca="false">INDEX(C_Price,A26)*(1+D26)^(E26-1)</f>
        <v>13.25</v>
      </c>
      <c r="G26" s="29" t="n">
        <f aca="false">F26*Gongsi</f>
        <v>9.1425</v>
      </c>
      <c r="H26" s="29" t="n">
        <f aca="false">G26*FairProp</f>
        <v>5.4855</v>
      </c>
      <c r="I26" s="37" t="n">
        <f aca="false">IF(G26&lt;=SpcLimit,SUMPRODUCT((H26&gt;SLo)*(H26-SLo)*SD),SUMPRODUCT((H26&gt;GLo)*(H26-GLo)*GD))</f>
        <v>0.015642</v>
      </c>
      <c r="J26" s="37" t="n">
        <f aca="false">H26*CityRate</f>
        <v>0.0076797</v>
      </c>
      <c r="K26" s="37" t="n">
        <f aca="false">I26*EduProp</f>
        <v>0.0031284</v>
      </c>
      <c r="L26" s="29" t="n">
        <f aca="false">MAX(0,(G26-JongDeduct)*FairJong)</f>
        <v>0</v>
      </c>
      <c r="M26" s="37" t="n">
        <f aca="false">SUMPRODUCT((L26&gt;JLo)*(L26-JLo)*JD)</f>
        <v>0</v>
      </c>
      <c r="N26" s="37" t="n">
        <f aca="false">M26*NongJong</f>
        <v>0</v>
      </c>
      <c r="O26" s="38" t="n">
        <f aca="false">I26+J26+K26+M26+N26</f>
        <v>0.0264501</v>
      </c>
    </row>
    <row r="27" customFormat="false" ht="15" hidden="false" customHeight="false" outlineLevel="0" collapsed="false">
      <c r="A27" s="21" t="n">
        <v>1</v>
      </c>
      <c r="B27" s="36" t="str">
        <f aca="false">INDEX(C_Name,A27)</f>
        <v>문래동 대단지 (단지 미특정, 입력 필요)</v>
      </c>
      <c r="C27" s="21" t="n">
        <v>3</v>
      </c>
      <c r="D27" s="8" t="n">
        <f aca="false">CHOOSE(C27,G1,G2,G3)</f>
        <v>0.06</v>
      </c>
      <c r="E27" s="21" t="n">
        <v>3</v>
      </c>
      <c r="F27" s="29" t="n">
        <f aca="false">INDEX(C_Price,A27)*(1+D27)^(E27-1)</f>
        <v>14.045</v>
      </c>
      <c r="G27" s="29" t="n">
        <f aca="false">F27*Gongsi</f>
        <v>9.69105</v>
      </c>
      <c r="H27" s="29" t="n">
        <f aca="false">G27*FairProp</f>
        <v>5.81463</v>
      </c>
      <c r="I27" s="37" t="n">
        <f aca="false">IF(G27&lt;=SpcLimit,SUMPRODUCT((H27&gt;SLo)*(H27-SLo)*SD),SUMPRODUCT((H27&gt;GLo)*(H27-GLo)*GD))</f>
        <v>0.01695852</v>
      </c>
      <c r="J27" s="37" t="n">
        <f aca="false">H27*CityRate</f>
        <v>0.008140482</v>
      </c>
      <c r="K27" s="37" t="n">
        <f aca="false">I27*EduProp</f>
        <v>0.003391704</v>
      </c>
      <c r="L27" s="29" t="n">
        <f aca="false">MAX(0,(G27-JongDeduct)*FairJong)</f>
        <v>0</v>
      </c>
      <c r="M27" s="37" t="n">
        <f aca="false">SUMPRODUCT((L27&gt;JLo)*(L27-JLo)*JD)</f>
        <v>0</v>
      </c>
      <c r="N27" s="37" t="n">
        <f aca="false">M27*NongJong</f>
        <v>0</v>
      </c>
      <c r="O27" s="38" t="n">
        <f aca="false">I27+J27+K27+M27+N27</f>
        <v>0.028490706</v>
      </c>
    </row>
    <row r="28" customFormat="false" ht="15" hidden="false" customHeight="false" outlineLevel="0" collapsed="false">
      <c r="A28" s="21" t="n">
        <v>1</v>
      </c>
      <c r="B28" s="36" t="str">
        <f aca="false">INDEX(C_Name,A28)</f>
        <v>문래동 대단지 (단지 미특정, 입력 필요)</v>
      </c>
      <c r="C28" s="21" t="n">
        <v>3</v>
      </c>
      <c r="D28" s="8" t="n">
        <f aca="false">CHOOSE(C28,G1,G2,G3)</f>
        <v>0.06</v>
      </c>
      <c r="E28" s="21" t="n">
        <v>4</v>
      </c>
      <c r="F28" s="29" t="n">
        <f aca="false">INDEX(C_Price,A28)*(1+D28)^(E28-1)</f>
        <v>14.8877</v>
      </c>
      <c r="G28" s="29" t="n">
        <f aca="false">F28*Gongsi</f>
        <v>10.272513</v>
      </c>
      <c r="H28" s="29" t="n">
        <f aca="false">G28*FairProp</f>
        <v>6.1635078</v>
      </c>
      <c r="I28" s="37" t="n">
        <f aca="false">IF(G28&lt;=SpcLimit,SUMPRODUCT((H28&gt;SLo)*(H28-SLo)*SD),SUMPRODUCT((H28&gt;GLo)*(H28-GLo)*GD))</f>
        <v>0.0183540312</v>
      </c>
      <c r="J28" s="37" t="n">
        <f aca="false">H28*CityRate</f>
        <v>0.00862891092</v>
      </c>
      <c r="K28" s="37" t="n">
        <f aca="false">I28*EduProp</f>
        <v>0.00367080624</v>
      </c>
      <c r="L28" s="29" t="n">
        <f aca="false">MAX(0,(G28-JongDeduct)*FairJong)</f>
        <v>0</v>
      </c>
      <c r="M28" s="37" t="n">
        <f aca="false">SUMPRODUCT((L28&gt;JLo)*(L28-JLo)*JD)</f>
        <v>0</v>
      </c>
      <c r="N28" s="37" t="n">
        <f aca="false">M28*NongJong</f>
        <v>0</v>
      </c>
      <c r="O28" s="38" t="n">
        <f aca="false">I28+J28+K28+M28+N28</f>
        <v>0.03065374836</v>
      </c>
    </row>
    <row r="29" customFormat="false" ht="15" hidden="false" customHeight="false" outlineLevel="0" collapsed="false">
      <c r="A29" s="21" t="n">
        <v>1</v>
      </c>
      <c r="B29" s="36" t="str">
        <f aca="false">INDEX(C_Name,A29)</f>
        <v>문래동 대단지 (단지 미특정, 입력 필요)</v>
      </c>
      <c r="C29" s="21" t="n">
        <v>3</v>
      </c>
      <c r="D29" s="8" t="n">
        <f aca="false">CHOOSE(C29,G1,G2,G3)</f>
        <v>0.06</v>
      </c>
      <c r="E29" s="21" t="n">
        <v>5</v>
      </c>
      <c r="F29" s="29" t="n">
        <f aca="false">INDEX(C_Price,A29)*(1+D29)^(E29-1)</f>
        <v>15.780962</v>
      </c>
      <c r="G29" s="29" t="n">
        <f aca="false">F29*Gongsi</f>
        <v>10.88886378</v>
      </c>
      <c r="H29" s="29" t="n">
        <f aca="false">G29*FairProp</f>
        <v>6.533318268</v>
      </c>
      <c r="I29" s="37" t="n">
        <f aca="false">IF(G29&lt;=SpcLimit,SUMPRODUCT((H29&gt;SLo)*(H29-SLo)*SD),SUMPRODUCT((H29&gt;GLo)*(H29-GLo)*GD))</f>
        <v>0.019833273072</v>
      </c>
      <c r="J29" s="37" t="n">
        <f aca="false">H29*CityRate</f>
        <v>0.0091466455752</v>
      </c>
      <c r="K29" s="37" t="n">
        <f aca="false">I29*EduProp</f>
        <v>0.0039666546144</v>
      </c>
      <c r="L29" s="29" t="n">
        <f aca="false">MAX(0,(G29-JongDeduct)*FairJong)</f>
        <v>0</v>
      </c>
      <c r="M29" s="37" t="n">
        <f aca="false">SUMPRODUCT((L29&gt;JLo)*(L29-JLo)*JD)</f>
        <v>0</v>
      </c>
      <c r="N29" s="37" t="n">
        <f aca="false">M29*NongJong</f>
        <v>0</v>
      </c>
      <c r="O29" s="38" t="n">
        <f aca="false">I29+J29+K29+M29+N29</f>
        <v>0.0329465732616</v>
      </c>
    </row>
    <row r="30" customFormat="false" ht="15" hidden="false" customHeight="false" outlineLevel="0" collapsed="false">
      <c r="A30" s="21" t="n">
        <v>1</v>
      </c>
      <c r="B30" s="36" t="str">
        <f aca="false">INDEX(C_Name,A30)</f>
        <v>문래동 대단지 (단지 미특정, 입력 필요)</v>
      </c>
      <c r="C30" s="21" t="n">
        <v>3</v>
      </c>
      <c r="D30" s="8" t="n">
        <f aca="false">CHOOSE(C30,G1,G2,G3)</f>
        <v>0.06</v>
      </c>
      <c r="E30" s="21" t="n">
        <v>6</v>
      </c>
      <c r="F30" s="29" t="n">
        <f aca="false">INDEX(C_Price,A30)*(1+D30)^(E30-1)</f>
        <v>16.72781972</v>
      </c>
      <c r="G30" s="29" t="n">
        <f aca="false">F30*Gongsi</f>
        <v>11.5421956068</v>
      </c>
      <c r="H30" s="29" t="n">
        <f aca="false">G30*FairProp</f>
        <v>6.92531736408</v>
      </c>
      <c r="I30" s="37" t="n">
        <f aca="false">IF(G30&lt;=SpcLimit,SUMPRODUCT((H30&gt;SLo)*(H30-SLo)*SD),SUMPRODUCT((H30&gt;GLo)*(H30-GLo)*GD))</f>
        <v>0.02140126945632</v>
      </c>
      <c r="J30" s="37" t="n">
        <f aca="false">H30*CityRate</f>
        <v>0.009695444309712</v>
      </c>
      <c r="K30" s="37" t="n">
        <f aca="false">I30*EduProp</f>
        <v>0.004280253891264</v>
      </c>
      <c r="L30" s="29" t="n">
        <f aca="false">MAX(0,(G30-JongDeduct)*FairJong)</f>
        <v>0</v>
      </c>
      <c r="M30" s="37" t="n">
        <f aca="false">SUMPRODUCT((L30&gt;JLo)*(L30-JLo)*JD)</f>
        <v>0</v>
      </c>
      <c r="N30" s="37" t="n">
        <f aca="false">M30*NongJong</f>
        <v>0</v>
      </c>
      <c r="O30" s="38" t="n">
        <f aca="false">I30+J30+K30+M30+N30</f>
        <v>0.035376967657296</v>
      </c>
    </row>
    <row r="31" customFormat="false" ht="15" hidden="false" customHeight="false" outlineLevel="0" collapsed="false">
      <c r="A31" s="21" t="n">
        <v>1</v>
      </c>
      <c r="B31" s="36" t="str">
        <f aca="false">INDEX(C_Name,A31)</f>
        <v>문래동 대단지 (단지 미특정, 입력 필요)</v>
      </c>
      <c r="C31" s="21" t="n">
        <v>3</v>
      </c>
      <c r="D31" s="8" t="n">
        <f aca="false">CHOOSE(C31,G1,G2,G3)</f>
        <v>0.06</v>
      </c>
      <c r="E31" s="21" t="n">
        <v>7</v>
      </c>
      <c r="F31" s="29" t="n">
        <f aca="false">INDEX(C_Price,A31)*(1+D31)^(E31-1)</f>
        <v>17.7314889032</v>
      </c>
      <c r="G31" s="29" t="n">
        <f aca="false">F31*Gongsi</f>
        <v>12.234727343208</v>
      </c>
      <c r="H31" s="29" t="n">
        <f aca="false">G31*FairProp</f>
        <v>7.3408364059248</v>
      </c>
      <c r="I31" s="37" t="n">
        <f aca="false">IF(G31&lt;=SpcLimit,SUMPRODUCT((H31&gt;SLo)*(H31-SLo)*SD),SUMPRODUCT((H31&gt;GLo)*(H31-GLo)*GD))</f>
        <v>0.0230633456236992</v>
      </c>
      <c r="J31" s="37" t="n">
        <f aca="false">H31*CityRate</f>
        <v>0.0102771709682947</v>
      </c>
      <c r="K31" s="37" t="n">
        <f aca="false">I31*EduProp</f>
        <v>0.00461266912473984</v>
      </c>
      <c r="L31" s="29" t="n">
        <f aca="false">MAX(0,(G31-JongDeduct)*FairJong)</f>
        <v>0.140836405924802</v>
      </c>
      <c r="M31" s="37" t="n">
        <f aca="false">SUMPRODUCT((L31&gt;JLo)*(L31-JLo)*JD)</f>
        <v>0.000704182029624011</v>
      </c>
      <c r="N31" s="37" t="n">
        <f aca="false">M31*NongJong</f>
        <v>0.000140836405924802</v>
      </c>
      <c r="O31" s="38" t="n">
        <f aca="false">I31+J31+K31+M31+N31</f>
        <v>0.0387982041522826</v>
      </c>
    </row>
    <row r="32" customFormat="false" ht="15" hidden="false" customHeight="false" outlineLevel="0" collapsed="false">
      <c r="A32" s="21" t="n">
        <v>1</v>
      </c>
      <c r="B32" s="36" t="str">
        <f aca="false">INDEX(C_Name,A32)</f>
        <v>문래동 대단지 (단지 미특정, 입력 필요)</v>
      </c>
      <c r="C32" s="21" t="n">
        <v>3</v>
      </c>
      <c r="D32" s="8" t="n">
        <f aca="false">CHOOSE(C32,G1,G2,G3)</f>
        <v>0.06</v>
      </c>
      <c r="E32" s="21" t="n">
        <v>8</v>
      </c>
      <c r="F32" s="29" t="n">
        <f aca="false">INDEX(C_Price,A32)*(1+D32)^(E32-1)</f>
        <v>18.795378237392</v>
      </c>
      <c r="G32" s="29" t="n">
        <f aca="false">F32*Gongsi</f>
        <v>12.9688109838005</v>
      </c>
      <c r="H32" s="29" t="n">
        <f aca="false">G32*FairProp</f>
        <v>7.78128659028029</v>
      </c>
      <c r="I32" s="37" t="n">
        <f aca="false">IF(G32&lt;=SpcLimit,SUMPRODUCT((H32&gt;SLo)*(H32-SLo)*SD),SUMPRODUCT((H32&gt;GLo)*(H32-GLo)*GD))</f>
        <v>0.0248251463611212</v>
      </c>
      <c r="J32" s="37" t="n">
        <f aca="false">H32*CityRate</f>
        <v>0.0108938012263924</v>
      </c>
      <c r="K32" s="37" t="n">
        <f aca="false">I32*EduProp</f>
        <v>0.00496502927222423</v>
      </c>
      <c r="L32" s="29" t="n">
        <f aca="false">MAX(0,(G32-JongDeduct)*FairJong)</f>
        <v>0.581286590280291</v>
      </c>
      <c r="M32" s="37" t="n">
        <f aca="false">SUMPRODUCT((L32&gt;JLo)*(L32-JLo)*JD)</f>
        <v>0.00290643295140145</v>
      </c>
      <c r="N32" s="37" t="n">
        <f aca="false">M32*NongJong</f>
        <v>0.000581286590280291</v>
      </c>
      <c r="O32" s="38" t="n">
        <f aca="false">I32+J32+K32+M32+N32</f>
        <v>0.0441716964014195</v>
      </c>
    </row>
    <row r="33" customFormat="false" ht="15" hidden="false" customHeight="false" outlineLevel="0" collapsed="false">
      <c r="A33" s="21" t="n">
        <v>1</v>
      </c>
      <c r="B33" s="36" t="str">
        <f aca="false">INDEX(C_Name,A33)</f>
        <v>문래동 대단지 (단지 미특정, 입력 필요)</v>
      </c>
      <c r="C33" s="21" t="n">
        <v>3</v>
      </c>
      <c r="D33" s="8" t="n">
        <f aca="false">CHOOSE(C33,G1,G2,G3)</f>
        <v>0.06</v>
      </c>
      <c r="E33" s="21" t="n">
        <v>9</v>
      </c>
      <c r="F33" s="29" t="n">
        <f aca="false">INDEX(C_Price,A33)*(1+D33)^(E33-1)</f>
        <v>19.9231009316355</v>
      </c>
      <c r="G33" s="29" t="n">
        <f aca="false">F33*Gongsi</f>
        <v>13.7469396428285</v>
      </c>
      <c r="H33" s="29" t="n">
        <f aca="false">G33*FairProp</f>
        <v>8.24816378569711</v>
      </c>
      <c r="I33" s="37" t="n">
        <f aca="false">IF(G33&lt;=SpcLimit,SUMPRODUCT((H33&gt;SLo)*(H33-SLo)*SD),SUMPRODUCT((H33&gt;GLo)*(H33-GLo)*GD))</f>
        <v>0.0266926551427884</v>
      </c>
      <c r="J33" s="37" t="n">
        <f aca="false">H33*CityRate</f>
        <v>0.011547429299976</v>
      </c>
      <c r="K33" s="37" t="n">
        <f aca="false">I33*EduProp</f>
        <v>0.00533853102855769</v>
      </c>
      <c r="L33" s="29" t="n">
        <f aca="false">MAX(0,(G33-JongDeduct)*FairJong)</f>
        <v>1.04816378569711</v>
      </c>
      <c r="M33" s="37" t="n">
        <f aca="false">SUMPRODUCT((L33&gt;JLo)*(L33-JLo)*JD)</f>
        <v>0.00524081892848554</v>
      </c>
      <c r="N33" s="37" t="n">
        <f aca="false">M33*NongJong</f>
        <v>0.00104816378569711</v>
      </c>
      <c r="O33" s="38" t="n">
        <f aca="false">I33+J33+K33+M33+N33</f>
        <v>0.0498675981855047</v>
      </c>
    </row>
    <row r="34" customFormat="false" ht="15" hidden="false" customHeight="false" outlineLevel="0" collapsed="false">
      <c r="A34" s="21" t="n">
        <v>1</v>
      </c>
      <c r="B34" s="36" t="str">
        <f aca="false">INDEX(C_Name,A34)</f>
        <v>문래동 대단지 (단지 미특정, 입력 필요)</v>
      </c>
      <c r="C34" s="21" t="n">
        <v>3</v>
      </c>
      <c r="D34" s="8" t="n">
        <f aca="false">CHOOSE(C34,G1,G2,G3)</f>
        <v>0.06</v>
      </c>
      <c r="E34" s="21" t="n">
        <v>10</v>
      </c>
      <c r="F34" s="29" t="n">
        <f aca="false">INDEX(C_Price,A34)*(1+D34)^(E34-1)</f>
        <v>21.1184869875337</v>
      </c>
      <c r="G34" s="29" t="n">
        <f aca="false">F34*Gongsi</f>
        <v>14.5717560213982</v>
      </c>
      <c r="H34" s="29" t="n">
        <f aca="false">G34*FairProp</f>
        <v>8.74305361283894</v>
      </c>
      <c r="I34" s="37" t="n">
        <f aca="false">IF(G34&lt;=SpcLimit,SUMPRODUCT((H34&gt;SLo)*(H34-SLo)*SD),SUMPRODUCT((H34&gt;GLo)*(H34-GLo)*GD))</f>
        <v>0.0286722144513557</v>
      </c>
      <c r="J34" s="37" t="n">
        <f aca="false">H34*CityRate</f>
        <v>0.0122402750579745</v>
      </c>
      <c r="K34" s="37" t="n">
        <f aca="false">I34*EduProp</f>
        <v>0.00573444289027115</v>
      </c>
      <c r="L34" s="29" t="n">
        <f aca="false">MAX(0,(G34-JongDeduct)*FairJong)</f>
        <v>1.54305361283893</v>
      </c>
      <c r="M34" s="37" t="n">
        <f aca="false">SUMPRODUCT((L34&gt;JLo)*(L34-JLo)*JD)</f>
        <v>0.00771526806419467</v>
      </c>
      <c r="N34" s="37" t="n">
        <f aca="false">M34*NongJong</f>
        <v>0.00154305361283893</v>
      </c>
      <c r="O34" s="38" t="n">
        <f aca="false">I34+J34+K34+M34+N34</f>
        <v>0.055905254076635</v>
      </c>
    </row>
    <row r="35" customFormat="false" ht="15" hidden="false" customHeight="false" outlineLevel="0" collapsed="false">
      <c r="A35" s="21" t="n">
        <v>2</v>
      </c>
      <c r="B35" s="36" t="str">
        <f aca="false">INDEX(C_Name,A35)</f>
        <v>신길삼성래미안 84㎡</v>
      </c>
      <c r="C35" s="21" t="n">
        <v>1</v>
      </c>
      <c r="D35" s="8" t="n">
        <f aca="false">CHOOSE(C35,G1,G2,G3)</f>
        <v>0.02</v>
      </c>
      <c r="E35" s="21" t="n">
        <v>1</v>
      </c>
      <c r="F35" s="29" t="n">
        <f aca="false">INDEX(C_Price,A35)*(1+D35)^(E35-1)</f>
        <v>13</v>
      </c>
      <c r="G35" s="29" t="n">
        <f aca="false">F35*Gongsi</f>
        <v>8.97</v>
      </c>
      <c r="H35" s="29" t="n">
        <f aca="false">G35*FairProp</f>
        <v>5.382</v>
      </c>
      <c r="I35" s="37" t="n">
        <f aca="false">IF(G35&lt;=SpcLimit,SUMPRODUCT((H35&gt;SLo)*(H35-SLo)*SD),SUMPRODUCT((H35&gt;GLo)*(H35-GLo)*GD))</f>
        <v>0.012537</v>
      </c>
      <c r="J35" s="37" t="n">
        <f aca="false">H35*CityRate</f>
        <v>0.0075348</v>
      </c>
      <c r="K35" s="37" t="n">
        <f aca="false">I35*EduProp</f>
        <v>0.0025074</v>
      </c>
      <c r="L35" s="29" t="n">
        <f aca="false">MAX(0,(G35-JongDeduct)*FairJong)</f>
        <v>0</v>
      </c>
      <c r="M35" s="37" t="n">
        <f aca="false">SUMPRODUCT((L35&gt;JLo)*(L35-JLo)*JD)</f>
        <v>0</v>
      </c>
      <c r="N35" s="37" t="n">
        <f aca="false">M35*NongJong</f>
        <v>0</v>
      </c>
      <c r="O35" s="38" t="n">
        <f aca="false">I35+J35+K35+M35+N35</f>
        <v>0.0225792</v>
      </c>
    </row>
    <row r="36" customFormat="false" ht="15" hidden="false" customHeight="false" outlineLevel="0" collapsed="false">
      <c r="A36" s="21" t="n">
        <v>2</v>
      </c>
      <c r="B36" s="36" t="str">
        <f aca="false">INDEX(C_Name,A36)</f>
        <v>신길삼성래미안 84㎡</v>
      </c>
      <c r="C36" s="21" t="n">
        <v>1</v>
      </c>
      <c r="D36" s="8" t="n">
        <f aca="false">CHOOSE(C36,G1,G2,G3)</f>
        <v>0.02</v>
      </c>
      <c r="E36" s="21" t="n">
        <v>2</v>
      </c>
      <c r="F36" s="29" t="n">
        <f aca="false">INDEX(C_Price,A36)*(1+D36)^(E36-1)</f>
        <v>13.26</v>
      </c>
      <c r="G36" s="29" t="n">
        <f aca="false">F36*Gongsi</f>
        <v>9.1494</v>
      </c>
      <c r="H36" s="29" t="n">
        <f aca="false">G36*FairProp</f>
        <v>5.48964</v>
      </c>
      <c r="I36" s="37" t="n">
        <f aca="false">IF(G36&lt;=SpcLimit,SUMPRODUCT((H36&gt;SLo)*(H36-SLo)*SD),SUMPRODUCT((H36&gt;GLo)*(H36-GLo)*GD))</f>
        <v>0.01565856</v>
      </c>
      <c r="J36" s="37" t="n">
        <f aca="false">H36*CityRate</f>
        <v>0.007685496</v>
      </c>
      <c r="K36" s="37" t="n">
        <f aca="false">I36*EduProp</f>
        <v>0.003131712</v>
      </c>
      <c r="L36" s="29" t="n">
        <f aca="false">MAX(0,(G36-JongDeduct)*FairJong)</f>
        <v>0</v>
      </c>
      <c r="M36" s="37" t="n">
        <f aca="false">SUMPRODUCT((L36&gt;JLo)*(L36-JLo)*JD)</f>
        <v>0</v>
      </c>
      <c r="N36" s="37" t="n">
        <f aca="false">M36*NongJong</f>
        <v>0</v>
      </c>
      <c r="O36" s="38" t="n">
        <f aca="false">I36+J36+K36+M36+N36</f>
        <v>0.026475768</v>
      </c>
    </row>
    <row r="37" customFormat="false" ht="15" hidden="false" customHeight="false" outlineLevel="0" collapsed="false">
      <c r="A37" s="21" t="n">
        <v>2</v>
      </c>
      <c r="B37" s="36" t="str">
        <f aca="false">INDEX(C_Name,A37)</f>
        <v>신길삼성래미안 84㎡</v>
      </c>
      <c r="C37" s="21" t="n">
        <v>1</v>
      </c>
      <c r="D37" s="8" t="n">
        <f aca="false">CHOOSE(C37,G1,G2,G3)</f>
        <v>0.02</v>
      </c>
      <c r="E37" s="21" t="n">
        <v>3</v>
      </c>
      <c r="F37" s="29" t="n">
        <f aca="false">INDEX(C_Price,A37)*(1+D37)^(E37-1)</f>
        <v>13.5252</v>
      </c>
      <c r="G37" s="29" t="n">
        <f aca="false">F37*Gongsi</f>
        <v>9.332388</v>
      </c>
      <c r="H37" s="29" t="n">
        <f aca="false">G37*FairProp</f>
        <v>5.5994328</v>
      </c>
      <c r="I37" s="37" t="n">
        <f aca="false">IF(G37&lt;=SpcLimit,SUMPRODUCT((H37&gt;SLo)*(H37-SLo)*SD),SUMPRODUCT((H37&gt;GLo)*(H37-GLo)*GD))</f>
        <v>0.0160977312</v>
      </c>
      <c r="J37" s="37" t="n">
        <f aca="false">H37*CityRate</f>
        <v>0.00783920592</v>
      </c>
      <c r="K37" s="37" t="n">
        <f aca="false">I37*EduProp</f>
        <v>0.00321954624</v>
      </c>
      <c r="L37" s="29" t="n">
        <f aca="false">MAX(0,(G37-JongDeduct)*FairJong)</f>
        <v>0</v>
      </c>
      <c r="M37" s="37" t="n">
        <f aca="false">SUMPRODUCT((L37&gt;JLo)*(L37-JLo)*JD)</f>
        <v>0</v>
      </c>
      <c r="N37" s="37" t="n">
        <f aca="false">M37*NongJong</f>
        <v>0</v>
      </c>
      <c r="O37" s="38" t="n">
        <f aca="false">I37+J37+K37+M37+N37</f>
        <v>0.02715648336</v>
      </c>
    </row>
    <row r="38" customFormat="false" ht="15" hidden="false" customHeight="false" outlineLevel="0" collapsed="false">
      <c r="A38" s="21" t="n">
        <v>2</v>
      </c>
      <c r="B38" s="36" t="str">
        <f aca="false">INDEX(C_Name,A38)</f>
        <v>신길삼성래미안 84㎡</v>
      </c>
      <c r="C38" s="21" t="n">
        <v>1</v>
      </c>
      <c r="D38" s="8" t="n">
        <f aca="false">CHOOSE(C38,G1,G2,G3)</f>
        <v>0.02</v>
      </c>
      <c r="E38" s="21" t="n">
        <v>4</v>
      </c>
      <c r="F38" s="29" t="n">
        <f aca="false">INDEX(C_Price,A38)*(1+D38)^(E38-1)</f>
        <v>13.795704</v>
      </c>
      <c r="G38" s="29" t="n">
        <f aca="false">F38*Gongsi</f>
        <v>9.51903576</v>
      </c>
      <c r="H38" s="29" t="n">
        <f aca="false">G38*FairProp</f>
        <v>5.711421456</v>
      </c>
      <c r="I38" s="37" t="n">
        <f aca="false">IF(G38&lt;=SpcLimit,SUMPRODUCT((H38&gt;SLo)*(H38-SLo)*SD),SUMPRODUCT((H38&gt;GLo)*(H38-GLo)*GD))</f>
        <v>0.016545685824</v>
      </c>
      <c r="J38" s="37" t="n">
        <f aca="false">H38*CityRate</f>
        <v>0.0079959900384</v>
      </c>
      <c r="K38" s="37" t="n">
        <f aca="false">I38*EduProp</f>
        <v>0.0033091371648</v>
      </c>
      <c r="L38" s="29" t="n">
        <f aca="false">MAX(0,(G38-JongDeduct)*FairJong)</f>
        <v>0</v>
      </c>
      <c r="M38" s="37" t="n">
        <f aca="false">SUMPRODUCT((L38&gt;JLo)*(L38-JLo)*JD)</f>
        <v>0</v>
      </c>
      <c r="N38" s="37" t="n">
        <f aca="false">M38*NongJong</f>
        <v>0</v>
      </c>
      <c r="O38" s="38" t="n">
        <f aca="false">I38+J38+K38+M38+N38</f>
        <v>0.0278508130272</v>
      </c>
    </row>
    <row r="39" customFormat="false" ht="15" hidden="false" customHeight="false" outlineLevel="0" collapsed="false">
      <c r="A39" s="21" t="n">
        <v>2</v>
      </c>
      <c r="B39" s="36" t="str">
        <f aca="false">INDEX(C_Name,A39)</f>
        <v>신길삼성래미안 84㎡</v>
      </c>
      <c r="C39" s="21" t="n">
        <v>1</v>
      </c>
      <c r="D39" s="8" t="n">
        <f aca="false">CHOOSE(C39,G1,G2,G3)</f>
        <v>0.02</v>
      </c>
      <c r="E39" s="21" t="n">
        <v>5</v>
      </c>
      <c r="F39" s="29" t="n">
        <f aca="false">INDEX(C_Price,A39)*(1+D39)^(E39-1)</f>
        <v>14.07161808</v>
      </c>
      <c r="G39" s="29" t="n">
        <f aca="false">F39*Gongsi</f>
        <v>9.7094164752</v>
      </c>
      <c r="H39" s="29" t="n">
        <f aca="false">G39*FairProp</f>
        <v>5.82564988512</v>
      </c>
      <c r="I39" s="37" t="n">
        <f aca="false">IF(G39&lt;=SpcLimit,SUMPRODUCT((H39&gt;SLo)*(H39-SLo)*SD),SUMPRODUCT((H39&gt;GLo)*(H39-GLo)*GD))</f>
        <v>0.01700259954048</v>
      </c>
      <c r="J39" s="37" t="n">
        <f aca="false">H39*CityRate</f>
        <v>0.008155909839168</v>
      </c>
      <c r="K39" s="37" t="n">
        <f aca="false">I39*EduProp</f>
        <v>0.003400519908096</v>
      </c>
      <c r="L39" s="29" t="n">
        <f aca="false">MAX(0,(G39-JongDeduct)*FairJong)</f>
        <v>0</v>
      </c>
      <c r="M39" s="37" t="n">
        <f aca="false">SUMPRODUCT((L39&gt;JLo)*(L39-JLo)*JD)</f>
        <v>0</v>
      </c>
      <c r="N39" s="37" t="n">
        <f aca="false">M39*NongJong</f>
        <v>0</v>
      </c>
      <c r="O39" s="38" t="n">
        <f aca="false">I39+J39+K39+M39+N39</f>
        <v>0.028559029287744</v>
      </c>
    </row>
    <row r="40" customFormat="false" ht="15" hidden="false" customHeight="false" outlineLevel="0" collapsed="false">
      <c r="A40" s="21" t="n">
        <v>2</v>
      </c>
      <c r="B40" s="36" t="str">
        <f aca="false">INDEX(C_Name,A40)</f>
        <v>신길삼성래미안 84㎡</v>
      </c>
      <c r="C40" s="21" t="n">
        <v>1</v>
      </c>
      <c r="D40" s="8" t="n">
        <f aca="false">CHOOSE(C40,G1,G2,G3)</f>
        <v>0.02</v>
      </c>
      <c r="E40" s="21" t="n">
        <v>6</v>
      </c>
      <c r="F40" s="29" t="n">
        <f aca="false">INDEX(C_Price,A40)*(1+D40)^(E40-1)</f>
        <v>14.3530504416</v>
      </c>
      <c r="G40" s="29" t="n">
        <f aca="false">F40*Gongsi</f>
        <v>9.903604804704</v>
      </c>
      <c r="H40" s="29" t="n">
        <f aca="false">G40*FairProp</f>
        <v>5.9421628828224</v>
      </c>
      <c r="I40" s="37" t="n">
        <f aca="false">IF(G40&lt;=SpcLimit,SUMPRODUCT((H40&gt;SLo)*(H40-SLo)*SD),SUMPRODUCT((H40&gt;GLo)*(H40-GLo)*GD))</f>
        <v>0.0174686515312896</v>
      </c>
      <c r="J40" s="37" t="n">
        <f aca="false">H40*CityRate</f>
        <v>0.00831902803595136</v>
      </c>
      <c r="K40" s="37" t="n">
        <f aca="false">I40*EduProp</f>
        <v>0.00349373030625792</v>
      </c>
      <c r="L40" s="29" t="n">
        <f aca="false">MAX(0,(G40-JongDeduct)*FairJong)</f>
        <v>0</v>
      </c>
      <c r="M40" s="37" t="n">
        <f aca="false">SUMPRODUCT((L40&gt;JLo)*(L40-JLo)*JD)</f>
        <v>0</v>
      </c>
      <c r="N40" s="37" t="n">
        <f aca="false">M40*NongJong</f>
        <v>0</v>
      </c>
      <c r="O40" s="38" t="n">
        <f aca="false">I40+J40+K40+M40+N40</f>
        <v>0.0292814098734989</v>
      </c>
    </row>
    <row r="41" customFormat="false" ht="15" hidden="false" customHeight="false" outlineLevel="0" collapsed="false">
      <c r="A41" s="21" t="n">
        <v>2</v>
      </c>
      <c r="B41" s="36" t="str">
        <f aca="false">INDEX(C_Name,A41)</f>
        <v>신길삼성래미안 84㎡</v>
      </c>
      <c r="C41" s="21" t="n">
        <v>1</v>
      </c>
      <c r="D41" s="8" t="n">
        <f aca="false">CHOOSE(C41,G1,G2,G3)</f>
        <v>0.02</v>
      </c>
      <c r="E41" s="21" t="n">
        <v>7</v>
      </c>
      <c r="F41" s="29" t="n">
        <f aca="false">INDEX(C_Price,A41)*(1+D41)^(E41-1)</f>
        <v>14.640111450432</v>
      </c>
      <c r="G41" s="29" t="n">
        <f aca="false">F41*Gongsi</f>
        <v>10.1016769007981</v>
      </c>
      <c r="H41" s="29" t="n">
        <f aca="false">G41*FairProp</f>
        <v>6.06100614047885</v>
      </c>
      <c r="I41" s="37" t="n">
        <f aca="false">IF(G41&lt;=SpcLimit,SUMPRODUCT((H41&gt;SLo)*(H41-SLo)*SD),SUMPRODUCT((H41&gt;GLo)*(H41-GLo)*GD))</f>
        <v>0.0179440245619154</v>
      </c>
      <c r="J41" s="37" t="n">
        <f aca="false">H41*CityRate</f>
        <v>0.00848540859667039</v>
      </c>
      <c r="K41" s="37" t="n">
        <f aca="false">I41*EduProp</f>
        <v>0.00358880491238308</v>
      </c>
      <c r="L41" s="29" t="n">
        <f aca="false">MAX(0,(G41-JongDeduct)*FairJong)</f>
        <v>0</v>
      </c>
      <c r="M41" s="37" t="n">
        <f aca="false">SUMPRODUCT((L41&gt;JLo)*(L41-JLo)*JD)</f>
        <v>0</v>
      </c>
      <c r="N41" s="37" t="n">
        <f aca="false">M41*NongJong</f>
        <v>0</v>
      </c>
      <c r="O41" s="38" t="n">
        <f aca="false">I41+J41+K41+M41+N41</f>
        <v>0.0300182380709689</v>
      </c>
    </row>
    <row r="42" customFormat="false" ht="15" hidden="false" customHeight="false" outlineLevel="0" collapsed="false">
      <c r="A42" s="21" t="n">
        <v>2</v>
      </c>
      <c r="B42" s="36" t="str">
        <f aca="false">INDEX(C_Name,A42)</f>
        <v>신길삼성래미안 84㎡</v>
      </c>
      <c r="C42" s="21" t="n">
        <v>1</v>
      </c>
      <c r="D42" s="8" t="n">
        <f aca="false">CHOOSE(C42,G1,G2,G3)</f>
        <v>0.02</v>
      </c>
      <c r="E42" s="21" t="n">
        <v>8</v>
      </c>
      <c r="F42" s="29" t="n">
        <f aca="false">INDEX(C_Price,A42)*(1+D42)^(E42-1)</f>
        <v>14.9329136794406</v>
      </c>
      <c r="G42" s="29" t="n">
        <f aca="false">F42*Gongsi</f>
        <v>10.303710438814</v>
      </c>
      <c r="H42" s="29" t="n">
        <f aca="false">G42*FairProp</f>
        <v>6.18222626328842</v>
      </c>
      <c r="I42" s="37" t="n">
        <f aca="false">IF(G42&lt;=SpcLimit,SUMPRODUCT((H42&gt;SLo)*(H42-SLo)*SD),SUMPRODUCT((H42&gt;GLo)*(H42-GLo)*GD))</f>
        <v>0.0184289050531537</v>
      </c>
      <c r="J42" s="37" t="n">
        <f aca="false">H42*CityRate</f>
        <v>0.00865511676860379</v>
      </c>
      <c r="K42" s="37" t="n">
        <f aca="false">I42*EduProp</f>
        <v>0.00368578101063074</v>
      </c>
      <c r="L42" s="29" t="n">
        <f aca="false">MAX(0,(G42-JongDeduct)*FairJong)</f>
        <v>0</v>
      </c>
      <c r="M42" s="37" t="n">
        <f aca="false">SUMPRODUCT((L42&gt;JLo)*(L42-JLo)*JD)</f>
        <v>0</v>
      </c>
      <c r="N42" s="37" t="n">
        <f aca="false">M42*NongJong</f>
        <v>0</v>
      </c>
      <c r="O42" s="38" t="n">
        <f aca="false">I42+J42+K42+M42+N42</f>
        <v>0.0307698028323882</v>
      </c>
    </row>
    <row r="43" customFormat="false" ht="15" hidden="false" customHeight="false" outlineLevel="0" collapsed="false">
      <c r="A43" s="21" t="n">
        <v>2</v>
      </c>
      <c r="B43" s="36" t="str">
        <f aca="false">INDEX(C_Name,A43)</f>
        <v>신길삼성래미안 84㎡</v>
      </c>
      <c r="C43" s="21" t="n">
        <v>1</v>
      </c>
      <c r="D43" s="8" t="n">
        <f aca="false">CHOOSE(C43,G1,G2,G3)</f>
        <v>0.02</v>
      </c>
      <c r="E43" s="21" t="n">
        <v>9</v>
      </c>
      <c r="F43" s="29" t="n">
        <f aca="false">INDEX(C_Price,A43)*(1+D43)^(E43-1)</f>
        <v>15.2315719530295</v>
      </c>
      <c r="G43" s="29" t="n">
        <f aca="false">F43*Gongsi</f>
        <v>10.5097846475903</v>
      </c>
      <c r="H43" s="29" t="n">
        <f aca="false">G43*FairProp</f>
        <v>6.30587078855419</v>
      </c>
      <c r="I43" s="37" t="n">
        <f aca="false">IF(G43&lt;=SpcLimit,SUMPRODUCT((H43&gt;SLo)*(H43-SLo)*SD),SUMPRODUCT((H43&gt;GLo)*(H43-GLo)*GD))</f>
        <v>0.0189234831542168</v>
      </c>
      <c r="J43" s="37" t="n">
        <f aca="false">H43*CityRate</f>
        <v>0.00882821910397587</v>
      </c>
      <c r="K43" s="37" t="n">
        <f aca="false">I43*EduProp</f>
        <v>0.00378469663084335</v>
      </c>
      <c r="L43" s="29" t="n">
        <f aca="false">MAX(0,(G43-JongDeduct)*FairJong)</f>
        <v>0</v>
      </c>
      <c r="M43" s="37" t="n">
        <f aca="false">SUMPRODUCT((L43&gt;JLo)*(L43-JLo)*JD)</f>
        <v>0</v>
      </c>
      <c r="N43" s="37" t="n">
        <f aca="false">M43*NongJong</f>
        <v>0</v>
      </c>
      <c r="O43" s="38" t="n">
        <f aca="false">I43+J43+K43+M43+N43</f>
        <v>0.031536398889036</v>
      </c>
    </row>
    <row r="44" customFormat="false" ht="15" hidden="false" customHeight="false" outlineLevel="0" collapsed="false">
      <c r="A44" s="21" t="n">
        <v>2</v>
      </c>
      <c r="B44" s="36" t="str">
        <f aca="false">INDEX(C_Name,A44)</f>
        <v>신길삼성래미안 84㎡</v>
      </c>
      <c r="C44" s="21" t="n">
        <v>1</v>
      </c>
      <c r="D44" s="8" t="n">
        <f aca="false">CHOOSE(C44,G1,G2,G3)</f>
        <v>0.02</v>
      </c>
      <c r="E44" s="21" t="n">
        <v>10</v>
      </c>
      <c r="F44" s="29" t="n">
        <f aca="false">INDEX(C_Price,A44)*(1+D44)^(E44-1)</f>
        <v>15.53620339209</v>
      </c>
      <c r="G44" s="29" t="n">
        <f aca="false">F44*Gongsi</f>
        <v>10.7199803405421</v>
      </c>
      <c r="H44" s="29" t="n">
        <f aca="false">G44*FairProp</f>
        <v>6.43198820432528</v>
      </c>
      <c r="I44" s="37" t="n">
        <f aca="false">IF(G44&lt;=SpcLimit,SUMPRODUCT((H44&gt;SLo)*(H44-SLo)*SD),SUMPRODUCT((H44&gt;GLo)*(H44-GLo)*GD))</f>
        <v>0.0194279528173011</v>
      </c>
      <c r="J44" s="37" t="n">
        <f aca="false">H44*CityRate</f>
        <v>0.00900478348605539</v>
      </c>
      <c r="K44" s="37" t="n">
        <f aca="false">I44*EduProp</f>
        <v>0.00388559056346022</v>
      </c>
      <c r="L44" s="29" t="n">
        <f aca="false">MAX(0,(G44-JongDeduct)*FairJong)</f>
        <v>0</v>
      </c>
      <c r="M44" s="37" t="n">
        <f aca="false">SUMPRODUCT((L44&gt;JLo)*(L44-JLo)*JD)</f>
        <v>0</v>
      </c>
      <c r="N44" s="37" t="n">
        <f aca="false">M44*NongJong</f>
        <v>0</v>
      </c>
      <c r="O44" s="38" t="n">
        <f aca="false">I44+J44+K44+M44+N44</f>
        <v>0.0323183268668167</v>
      </c>
    </row>
    <row r="45" customFormat="false" ht="15" hidden="false" customHeight="false" outlineLevel="0" collapsed="false">
      <c r="A45" s="21" t="n">
        <v>2</v>
      </c>
      <c r="B45" s="36" t="str">
        <f aca="false">INDEX(C_Name,A45)</f>
        <v>신길삼성래미안 84㎡</v>
      </c>
      <c r="C45" s="21" t="n">
        <v>2</v>
      </c>
      <c r="D45" s="8" t="n">
        <f aca="false">CHOOSE(C45,G1,G2,G3)</f>
        <v>0.04</v>
      </c>
      <c r="E45" s="21" t="n">
        <v>1</v>
      </c>
      <c r="F45" s="29" t="n">
        <f aca="false">INDEX(C_Price,A45)*(1+D45)^(E45-1)</f>
        <v>13</v>
      </c>
      <c r="G45" s="29" t="n">
        <f aca="false">F45*Gongsi</f>
        <v>8.97</v>
      </c>
      <c r="H45" s="29" t="n">
        <f aca="false">G45*FairProp</f>
        <v>5.382</v>
      </c>
      <c r="I45" s="37" t="n">
        <f aca="false">IF(G45&lt;=SpcLimit,SUMPRODUCT((H45&gt;SLo)*(H45-SLo)*SD),SUMPRODUCT((H45&gt;GLo)*(H45-GLo)*GD))</f>
        <v>0.012537</v>
      </c>
      <c r="J45" s="37" t="n">
        <f aca="false">H45*CityRate</f>
        <v>0.0075348</v>
      </c>
      <c r="K45" s="37" t="n">
        <f aca="false">I45*EduProp</f>
        <v>0.0025074</v>
      </c>
      <c r="L45" s="29" t="n">
        <f aca="false">MAX(0,(G45-JongDeduct)*FairJong)</f>
        <v>0</v>
      </c>
      <c r="M45" s="37" t="n">
        <f aca="false">SUMPRODUCT((L45&gt;JLo)*(L45-JLo)*JD)</f>
        <v>0</v>
      </c>
      <c r="N45" s="37" t="n">
        <f aca="false">M45*NongJong</f>
        <v>0</v>
      </c>
      <c r="O45" s="38" t="n">
        <f aca="false">I45+J45+K45+M45+N45</f>
        <v>0.0225792</v>
      </c>
    </row>
    <row r="46" customFormat="false" ht="15" hidden="false" customHeight="false" outlineLevel="0" collapsed="false">
      <c r="A46" s="21" t="n">
        <v>2</v>
      </c>
      <c r="B46" s="36" t="str">
        <f aca="false">INDEX(C_Name,A46)</f>
        <v>신길삼성래미안 84㎡</v>
      </c>
      <c r="C46" s="21" t="n">
        <v>2</v>
      </c>
      <c r="D46" s="8" t="n">
        <f aca="false">CHOOSE(C46,G1,G2,G3)</f>
        <v>0.04</v>
      </c>
      <c r="E46" s="21" t="n">
        <v>2</v>
      </c>
      <c r="F46" s="29" t="n">
        <f aca="false">INDEX(C_Price,A46)*(1+D46)^(E46-1)</f>
        <v>13.52</v>
      </c>
      <c r="G46" s="29" t="n">
        <f aca="false">F46*Gongsi</f>
        <v>9.3288</v>
      </c>
      <c r="H46" s="29" t="n">
        <f aca="false">G46*FairProp</f>
        <v>5.59728</v>
      </c>
      <c r="I46" s="37" t="n">
        <f aca="false">IF(G46&lt;=SpcLimit,SUMPRODUCT((H46&gt;SLo)*(H46-SLo)*SD),SUMPRODUCT((H46&gt;GLo)*(H46-GLo)*GD))</f>
        <v>0.01608912</v>
      </c>
      <c r="J46" s="37" t="n">
        <f aca="false">H46*CityRate</f>
        <v>0.007836192</v>
      </c>
      <c r="K46" s="37" t="n">
        <f aca="false">I46*EduProp</f>
        <v>0.003217824</v>
      </c>
      <c r="L46" s="29" t="n">
        <f aca="false">MAX(0,(G46-JongDeduct)*FairJong)</f>
        <v>0</v>
      </c>
      <c r="M46" s="37" t="n">
        <f aca="false">SUMPRODUCT((L46&gt;JLo)*(L46-JLo)*JD)</f>
        <v>0</v>
      </c>
      <c r="N46" s="37" t="n">
        <f aca="false">M46*NongJong</f>
        <v>0</v>
      </c>
      <c r="O46" s="38" t="n">
        <f aca="false">I46+J46+K46+M46+N46</f>
        <v>0.027143136</v>
      </c>
    </row>
    <row r="47" customFormat="false" ht="15" hidden="false" customHeight="false" outlineLevel="0" collapsed="false">
      <c r="A47" s="21" t="n">
        <v>2</v>
      </c>
      <c r="B47" s="36" t="str">
        <f aca="false">INDEX(C_Name,A47)</f>
        <v>신길삼성래미안 84㎡</v>
      </c>
      <c r="C47" s="21" t="n">
        <v>2</v>
      </c>
      <c r="D47" s="8" t="n">
        <f aca="false">CHOOSE(C47,G1,G2,G3)</f>
        <v>0.04</v>
      </c>
      <c r="E47" s="21" t="n">
        <v>3</v>
      </c>
      <c r="F47" s="29" t="n">
        <f aca="false">INDEX(C_Price,A47)*(1+D47)^(E47-1)</f>
        <v>14.0608</v>
      </c>
      <c r="G47" s="29" t="n">
        <f aca="false">F47*Gongsi</f>
        <v>9.701952</v>
      </c>
      <c r="H47" s="29" t="n">
        <f aca="false">G47*FairProp</f>
        <v>5.8211712</v>
      </c>
      <c r="I47" s="37" t="n">
        <f aca="false">IF(G47&lt;=SpcLimit,SUMPRODUCT((H47&gt;SLo)*(H47-SLo)*SD),SUMPRODUCT((H47&gt;GLo)*(H47-GLo)*GD))</f>
        <v>0.0169846848</v>
      </c>
      <c r="J47" s="37" t="n">
        <f aca="false">H47*CityRate</f>
        <v>0.00814963968</v>
      </c>
      <c r="K47" s="37" t="n">
        <f aca="false">I47*EduProp</f>
        <v>0.00339693696</v>
      </c>
      <c r="L47" s="29" t="n">
        <f aca="false">MAX(0,(G47-JongDeduct)*FairJong)</f>
        <v>0</v>
      </c>
      <c r="M47" s="37" t="n">
        <f aca="false">SUMPRODUCT((L47&gt;JLo)*(L47-JLo)*JD)</f>
        <v>0</v>
      </c>
      <c r="N47" s="37" t="n">
        <f aca="false">M47*NongJong</f>
        <v>0</v>
      </c>
      <c r="O47" s="38" t="n">
        <f aca="false">I47+J47+K47+M47+N47</f>
        <v>0.02853126144</v>
      </c>
    </row>
    <row r="48" customFormat="false" ht="15" hidden="false" customHeight="false" outlineLevel="0" collapsed="false">
      <c r="A48" s="21" t="n">
        <v>2</v>
      </c>
      <c r="B48" s="36" t="str">
        <f aca="false">INDEX(C_Name,A48)</f>
        <v>신길삼성래미안 84㎡</v>
      </c>
      <c r="C48" s="21" t="n">
        <v>2</v>
      </c>
      <c r="D48" s="8" t="n">
        <f aca="false">CHOOSE(C48,G1,G2,G3)</f>
        <v>0.04</v>
      </c>
      <c r="E48" s="21" t="n">
        <v>4</v>
      </c>
      <c r="F48" s="29" t="n">
        <f aca="false">INDEX(C_Price,A48)*(1+D48)^(E48-1)</f>
        <v>14.623232</v>
      </c>
      <c r="G48" s="29" t="n">
        <f aca="false">F48*Gongsi</f>
        <v>10.09003008</v>
      </c>
      <c r="H48" s="29" t="n">
        <f aca="false">G48*FairProp</f>
        <v>6.054018048</v>
      </c>
      <c r="I48" s="37" t="n">
        <f aca="false">IF(G48&lt;=SpcLimit,SUMPRODUCT((H48&gt;SLo)*(H48-SLo)*SD),SUMPRODUCT((H48&gt;GLo)*(H48-GLo)*GD))</f>
        <v>0.017916072192</v>
      </c>
      <c r="J48" s="37" t="n">
        <f aca="false">H48*CityRate</f>
        <v>0.0084756252672</v>
      </c>
      <c r="K48" s="37" t="n">
        <f aca="false">I48*EduProp</f>
        <v>0.0035832144384</v>
      </c>
      <c r="L48" s="29" t="n">
        <f aca="false">MAX(0,(G48-JongDeduct)*FairJong)</f>
        <v>0</v>
      </c>
      <c r="M48" s="37" t="n">
        <f aca="false">SUMPRODUCT((L48&gt;JLo)*(L48-JLo)*JD)</f>
        <v>0</v>
      </c>
      <c r="N48" s="37" t="n">
        <f aca="false">M48*NongJong</f>
        <v>0</v>
      </c>
      <c r="O48" s="38" t="n">
        <f aca="false">I48+J48+K48+M48+N48</f>
        <v>0.0299749118976</v>
      </c>
    </row>
    <row r="49" customFormat="false" ht="15" hidden="false" customHeight="false" outlineLevel="0" collapsed="false">
      <c r="A49" s="21" t="n">
        <v>2</v>
      </c>
      <c r="B49" s="36" t="str">
        <f aca="false">INDEX(C_Name,A49)</f>
        <v>신길삼성래미안 84㎡</v>
      </c>
      <c r="C49" s="21" t="n">
        <v>2</v>
      </c>
      <c r="D49" s="8" t="n">
        <f aca="false">CHOOSE(C49,G1,G2,G3)</f>
        <v>0.04</v>
      </c>
      <c r="E49" s="21" t="n">
        <v>5</v>
      </c>
      <c r="F49" s="29" t="n">
        <f aca="false">INDEX(C_Price,A49)*(1+D49)^(E49-1)</f>
        <v>15.20816128</v>
      </c>
      <c r="G49" s="29" t="n">
        <f aca="false">F49*Gongsi</f>
        <v>10.4936312832</v>
      </c>
      <c r="H49" s="29" t="n">
        <f aca="false">G49*FairProp</f>
        <v>6.29617876992</v>
      </c>
      <c r="I49" s="37" t="n">
        <f aca="false">IF(G49&lt;=SpcLimit,SUMPRODUCT((H49&gt;SLo)*(H49-SLo)*SD),SUMPRODUCT((H49&gt;GLo)*(H49-GLo)*GD))</f>
        <v>0.01888471507968</v>
      </c>
      <c r="J49" s="37" t="n">
        <f aca="false">H49*CityRate</f>
        <v>0.008814650277888</v>
      </c>
      <c r="K49" s="37" t="n">
        <f aca="false">I49*EduProp</f>
        <v>0.003776943015936</v>
      </c>
      <c r="L49" s="29" t="n">
        <f aca="false">MAX(0,(G49-JongDeduct)*FairJong)</f>
        <v>0</v>
      </c>
      <c r="M49" s="37" t="n">
        <f aca="false">SUMPRODUCT((L49&gt;JLo)*(L49-JLo)*JD)</f>
        <v>0</v>
      </c>
      <c r="N49" s="37" t="n">
        <f aca="false">M49*NongJong</f>
        <v>0</v>
      </c>
      <c r="O49" s="38" t="n">
        <f aca="false">I49+J49+K49+M49+N49</f>
        <v>0.031476308373504</v>
      </c>
    </row>
    <row r="50" customFormat="false" ht="15" hidden="false" customHeight="false" outlineLevel="0" collapsed="false">
      <c r="A50" s="21" t="n">
        <v>2</v>
      </c>
      <c r="B50" s="36" t="str">
        <f aca="false">INDEX(C_Name,A50)</f>
        <v>신길삼성래미안 84㎡</v>
      </c>
      <c r="C50" s="21" t="n">
        <v>2</v>
      </c>
      <c r="D50" s="8" t="n">
        <f aca="false">CHOOSE(C50,G1,G2,G3)</f>
        <v>0.04</v>
      </c>
      <c r="E50" s="21" t="n">
        <v>6</v>
      </c>
      <c r="F50" s="29" t="n">
        <f aca="false">INDEX(C_Price,A50)*(1+D50)^(E50-1)</f>
        <v>15.8164877312</v>
      </c>
      <c r="G50" s="29" t="n">
        <f aca="false">F50*Gongsi</f>
        <v>10.913376534528</v>
      </c>
      <c r="H50" s="29" t="n">
        <f aca="false">G50*FairProp</f>
        <v>6.5480259207168</v>
      </c>
      <c r="I50" s="37" t="n">
        <f aca="false">IF(G50&lt;=SpcLimit,SUMPRODUCT((H50&gt;SLo)*(H50-SLo)*SD),SUMPRODUCT((H50&gt;GLo)*(H50-GLo)*GD))</f>
        <v>0.0198921036828672</v>
      </c>
      <c r="J50" s="37" t="n">
        <f aca="false">H50*CityRate</f>
        <v>0.00916723628900352</v>
      </c>
      <c r="K50" s="37" t="n">
        <f aca="false">I50*EduProp</f>
        <v>0.00397842073657344</v>
      </c>
      <c r="L50" s="29" t="n">
        <f aca="false">MAX(0,(G50-JongDeduct)*FairJong)</f>
        <v>0</v>
      </c>
      <c r="M50" s="37" t="n">
        <f aca="false">SUMPRODUCT((L50&gt;JLo)*(L50-JLo)*JD)</f>
        <v>0</v>
      </c>
      <c r="N50" s="37" t="n">
        <f aca="false">M50*NongJong</f>
        <v>0</v>
      </c>
      <c r="O50" s="38" t="n">
        <f aca="false">I50+J50+K50+M50+N50</f>
        <v>0.0330377607084442</v>
      </c>
    </row>
    <row r="51" customFormat="false" ht="15" hidden="false" customHeight="false" outlineLevel="0" collapsed="false">
      <c r="A51" s="21" t="n">
        <v>2</v>
      </c>
      <c r="B51" s="36" t="str">
        <f aca="false">INDEX(C_Name,A51)</f>
        <v>신길삼성래미안 84㎡</v>
      </c>
      <c r="C51" s="21" t="n">
        <v>2</v>
      </c>
      <c r="D51" s="8" t="n">
        <f aca="false">CHOOSE(C51,G1,G2,G3)</f>
        <v>0.04</v>
      </c>
      <c r="E51" s="21" t="n">
        <v>7</v>
      </c>
      <c r="F51" s="29" t="n">
        <f aca="false">INDEX(C_Price,A51)*(1+D51)^(E51-1)</f>
        <v>16.449147240448</v>
      </c>
      <c r="G51" s="29" t="n">
        <f aca="false">F51*Gongsi</f>
        <v>11.3499115959091</v>
      </c>
      <c r="H51" s="29" t="n">
        <f aca="false">G51*FairProp</f>
        <v>6.80994695754547</v>
      </c>
      <c r="I51" s="37" t="n">
        <f aca="false">IF(G51&lt;=SpcLimit,SUMPRODUCT((H51&gt;SLo)*(H51-SLo)*SD),SUMPRODUCT((H51&gt;GLo)*(H51-GLo)*GD))</f>
        <v>0.0209397878301819</v>
      </c>
      <c r="J51" s="37" t="n">
        <f aca="false">H51*CityRate</f>
        <v>0.00953392574056366</v>
      </c>
      <c r="K51" s="37" t="n">
        <f aca="false">I51*EduProp</f>
        <v>0.00418795756603638</v>
      </c>
      <c r="L51" s="29" t="n">
        <f aca="false">MAX(0,(G51-JongDeduct)*FairJong)</f>
        <v>0</v>
      </c>
      <c r="M51" s="37" t="n">
        <f aca="false">SUMPRODUCT((L51&gt;JLo)*(L51-JLo)*JD)</f>
        <v>0</v>
      </c>
      <c r="N51" s="37" t="n">
        <f aca="false">M51*NongJong</f>
        <v>0</v>
      </c>
      <c r="O51" s="38" t="n">
        <f aca="false">I51+J51+K51+M51+N51</f>
        <v>0.0346616711367819</v>
      </c>
    </row>
    <row r="52" customFormat="false" ht="15" hidden="false" customHeight="false" outlineLevel="0" collapsed="false">
      <c r="A52" s="21" t="n">
        <v>2</v>
      </c>
      <c r="B52" s="36" t="str">
        <f aca="false">INDEX(C_Name,A52)</f>
        <v>신길삼성래미안 84㎡</v>
      </c>
      <c r="C52" s="21" t="n">
        <v>2</v>
      </c>
      <c r="D52" s="8" t="n">
        <f aca="false">CHOOSE(C52,G1,G2,G3)</f>
        <v>0.04</v>
      </c>
      <c r="E52" s="21" t="n">
        <v>8</v>
      </c>
      <c r="F52" s="29" t="n">
        <f aca="false">INDEX(C_Price,A52)*(1+D52)^(E52-1)</f>
        <v>17.1071131300659</v>
      </c>
      <c r="G52" s="29" t="n">
        <f aca="false">F52*Gongsi</f>
        <v>11.8039080597455</v>
      </c>
      <c r="H52" s="29" t="n">
        <f aca="false">G52*FairProp</f>
        <v>7.08234483584729</v>
      </c>
      <c r="I52" s="37" t="n">
        <f aca="false">IF(G52&lt;=SpcLimit,SUMPRODUCT((H52&gt;SLo)*(H52-SLo)*SD),SUMPRODUCT((H52&gt;GLo)*(H52-GLo)*GD))</f>
        <v>0.0220293793433892</v>
      </c>
      <c r="J52" s="37" t="n">
        <f aca="false">H52*CityRate</f>
        <v>0.00991528277018621</v>
      </c>
      <c r="K52" s="37" t="n">
        <f aca="false">I52*EduProp</f>
        <v>0.00440587586867783</v>
      </c>
      <c r="L52" s="29" t="n">
        <f aca="false">MAX(0,(G52-JongDeduct)*FairJong)</f>
        <v>0</v>
      </c>
      <c r="M52" s="37" t="n">
        <f aca="false">SUMPRODUCT((L52&gt;JLo)*(L52-JLo)*JD)</f>
        <v>0</v>
      </c>
      <c r="N52" s="37" t="n">
        <f aca="false">M52*NongJong</f>
        <v>0</v>
      </c>
      <c r="O52" s="38" t="n">
        <f aca="false">I52+J52+K52+M52+N52</f>
        <v>0.0363505379822532</v>
      </c>
    </row>
    <row r="53" customFormat="false" ht="15" hidden="false" customHeight="false" outlineLevel="0" collapsed="false">
      <c r="A53" s="21" t="n">
        <v>2</v>
      </c>
      <c r="B53" s="36" t="str">
        <f aca="false">INDEX(C_Name,A53)</f>
        <v>신길삼성래미안 84㎡</v>
      </c>
      <c r="C53" s="21" t="n">
        <v>2</v>
      </c>
      <c r="D53" s="8" t="n">
        <f aca="false">CHOOSE(C53,G1,G2,G3)</f>
        <v>0.04</v>
      </c>
      <c r="E53" s="21" t="n">
        <v>9</v>
      </c>
      <c r="F53" s="29" t="n">
        <f aca="false">INDEX(C_Price,A53)*(1+D53)^(E53-1)</f>
        <v>17.7913976552686</v>
      </c>
      <c r="G53" s="29" t="n">
        <f aca="false">F53*Gongsi</f>
        <v>12.2760643821353</v>
      </c>
      <c r="H53" s="29" t="n">
        <f aca="false">G53*FairProp</f>
        <v>7.36563862928118</v>
      </c>
      <c r="I53" s="37" t="n">
        <f aca="false">IF(G53&lt;=SpcLimit,SUMPRODUCT((H53&gt;SLo)*(H53-SLo)*SD),SUMPRODUCT((H53&gt;GLo)*(H53-GLo)*GD))</f>
        <v>0.0231625545171247</v>
      </c>
      <c r="J53" s="37" t="n">
        <f aca="false">H53*CityRate</f>
        <v>0.0103118940809937</v>
      </c>
      <c r="K53" s="37" t="n">
        <f aca="false">I53*EduProp</f>
        <v>0.00463251090342495</v>
      </c>
      <c r="L53" s="29" t="n">
        <f aca="false">MAX(0,(G53-JongDeduct)*FairJong)</f>
        <v>0.165638629281184</v>
      </c>
      <c r="M53" s="37" t="n">
        <f aca="false">SUMPRODUCT((L53&gt;JLo)*(L53-JLo)*JD)</f>
        <v>0.000828193146405919</v>
      </c>
      <c r="N53" s="37" t="n">
        <f aca="false">M53*NongJong</f>
        <v>0.000165638629281184</v>
      </c>
      <c r="O53" s="38" t="n">
        <f aca="false">I53+J53+K53+M53+N53</f>
        <v>0.0391007912772304</v>
      </c>
    </row>
    <row r="54" customFormat="false" ht="15" hidden="false" customHeight="false" outlineLevel="0" collapsed="false">
      <c r="A54" s="21" t="n">
        <v>2</v>
      </c>
      <c r="B54" s="36" t="str">
        <f aca="false">INDEX(C_Name,A54)</f>
        <v>신길삼성래미안 84㎡</v>
      </c>
      <c r="C54" s="21" t="n">
        <v>2</v>
      </c>
      <c r="D54" s="8" t="n">
        <f aca="false">CHOOSE(C54,G1,G2,G3)</f>
        <v>0.04</v>
      </c>
      <c r="E54" s="21" t="n">
        <v>10</v>
      </c>
      <c r="F54" s="29" t="n">
        <f aca="false">INDEX(C_Price,A54)*(1+D54)^(E54-1)</f>
        <v>18.5030535614793</v>
      </c>
      <c r="G54" s="29" t="n">
        <f aca="false">F54*Gongsi</f>
        <v>12.7671069574207</v>
      </c>
      <c r="H54" s="29" t="n">
        <f aca="false">G54*FairProp</f>
        <v>7.66026417445243</v>
      </c>
      <c r="I54" s="37" t="n">
        <f aca="false">IF(G54&lt;=SpcLimit,SUMPRODUCT((H54&gt;SLo)*(H54-SLo)*SD),SUMPRODUCT((H54&gt;GLo)*(H54-GLo)*GD))</f>
        <v>0.0243410566978097</v>
      </c>
      <c r="J54" s="37" t="n">
        <f aca="false">H54*CityRate</f>
        <v>0.0107243698442334</v>
      </c>
      <c r="K54" s="37" t="n">
        <f aca="false">I54*EduProp</f>
        <v>0.00486821133956195</v>
      </c>
      <c r="L54" s="29" t="n">
        <f aca="false">MAX(0,(G54-JongDeduct)*FairJong)</f>
        <v>0.460264174452431</v>
      </c>
      <c r="M54" s="37" t="n">
        <f aca="false">SUMPRODUCT((L54&gt;JLo)*(L54-JLo)*JD)</f>
        <v>0.00230132087226216</v>
      </c>
      <c r="N54" s="37" t="n">
        <f aca="false">M54*NongJong</f>
        <v>0.000460264174452431</v>
      </c>
      <c r="O54" s="38" t="n">
        <f aca="false">I54+J54+K54+M54+N54</f>
        <v>0.0426952229283197</v>
      </c>
    </row>
    <row r="55" customFormat="false" ht="15" hidden="false" customHeight="false" outlineLevel="0" collapsed="false">
      <c r="A55" s="21" t="n">
        <v>2</v>
      </c>
      <c r="B55" s="36" t="str">
        <f aca="false">INDEX(C_Name,A55)</f>
        <v>신길삼성래미안 84㎡</v>
      </c>
      <c r="C55" s="21" t="n">
        <v>3</v>
      </c>
      <c r="D55" s="8" t="n">
        <f aca="false">CHOOSE(C55,G1,G2,G3)</f>
        <v>0.06</v>
      </c>
      <c r="E55" s="21" t="n">
        <v>1</v>
      </c>
      <c r="F55" s="29" t="n">
        <f aca="false">INDEX(C_Price,A55)*(1+D55)^(E55-1)</f>
        <v>13</v>
      </c>
      <c r="G55" s="29" t="n">
        <f aca="false">F55*Gongsi</f>
        <v>8.97</v>
      </c>
      <c r="H55" s="29" t="n">
        <f aca="false">G55*FairProp</f>
        <v>5.382</v>
      </c>
      <c r="I55" s="37" t="n">
        <f aca="false">IF(G55&lt;=SpcLimit,SUMPRODUCT((H55&gt;SLo)*(H55-SLo)*SD),SUMPRODUCT((H55&gt;GLo)*(H55-GLo)*GD))</f>
        <v>0.012537</v>
      </c>
      <c r="J55" s="37" t="n">
        <f aca="false">H55*CityRate</f>
        <v>0.0075348</v>
      </c>
      <c r="K55" s="37" t="n">
        <f aca="false">I55*EduProp</f>
        <v>0.0025074</v>
      </c>
      <c r="L55" s="29" t="n">
        <f aca="false">MAX(0,(G55-JongDeduct)*FairJong)</f>
        <v>0</v>
      </c>
      <c r="M55" s="37" t="n">
        <f aca="false">SUMPRODUCT((L55&gt;JLo)*(L55-JLo)*JD)</f>
        <v>0</v>
      </c>
      <c r="N55" s="37" t="n">
        <f aca="false">M55*NongJong</f>
        <v>0</v>
      </c>
      <c r="O55" s="38" t="n">
        <f aca="false">I55+J55+K55+M55+N55</f>
        <v>0.0225792</v>
      </c>
    </row>
    <row r="56" customFormat="false" ht="15" hidden="false" customHeight="false" outlineLevel="0" collapsed="false">
      <c r="A56" s="21" t="n">
        <v>2</v>
      </c>
      <c r="B56" s="36" t="str">
        <f aca="false">INDEX(C_Name,A56)</f>
        <v>신길삼성래미안 84㎡</v>
      </c>
      <c r="C56" s="21" t="n">
        <v>3</v>
      </c>
      <c r="D56" s="8" t="n">
        <f aca="false">CHOOSE(C56,G1,G2,G3)</f>
        <v>0.06</v>
      </c>
      <c r="E56" s="21" t="n">
        <v>2</v>
      </c>
      <c r="F56" s="29" t="n">
        <f aca="false">INDEX(C_Price,A56)*(1+D56)^(E56-1)</f>
        <v>13.78</v>
      </c>
      <c r="G56" s="29" t="n">
        <f aca="false">F56*Gongsi</f>
        <v>9.5082</v>
      </c>
      <c r="H56" s="29" t="n">
        <f aca="false">G56*FairProp</f>
        <v>5.70492</v>
      </c>
      <c r="I56" s="37" t="n">
        <f aca="false">IF(G56&lt;=SpcLimit,SUMPRODUCT((H56&gt;SLo)*(H56-SLo)*SD),SUMPRODUCT((H56&gt;GLo)*(H56-GLo)*GD))</f>
        <v>0.01651968</v>
      </c>
      <c r="J56" s="37" t="n">
        <f aca="false">H56*CityRate</f>
        <v>0.007986888</v>
      </c>
      <c r="K56" s="37" t="n">
        <f aca="false">I56*EduProp</f>
        <v>0.003303936</v>
      </c>
      <c r="L56" s="29" t="n">
        <f aca="false">MAX(0,(G56-JongDeduct)*FairJong)</f>
        <v>0</v>
      </c>
      <c r="M56" s="37" t="n">
        <f aca="false">SUMPRODUCT((L56&gt;JLo)*(L56-JLo)*JD)</f>
        <v>0</v>
      </c>
      <c r="N56" s="37" t="n">
        <f aca="false">M56*NongJong</f>
        <v>0</v>
      </c>
      <c r="O56" s="38" t="n">
        <f aca="false">I56+J56+K56+M56+N56</f>
        <v>0.027810504</v>
      </c>
    </row>
    <row r="57" customFormat="false" ht="15" hidden="false" customHeight="false" outlineLevel="0" collapsed="false">
      <c r="A57" s="21" t="n">
        <v>2</v>
      </c>
      <c r="B57" s="36" t="str">
        <f aca="false">INDEX(C_Name,A57)</f>
        <v>신길삼성래미안 84㎡</v>
      </c>
      <c r="C57" s="21" t="n">
        <v>3</v>
      </c>
      <c r="D57" s="8" t="n">
        <f aca="false">CHOOSE(C57,G1,G2,G3)</f>
        <v>0.06</v>
      </c>
      <c r="E57" s="21" t="n">
        <v>3</v>
      </c>
      <c r="F57" s="29" t="n">
        <f aca="false">INDEX(C_Price,A57)*(1+D57)^(E57-1)</f>
        <v>14.6068</v>
      </c>
      <c r="G57" s="29" t="n">
        <f aca="false">F57*Gongsi</f>
        <v>10.078692</v>
      </c>
      <c r="H57" s="29" t="n">
        <f aca="false">G57*FairProp</f>
        <v>6.0472152</v>
      </c>
      <c r="I57" s="37" t="n">
        <f aca="false">IF(G57&lt;=SpcLimit,SUMPRODUCT((H57&gt;SLo)*(H57-SLo)*SD),SUMPRODUCT((H57&gt;GLo)*(H57-GLo)*GD))</f>
        <v>0.0178888608</v>
      </c>
      <c r="J57" s="37" t="n">
        <f aca="false">H57*CityRate</f>
        <v>0.00846610128</v>
      </c>
      <c r="K57" s="37" t="n">
        <f aca="false">I57*EduProp</f>
        <v>0.00357777216</v>
      </c>
      <c r="L57" s="29" t="n">
        <f aca="false">MAX(0,(G57-JongDeduct)*FairJong)</f>
        <v>0</v>
      </c>
      <c r="M57" s="37" t="n">
        <f aca="false">SUMPRODUCT((L57&gt;JLo)*(L57-JLo)*JD)</f>
        <v>0</v>
      </c>
      <c r="N57" s="37" t="n">
        <f aca="false">M57*NongJong</f>
        <v>0</v>
      </c>
      <c r="O57" s="38" t="n">
        <f aca="false">I57+J57+K57+M57+N57</f>
        <v>0.02993273424</v>
      </c>
    </row>
    <row r="58" customFormat="false" ht="15" hidden="false" customHeight="false" outlineLevel="0" collapsed="false">
      <c r="A58" s="21" t="n">
        <v>2</v>
      </c>
      <c r="B58" s="36" t="str">
        <f aca="false">INDEX(C_Name,A58)</f>
        <v>신길삼성래미안 84㎡</v>
      </c>
      <c r="C58" s="21" t="n">
        <v>3</v>
      </c>
      <c r="D58" s="8" t="n">
        <f aca="false">CHOOSE(C58,G1,G2,G3)</f>
        <v>0.06</v>
      </c>
      <c r="E58" s="21" t="n">
        <v>4</v>
      </c>
      <c r="F58" s="29" t="n">
        <f aca="false">INDEX(C_Price,A58)*(1+D58)^(E58-1)</f>
        <v>15.483208</v>
      </c>
      <c r="G58" s="29" t="n">
        <f aca="false">F58*Gongsi</f>
        <v>10.68341352</v>
      </c>
      <c r="H58" s="29" t="n">
        <f aca="false">G58*FairProp</f>
        <v>6.410048112</v>
      </c>
      <c r="I58" s="37" t="n">
        <f aca="false">IF(G58&lt;=SpcLimit,SUMPRODUCT((H58&gt;SLo)*(H58-SLo)*SD),SUMPRODUCT((H58&gt;GLo)*(H58-GLo)*GD))</f>
        <v>0.019340192448</v>
      </c>
      <c r="J58" s="37" t="n">
        <f aca="false">H58*CityRate</f>
        <v>0.0089740673568</v>
      </c>
      <c r="K58" s="37" t="n">
        <f aca="false">I58*EduProp</f>
        <v>0.0038680384896</v>
      </c>
      <c r="L58" s="29" t="n">
        <f aca="false">MAX(0,(G58-JongDeduct)*FairJong)</f>
        <v>0</v>
      </c>
      <c r="M58" s="37" t="n">
        <f aca="false">SUMPRODUCT((L58&gt;JLo)*(L58-JLo)*JD)</f>
        <v>0</v>
      </c>
      <c r="N58" s="37" t="n">
        <f aca="false">M58*NongJong</f>
        <v>0</v>
      </c>
      <c r="O58" s="38" t="n">
        <f aca="false">I58+J58+K58+M58+N58</f>
        <v>0.0321822982944</v>
      </c>
    </row>
    <row r="59" customFormat="false" ht="15" hidden="false" customHeight="false" outlineLevel="0" collapsed="false">
      <c r="A59" s="21" t="n">
        <v>2</v>
      </c>
      <c r="B59" s="36" t="str">
        <f aca="false">INDEX(C_Name,A59)</f>
        <v>신길삼성래미안 84㎡</v>
      </c>
      <c r="C59" s="21" t="n">
        <v>3</v>
      </c>
      <c r="D59" s="8" t="n">
        <f aca="false">CHOOSE(C59,G1,G2,G3)</f>
        <v>0.06</v>
      </c>
      <c r="E59" s="21" t="n">
        <v>5</v>
      </c>
      <c r="F59" s="29" t="n">
        <f aca="false">INDEX(C_Price,A59)*(1+D59)^(E59-1)</f>
        <v>16.41220048</v>
      </c>
      <c r="G59" s="29" t="n">
        <f aca="false">F59*Gongsi</f>
        <v>11.3244183312</v>
      </c>
      <c r="H59" s="29" t="n">
        <f aca="false">G59*FairProp</f>
        <v>6.79465099872</v>
      </c>
      <c r="I59" s="37" t="n">
        <f aca="false">IF(G59&lt;=SpcLimit,SUMPRODUCT((H59&gt;SLo)*(H59-SLo)*SD),SUMPRODUCT((H59&gt;GLo)*(H59-GLo)*GD))</f>
        <v>0.02087860399488</v>
      </c>
      <c r="J59" s="37" t="n">
        <f aca="false">H59*CityRate</f>
        <v>0.009512511398208</v>
      </c>
      <c r="K59" s="37" t="n">
        <f aca="false">I59*EduProp</f>
        <v>0.004175720798976</v>
      </c>
      <c r="L59" s="29" t="n">
        <f aca="false">MAX(0,(G59-JongDeduct)*FairJong)</f>
        <v>0</v>
      </c>
      <c r="M59" s="37" t="n">
        <f aca="false">SUMPRODUCT((L59&gt;JLo)*(L59-JLo)*JD)</f>
        <v>0</v>
      </c>
      <c r="N59" s="37" t="n">
        <f aca="false">M59*NongJong</f>
        <v>0</v>
      </c>
      <c r="O59" s="38" t="n">
        <f aca="false">I59+J59+K59+M59+N59</f>
        <v>0.034566836192064</v>
      </c>
    </row>
    <row r="60" customFormat="false" ht="15" hidden="false" customHeight="false" outlineLevel="0" collapsed="false">
      <c r="A60" s="21" t="n">
        <v>2</v>
      </c>
      <c r="B60" s="36" t="str">
        <f aca="false">INDEX(C_Name,A60)</f>
        <v>신길삼성래미안 84㎡</v>
      </c>
      <c r="C60" s="21" t="n">
        <v>3</v>
      </c>
      <c r="D60" s="8" t="n">
        <f aca="false">CHOOSE(C60,G1,G2,G3)</f>
        <v>0.06</v>
      </c>
      <c r="E60" s="21" t="n">
        <v>6</v>
      </c>
      <c r="F60" s="29" t="n">
        <f aca="false">INDEX(C_Price,A60)*(1+D60)^(E60-1)</f>
        <v>17.3969325088</v>
      </c>
      <c r="G60" s="29" t="n">
        <f aca="false">F60*Gongsi</f>
        <v>12.003883431072</v>
      </c>
      <c r="H60" s="29" t="n">
        <f aca="false">G60*FairProp</f>
        <v>7.2023300586432</v>
      </c>
      <c r="I60" s="37" t="n">
        <f aca="false">IF(G60&lt;=SpcLimit,SUMPRODUCT((H60&gt;SLo)*(H60-SLo)*SD),SUMPRODUCT((H60&gt;GLo)*(H60-GLo)*GD))</f>
        <v>0.0225093202345728</v>
      </c>
      <c r="J60" s="37" t="n">
        <f aca="false">H60*CityRate</f>
        <v>0.0100832620821005</v>
      </c>
      <c r="K60" s="37" t="n">
        <f aca="false">I60*EduProp</f>
        <v>0.00450186404691456</v>
      </c>
      <c r="L60" s="29" t="n">
        <f aca="false">MAX(0,(G60-JongDeduct)*FairJong)</f>
        <v>0.00233005864320077</v>
      </c>
      <c r="M60" s="37" t="n">
        <f aca="false">SUMPRODUCT((L60&gt;JLo)*(L60-JLo)*JD)</f>
        <v>1.16502932160039E-005</v>
      </c>
      <c r="N60" s="37" t="n">
        <f aca="false">M60*NongJong</f>
        <v>2.33005864320077E-006</v>
      </c>
      <c r="O60" s="38" t="n">
        <f aca="false">I60+J60+K60+M60+N60</f>
        <v>0.0371084267154471</v>
      </c>
    </row>
    <row r="61" customFormat="false" ht="15" hidden="false" customHeight="false" outlineLevel="0" collapsed="false">
      <c r="A61" s="21" t="n">
        <v>2</v>
      </c>
      <c r="B61" s="36" t="str">
        <f aca="false">INDEX(C_Name,A61)</f>
        <v>신길삼성래미안 84㎡</v>
      </c>
      <c r="C61" s="21" t="n">
        <v>3</v>
      </c>
      <c r="D61" s="8" t="n">
        <f aca="false">CHOOSE(C61,G1,G2,G3)</f>
        <v>0.06</v>
      </c>
      <c r="E61" s="21" t="n">
        <v>7</v>
      </c>
      <c r="F61" s="29" t="n">
        <f aca="false">INDEX(C_Price,A61)*(1+D61)^(E61-1)</f>
        <v>18.440748459328</v>
      </c>
      <c r="G61" s="29" t="n">
        <f aca="false">F61*Gongsi</f>
        <v>12.7241164369363</v>
      </c>
      <c r="H61" s="29" t="n">
        <f aca="false">G61*FairProp</f>
        <v>7.63446986216179</v>
      </c>
      <c r="I61" s="37" t="n">
        <f aca="false">IF(G61&lt;=SpcLimit,SUMPRODUCT((H61&gt;SLo)*(H61-SLo)*SD),SUMPRODUCT((H61&gt;GLo)*(H61-GLo)*GD))</f>
        <v>0.0242378794486472</v>
      </c>
      <c r="J61" s="37" t="n">
        <f aca="false">H61*CityRate</f>
        <v>0.0106882578070265</v>
      </c>
      <c r="K61" s="37" t="n">
        <f aca="false">I61*EduProp</f>
        <v>0.00484757588972944</v>
      </c>
      <c r="L61" s="29" t="n">
        <f aca="false">MAX(0,(G61-JongDeduct)*FairJong)</f>
        <v>0.434469862161794</v>
      </c>
      <c r="M61" s="37" t="n">
        <f aca="false">SUMPRODUCT((L61&gt;JLo)*(L61-JLo)*JD)</f>
        <v>0.00217234931080897</v>
      </c>
      <c r="N61" s="37" t="n">
        <f aca="false">M61*NongJong</f>
        <v>0.000434469862161794</v>
      </c>
      <c r="O61" s="38" t="n">
        <f aca="false">I61+J61+K61+M61+N61</f>
        <v>0.0423805323183739</v>
      </c>
    </row>
    <row r="62" customFormat="false" ht="15" hidden="false" customHeight="false" outlineLevel="0" collapsed="false">
      <c r="A62" s="21" t="n">
        <v>2</v>
      </c>
      <c r="B62" s="36" t="str">
        <f aca="false">INDEX(C_Name,A62)</f>
        <v>신길삼성래미안 84㎡</v>
      </c>
      <c r="C62" s="21" t="n">
        <v>3</v>
      </c>
      <c r="D62" s="8" t="n">
        <f aca="false">CHOOSE(C62,G1,G2,G3)</f>
        <v>0.06</v>
      </c>
      <c r="E62" s="21" t="n">
        <v>8</v>
      </c>
      <c r="F62" s="29" t="n">
        <f aca="false">INDEX(C_Price,A62)*(1+D62)^(E62-1)</f>
        <v>19.5471933668877</v>
      </c>
      <c r="G62" s="29" t="n">
        <f aca="false">F62*Gongsi</f>
        <v>13.4875634231525</v>
      </c>
      <c r="H62" s="29" t="n">
        <f aca="false">G62*FairProp</f>
        <v>8.0925380538915</v>
      </c>
      <c r="I62" s="37" t="n">
        <f aca="false">IF(G62&lt;=SpcLimit,SUMPRODUCT((H62&gt;SLo)*(H62-SLo)*SD),SUMPRODUCT((H62&gt;GLo)*(H62-GLo)*GD))</f>
        <v>0.026070152215566</v>
      </c>
      <c r="J62" s="37" t="n">
        <f aca="false">H62*CityRate</f>
        <v>0.0113295532754481</v>
      </c>
      <c r="K62" s="37" t="n">
        <f aca="false">I62*EduProp</f>
        <v>0.0052140304431132</v>
      </c>
      <c r="L62" s="29" t="n">
        <f aca="false">MAX(0,(G62-JongDeduct)*FairJong)</f>
        <v>0.892538053891502</v>
      </c>
      <c r="M62" s="37" t="n">
        <f aca="false">SUMPRODUCT((L62&gt;JLo)*(L62-JLo)*JD)</f>
        <v>0.00446269026945751</v>
      </c>
      <c r="N62" s="37" t="n">
        <f aca="false">M62*NongJong</f>
        <v>0.000892538053891502</v>
      </c>
      <c r="O62" s="38" t="n">
        <f aca="false">I62+J62+K62+M62+N62</f>
        <v>0.0479689642574763</v>
      </c>
    </row>
    <row r="63" customFormat="false" ht="15" hidden="false" customHeight="false" outlineLevel="0" collapsed="false">
      <c r="A63" s="21" t="n">
        <v>2</v>
      </c>
      <c r="B63" s="36" t="str">
        <f aca="false">INDEX(C_Name,A63)</f>
        <v>신길삼성래미안 84㎡</v>
      </c>
      <c r="C63" s="21" t="n">
        <v>3</v>
      </c>
      <c r="D63" s="8" t="n">
        <f aca="false">CHOOSE(C63,G1,G2,G3)</f>
        <v>0.06</v>
      </c>
      <c r="E63" s="21" t="n">
        <v>9</v>
      </c>
      <c r="F63" s="29" t="n">
        <f aca="false">INDEX(C_Price,A63)*(1+D63)^(E63-1)</f>
        <v>20.720024968901</v>
      </c>
      <c r="G63" s="29" t="n">
        <f aca="false">F63*Gongsi</f>
        <v>14.2968172285417</v>
      </c>
      <c r="H63" s="29" t="n">
        <f aca="false">G63*FairProp</f>
        <v>8.57809033712499</v>
      </c>
      <c r="I63" s="37" t="n">
        <f aca="false">IF(G63&lt;=SpcLimit,SUMPRODUCT((H63&gt;SLo)*(H63-SLo)*SD),SUMPRODUCT((H63&gt;GLo)*(H63-GLo)*GD))</f>
        <v>0.0280123613485</v>
      </c>
      <c r="J63" s="37" t="n">
        <f aca="false">H63*CityRate</f>
        <v>0.012009326471975</v>
      </c>
      <c r="K63" s="37" t="n">
        <f aca="false">I63*EduProp</f>
        <v>0.0056024722697</v>
      </c>
      <c r="L63" s="29" t="n">
        <f aca="false">MAX(0,(G63-JongDeduct)*FairJong)</f>
        <v>1.37809033712499</v>
      </c>
      <c r="M63" s="37" t="n">
        <f aca="false">SUMPRODUCT((L63&gt;JLo)*(L63-JLo)*JD)</f>
        <v>0.00689045168562497</v>
      </c>
      <c r="N63" s="37" t="n">
        <f aca="false">M63*NongJong</f>
        <v>0.00137809033712499</v>
      </c>
      <c r="O63" s="38" t="n">
        <f aca="false">I63+J63+K63+M63+N63</f>
        <v>0.0538927021129249</v>
      </c>
    </row>
    <row r="64" customFormat="false" ht="15" hidden="false" customHeight="false" outlineLevel="0" collapsed="false">
      <c r="A64" s="21" t="n">
        <v>2</v>
      </c>
      <c r="B64" s="36" t="str">
        <f aca="false">INDEX(C_Name,A64)</f>
        <v>신길삼성래미안 84㎡</v>
      </c>
      <c r="C64" s="21" t="n">
        <v>3</v>
      </c>
      <c r="D64" s="8" t="n">
        <f aca="false">CHOOSE(C64,G1,G2,G3)</f>
        <v>0.06</v>
      </c>
      <c r="E64" s="21" t="n">
        <v>10</v>
      </c>
      <c r="F64" s="29" t="n">
        <f aca="false">INDEX(C_Price,A64)*(1+D64)^(E64-1)</f>
        <v>21.963226467035</v>
      </c>
      <c r="G64" s="29" t="n">
        <f aca="false">F64*Gongsi</f>
        <v>15.1546262622542</v>
      </c>
      <c r="H64" s="29" t="n">
        <f aca="false">G64*FairProp</f>
        <v>9.09277575735249</v>
      </c>
      <c r="I64" s="37" t="n">
        <f aca="false">IF(G64&lt;=SpcLimit,SUMPRODUCT((H64&gt;SLo)*(H64-SLo)*SD),SUMPRODUCT((H64&gt;GLo)*(H64-GLo)*GD))</f>
        <v>0.03007110302941</v>
      </c>
      <c r="J64" s="37" t="n">
        <f aca="false">H64*CityRate</f>
        <v>0.0127298860602935</v>
      </c>
      <c r="K64" s="37" t="n">
        <f aca="false">I64*EduProp</f>
        <v>0.00601422060588199</v>
      </c>
      <c r="L64" s="29" t="n">
        <f aca="false">MAX(0,(G64-JongDeduct)*FairJong)</f>
        <v>1.89277575735249</v>
      </c>
      <c r="M64" s="37" t="n">
        <f aca="false">SUMPRODUCT((L64&gt;JLo)*(L64-JLo)*JD)</f>
        <v>0.00946387878676246</v>
      </c>
      <c r="N64" s="37" t="n">
        <f aca="false">M64*NongJong</f>
        <v>0.00189277575735249</v>
      </c>
      <c r="O64" s="38" t="n">
        <f aca="false">I64+J64+K64+M64+N64</f>
        <v>0.0601718642397004</v>
      </c>
    </row>
    <row r="65" customFormat="false" ht="15" hidden="false" customHeight="false" outlineLevel="0" collapsed="false">
      <c r="A65" s="21" t="n">
        <v>3</v>
      </c>
      <c r="B65" s="36" t="str">
        <f aca="false">INDEX(C_Name,A65)</f>
        <v>신길 래미안에스티움 84㎡</v>
      </c>
      <c r="C65" s="21" t="n">
        <v>1</v>
      </c>
      <c r="D65" s="8" t="n">
        <f aca="false">CHOOSE(C65,G1,G2,G3)</f>
        <v>0.02</v>
      </c>
      <c r="E65" s="21" t="n">
        <v>1</v>
      </c>
      <c r="F65" s="29" t="n">
        <f aca="false">INDEX(C_Price,A65)*(1+D65)^(E65-1)</f>
        <v>18.8</v>
      </c>
      <c r="G65" s="29" t="n">
        <f aca="false">F65*Gongsi</f>
        <v>12.972</v>
      </c>
      <c r="H65" s="29" t="n">
        <f aca="false">G65*FairProp</f>
        <v>7.7832</v>
      </c>
      <c r="I65" s="37" t="n">
        <f aca="false">IF(G65&lt;=SpcLimit,SUMPRODUCT((H65&gt;SLo)*(H65-SLo)*SD),SUMPRODUCT((H65&gt;GLo)*(H65-GLo)*GD))</f>
        <v>0.0248328</v>
      </c>
      <c r="J65" s="37" t="n">
        <f aca="false">H65*CityRate</f>
        <v>0.01089648</v>
      </c>
      <c r="K65" s="37" t="n">
        <f aca="false">I65*EduProp</f>
        <v>0.00496656</v>
      </c>
      <c r="L65" s="29" t="n">
        <f aca="false">MAX(0,(G65-JongDeduct)*FairJong)</f>
        <v>0.5832</v>
      </c>
      <c r="M65" s="37" t="n">
        <f aca="false">SUMPRODUCT((L65&gt;JLo)*(L65-JLo)*JD)</f>
        <v>0.002916</v>
      </c>
      <c r="N65" s="37" t="n">
        <f aca="false">M65*NongJong</f>
        <v>0.0005832</v>
      </c>
      <c r="O65" s="38" t="n">
        <f aca="false">I65+J65+K65+M65+N65</f>
        <v>0.04419504</v>
      </c>
    </row>
    <row r="66" customFormat="false" ht="15" hidden="false" customHeight="false" outlineLevel="0" collapsed="false">
      <c r="A66" s="21" t="n">
        <v>3</v>
      </c>
      <c r="B66" s="36" t="str">
        <f aca="false">INDEX(C_Name,A66)</f>
        <v>신길 래미안에스티움 84㎡</v>
      </c>
      <c r="C66" s="21" t="n">
        <v>1</v>
      </c>
      <c r="D66" s="8" t="n">
        <f aca="false">CHOOSE(C66,G1,G2,G3)</f>
        <v>0.02</v>
      </c>
      <c r="E66" s="21" t="n">
        <v>2</v>
      </c>
      <c r="F66" s="29" t="n">
        <f aca="false">INDEX(C_Price,A66)*(1+D66)^(E66-1)</f>
        <v>19.176</v>
      </c>
      <c r="G66" s="29" t="n">
        <f aca="false">F66*Gongsi</f>
        <v>13.23144</v>
      </c>
      <c r="H66" s="29" t="n">
        <f aca="false">G66*FairProp</f>
        <v>7.938864</v>
      </c>
      <c r="I66" s="37" t="n">
        <f aca="false">IF(G66&lt;=SpcLimit,SUMPRODUCT((H66&gt;SLo)*(H66-SLo)*SD),SUMPRODUCT((H66&gt;GLo)*(H66-GLo)*GD))</f>
        <v>0.025455456</v>
      </c>
      <c r="J66" s="37" t="n">
        <f aca="false">H66*CityRate</f>
        <v>0.0111144096</v>
      </c>
      <c r="K66" s="37" t="n">
        <f aca="false">I66*EduProp</f>
        <v>0.0050910912</v>
      </c>
      <c r="L66" s="29" t="n">
        <f aca="false">MAX(0,(G66-JongDeduct)*FairJong)</f>
        <v>0.738864000000001</v>
      </c>
      <c r="M66" s="37" t="n">
        <f aca="false">SUMPRODUCT((L66&gt;JLo)*(L66-JLo)*JD)</f>
        <v>0.00369432</v>
      </c>
      <c r="N66" s="37" t="n">
        <f aca="false">M66*NongJong</f>
        <v>0.000738864000000001</v>
      </c>
      <c r="O66" s="38" t="n">
        <f aca="false">I66+J66+K66+M66+N66</f>
        <v>0.0460941408</v>
      </c>
    </row>
    <row r="67" customFormat="false" ht="15" hidden="false" customHeight="false" outlineLevel="0" collapsed="false">
      <c r="A67" s="21" t="n">
        <v>3</v>
      </c>
      <c r="B67" s="36" t="str">
        <f aca="false">INDEX(C_Name,A67)</f>
        <v>신길 래미안에스티움 84㎡</v>
      </c>
      <c r="C67" s="21" t="n">
        <v>1</v>
      </c>
      <c r="D67" s="8" t="n">
        <f aca="false">CHOOSE(C67,G1,G2,G3)</f>
        <v>0.02</v>
      </c>
      <c r="E67" s="21" t="n">
        <v>3</v>
      </c>
      <c r="F67" s="29" t="n">
        <f aca="false">INDEX(C_Price,A67)*(1+D67)^(E67-1)</f>
        <v>19.55952</v>
      </c>
      <c r="G67" s="29" t="n">
        <f aca="false">F67*Gongsi</f>
        <v>13.4960688</v>
      </c>
      <c r="H67" s="29" t="n">
        <f aca="false">G67*FairProp</f>
        <v>8.09764128</v>
      </c>
      <c r="I67" s="37" t="n">
        <f aca="false">IF(G67&lt;=SpcLimit,SUMPRODUCT((H67&gt;SLo)*(H67-SLo)*SD),SUMPRODUCT((H67&gt;GLo)*(H67-GLo)*GD))</f>
        <v>0.02609056512</v>
      </c>
      <c r="J67" s="37" t="n">
        <f aca="false">H67*CityRate</f>
        <v>0.011336697792</v>
      </c>
      <c r="K67" s="37" t="n">
        <f aca="false">I67*EduProp</f>
        <v>0.005218113024</v>
      </c>
      <c r="L67" s="29" t="n">
        <f aca="false">MAX(0,(G67-JongDeduct)*FairJong)</f>
        <v>0.897641279999999</v>
      </c>
      <c r="M67" s="37" t="n">
        <f aca="false">SUMPRODUCT((L67&gt;JLo)*(L67-JLo)*JD)</f>
        <v>0.00448820639999999</v>
      </c>
      <c r="N67" s="37" t="n">
        <f aca="false">M67*NongJong</f>
        <v>0.000897641279999999</v>
      </c>
      <c r="O67" s="38" t="n">
        <f aca="false">I67+J67+K67+M67+N67</f>
        <v>0.048031223616</v>
      </c>
    </row>
    <row r="68" customFormat="false" ht="15" hidden="false" customHeight="false" outlineLevel="0" collapsed="false">
      <c r="A68" s="21" t="n">
        <v>3</v>
      </c>
      <c r="B68" s="36" t="str">
        <f aca="false">INDEX(C_Name,A68)</f>
        <v>신길 래미안에스티움 84㎡</v>
      </c>
      <c r="C68" s="21" t="n">
        <v>1</v>
      </c>
      <c r="D68" s="8" t="n">
        <f aca="false">CHOOSE(C68,G1,G2,G3)</f>
        <v>0.02</v>
      </c>
      <c r="E68" s="21" t="n">
        <v>4</v>
      </c>
      <c r="F68" s="29" t="n">
        <f aca="false">INDEX(C_Price,A68)*(1+D68)^(E68-1)</f>
        <v>19.9507104</v>
      </c>
      <c r="G68" s="29" t="n">
        <f aca="false">F68*Gongsi</f>
        <v>13.765990176</v>
      </c>
      <c r="H68" s="29" t="n">
        <f aca="false">G68*FairProp</f>
        <v>8.2595941056</v>
      </c>
      <c r="I68" s="37" t="n">
        <f aca="false">IF(G68&lt;=SpcLimit,SUMPRODUCT((H68&gt;SLo)*(H68-SLo)*SD),SUMPRODUCT((H68&gt;GLo)*(H68-GLo)*GD))</f>
        <v>0.0267383764224</v>
      </c>
      <c r="J68" s="37" t="n">
        <f aca="false">H68*CityRate</f>
        <v>0.01156343174784</v>
      </c>
      <c r="K68" s="37" t="n">
        <f aca="false">I68*EduProp</f>
        <v>0.00534767528448</v>
      </c>
      <c r="L68" s="29" t="n">
        <f aca="false">MAX(0,(G68-JongDeduct)*FairJong)</f>
        <v>1.0595941056</v>
      </c>
      <c r="M68" s="37" t="n">
        <f aca="false">SUMPRODUCT((L68&gt;JLo)*(L68-JLo)*JD)</f>
        <v>0.005297970528</v>
      </c>
      <c r="N68" s="37" t="n">
        <f aca="false">M68*NongJong</f>
        <v>0.0010595941056</v>
      </c>
      <c r="O68" s="38" t="n">
        <f aca="false">I68+J68+K68+M68+N68</f>
        <v>0.05000704808832</v>
      </c>
    </row>
    <row r="69" customFormat="false" ht="15" hidden="false" customHeight="false" outlineLevel="0" collapsed="false">
      <c r="A69" s="21" t="n">
        <v>3</v>
      </c>
      <c r="B69" s="36" t="str">
        <f aca="false">INDEX(C_Name,A69)</f>
        <v>신길 래미안에스티움 84㎡</v>
      </c>
      <c r="C69" s="21" t="n">
        <v>1</v>
      </c>
      <c r="D69" s="8" t="n">
        <f aca="false">CHOOSE(C69,G1,G2,G3)</f>
        <v>0.02</v>
      </c>
      <c r="E69" s="21" t="n">
        <v>5</v>
      </c>
      <c r="F69" s="29" t="n">
        <f aca="false">INDEX(C_Price,A69)*(1+D69)^(E69-1)</f>
        <v>20.349724608</v>
      </c>
      <c r="G69" s="29" t="n">
        <f aca="false">F69*Gongsi</f>
        <v>14.04130997952</v>
      </c>
      <c r="H69" s="29" t="n">
        <f aca="false">G69*FairProp</f>
        <v>8.424785987712</v>
      </c>
      <c r="I69" s="37" t="n">
        <f aca="false">IF(G69&lt;=SpcLimit,SUMPRODUCT((H69&gt;SLo)*(H69-SLo)*SD),SUMPRODUCT((H69&gt;GLo)*(H69-GLo)*GD))</f>
        <v>0.027399143950848</v>
      </c>
      <c r="J69" s="37" t="n">
        <f aca="false">H69*CityRate</f>
        <v>0.0117947003827968</v>
      </c>
      <c r="K69" s="37" t="n">
        <f aca="false">I69*EduProp</f>
        <v>0.0054798287901696</v>
      </c>
      <c r="L69" s="29" t="n">
        <f aca="false">MAX(0,(G69-JongDeduct)*FairJong)</f>
        <v>1.224785987712</v>
      </c>
      <c r="M69" s="37" t="n">
        <f aca="false">SUMPRODUCT((L69&gt;JLo)*(L69-JLo)*JD)</f>
        <v>0.00612392993855999</v>
      </c>
      <c r="N69" s="37" t="n">
        <f aca="false">M69*NongJong</f>
        <v>0.001224785987712</v>
      </c>
      <c r="O69" s="38" t="n">
        <f aca="false">I69+J69+K69+M69+N69</f>
        <v>0.0520223890500864</v>
      </c>
    </row>
    <row r="70" customFormat="false" ht="15" hidden="false" customHeight="false" outlineLevel="0" collapsed="false">
      <c r="A70" s="21" t="n">
        <v>3</v>
      </c>
      <c r="B70" s="36" t="str">
        <f aca="false">INDEX(C_Name,A70)</f>
        <v>신길 래미안에스티움 84㎡</v>
      </c>
      <c r="C70" s="21" t="n">
        <v>1</v>
      </c>
      <c r="D70" s="8" t="n">
        <f aca="false">CHOOSE(C70,G1,G2,G3)</f>
        <v>0.02</v>
      </c>
      <c r="E70" s="21" t="n">
        <v>6</v>
      </c>
      <c r="F70" s="29" t="n">
        <f aca="false">INDEX(C_Price,A70)*(1+D70)^(E70-1)</f>
        <v>20.75671910016</v>
      </c>
      <c r="G70" s="29" t="n">
        <f aca="false">F70*Gongsi</f>
        <v>14.3221361791104</v>
      </c>
      <c r="H70" s="29" t="n">
        <f aca="false">G70*FairProp</f>
        <v>8.59328170746624</v>
      </c>
      <c r="I70" s="37" t="n">
        <f aca="false">IF(G70&lt;=SpcLimit,SUMPRODUCT((H70&gt;SLo)*(H70-SLo)*SD),SUMPRODUCT((H70&gt;GLo)*(H70-GLo)*GD))</f>
        <v>0.028073126829865</v>
      </c>
      <c r="J70" s="37" t="n">
        <f aca="false">H70*CityRate</f>
        <v>0.0120305943904527</v>
      </c>
      <c r="K70" s="37" t="n">
        <f aca="false">I70*EduProp</f>
        <v>0.00561462536597299</v>
      </c>
      <c r="L70" s="29" t="n">
        <f aca="false">MAX(0,(G70-JongDeduct)*FairJong)</f>
        <v>1.39328170746624</v>
      </c>
      <c r="M70" s="37" t="n">
        <f aca="false">SUMPRODUCT((L70&gt;JLo)*(L70-JLo)*JD)</f>
        <v>0.0069664085373312</v>
      </c>
      <c r="N70" s="37" t="n">
        <f aca="false">M70*NongJong</f>
        <v>0.00139328170746624</v>
      </c>
      <c r="O70" s="38" t="n">
        <f aca="false">I70+J70+K70+M70+N70</f>
        <v>0.0540780368310881</v>
      </c>
    </row>
    <row r="71" customFormat="false" ht="15" hidden="false" customHeight="false" outlineLevel="0" collapsed="false">
      <c r="A71" s="21" t="n">
        <v>3</v>
      </c>
      <c r="B71" s="36" t="str">
        <f aca="false">INDEX(C_Name,A71)</f>
        <v>신길 래미안에스티움 84㎡</v>
      </c>
      <c r="C71" s="21" t="n">
        <v>1</v>
      </c>
      <c r="D71" s="8" t="n">
        <f aca="false">CHOOSE(C71,G1,G2,G3)</f>
        <v>0.02</v>
      </c>
      <c r="E71" s="21" t="n">
        <v>7</v>
      </c>
      <c r="F71" s="29" t="n">
        <f aca="false">INDEX(C_Price,A71)*(1+D71)^(E71-1)</f>
        <v>21.1718534821632</v>
      </c>
      <c r="G71" s="29" t="n">
        <f aca="false">F71*Gongsi</f>
        <v>14.6085789026926</v>
      </c>
      <c r="H71" s="29" t="n">
        <f aca="false">G71*FairProp</f>
        <v>8.76514734161556</v>
      </c>
      <c r="I71" s="37" t="n">
        <f aca="false">IF(G71&lt;=SpcLimit,SUMPRODUCT((H71&gt;SLo)*(H71-SLo)*SD),SUMPRODUCT((H71&gt;GLo)*(H71-GLo)*GD))</f>
        <v>0.0287605893664623</v>
      </c>
      <c r="J71" s="37" t="n">
        <f aca="false">H71*CityRate</f>
        <v>0.0122712062782618</v>
      </c>
      <c r="K71" s="37" t="n">
        <f aca="false">I71*EduProp</f>
        <v>0.00575211787329245</v>
      </c>
      <c r="L71" s="29" t="n">
        <f aca="false">MAX(0,(G71-JongDeduct)*FairJong)</f>
        <v>1.56514734161556</v>
      </c>
      <c r="M71" s="37" t="n">
        <f aca="false">SUMPRODUCT((L71&gt;JLo)*(L71-JLo)*JD)</f>
        <v>0.00782573670807782</v>
      </c>
      <c r="N71" s="37" t="n">
        <f aca="false">M71*NongJong</f>
        <v>0.00156514734161556</v>
      </c>
      <c r="O71" s="38" t="n">
        <f aca="false">I71+J71+K71+M71+N71</f>
        <v>0.0561747975677099</v>
      </c>
    </row>
    <row r="72" customFormat="false" ht="15" hidden="false" customHeight="false" outlineLevel="0" collapsed="false">
      <c r="A72" s="21" t="n">
        <v>3</v>
      </c>
      <c r="B72" s="36" t="str">
        <f aca="false">INDEX(C_Name,A72)</f>
        <v>신길 래미안에스티움 84㎡</v>
      </c>
      <c r="C72" s="21" t="n">
        <v>1</v>
      </c>
      <c r="D72" s="8" t="n">
        <f aca="false">CHOOSE(C72,G1,G2,G3)</f>
        <v>0.02</v>
      </c>
      <c r="E72" s="21" t="n">
        <v>8</v>
      </c>
      <c r="F72" s="29" t="n">
        <f aca="false">INDEX(C_Price,A72)*(1+D72)^(E72-1)</f>
        <v>21.5952905518065</v>
      </c>
      <c r="G72" s="29" t="n">
        <f aca="false">F72*Gongsi</f>
        <v>14.9007504807465</v>
      </c>
      <c r="H72" s="29" t="n">
        <f aca="false">G72*FairProp</f>
        <v>8.94045028844787</v>
      </c>
      <c r="I72" s="37" t="n">
        <f aca="false">IF(G72&lt;=SpcLimit,SUMPRODUCT((H72&gt;SLo)*(H72-SLo)*SD),SUMPRODUCT((H72&gt;GLo)*(H72-GLo)*GD))</f>
        <v>0.0294618011537915</v>
      </c>
      <c r="J72" s="37" t="n">
        <f aca="false">H72*CityRate</f>
        <v>0.012516630403827</v>
      </c>
      <c r="K72" s="37" t="n">
        <f aca="false">I72*EduProp</f>
        <v>0.0058923602307583</v>
      </c>
      <c r="L72" s="29" t="n">
        <f aca="false">MAX(0,(G72-JongDeduct)*FairJong)</f>
        <v>1.74045028844787</v>
      </c>
      <c r="M72" s="37" t="n">
        <f aca="false">SUMPRODUCT((L72&gt;JLo)*(L72-JLo)*JD)</f>
        <v>0.00870225144223938</v>
      </c>
      <c r="N72" s="37" t="n">
        <f aca="false">M72*NongJong</f>
        <v>0.00174045028844788</v>
      </c>
      <c r="O72" s="38" t="n">
        <f aca="false">I72+J72+K72+M72+N72</f>
        <v>0.0583134935190641</v>
      </c>
    </row>
    <row r="73" customFormat="false" ht="15" hidden="false" customHeight="false" outlineLevel="0" collapsed="false">
      <c r="A73" s="21" t="n">
        <v>3</v>
      </c>
      <c r="B73" s="36" t="str">
        <f aca="false">INDEX(C_Name,A73)</f>
        <v>신길 래미안에스티움 84㎡</v>
      </c>
      <c r="C73" s="21" t="n">
        <v>1</v>
      </c>
      <c r="D73" s="8" t="n">
        <f aca="false">CHOOSE(C73,G1,G2,G3)</f>
        <v>0.02</v>
      </c>
      <c r="E73" s="21" t="n">
        <v>9</v>
      </c>
      <c r="F73" s="29" t="n">
        <f aca="false">INDEX(C_Price,A73)*(1+D73)^(E73-1)</f>
        <v>22.0271963628426</v>
      </c>
      <c r="G73" s="29" t="n">
        <f aca="false">F73*Gongsi</f>
        <v>15.1987654903614</v>
      </c>
      <c r="H73" s="29" t="n">
        <f aca="false">G73*FairProp</f>
        <v>9.11925929421683</v>
      </c>
      <c r="I73" s="37" t="n">
        <f aca="false">IF(G73&lt;=SpcLimit,SUMPRODUCT((H73&gt;SLo)*(H73-SLo)*SD),SUMPRODUCT((H73&gt;GLo)*(H73-GLo)*GD))</f>
        <v>0.0301770371768673</v>
      </c>
      <c r="J73" s="37" t="n">
        <f aca="false">H73*CityRate</f>
        <v>0.0127669630119036</v>
      </c>
      <c r="K73" s="37" t="n">
        <f aca="false">I73*EduProp</f>
        <v>0.00603540743537347</v>
      </c>
      <c r="L73" s="29" t="n">
        <f aca="false">MAX(0,(G73-JongDeduct)*FairJong)</f>
        <v>1.91925929421683</v>
      </c>
      <c r="M73" s="37" t="n">
        <f aca="false">SUMPRODUCT((L73&gt;JLo)*(L73-JLo)*JD)</f>
        <v>0.00959629647108417</v>
      </c>
      <c r="N73" s="37" t="n">
        <f aca="false">M73*NongJong</f>
        <v>0.00191925929421683</v>
      </c>
      <c r="O73" s="38" t="n">
        <f aca="false">I73+J73+K73+M73+N73</f>
        <v>0.0604949633894454</v>
      </c>
    </row>
    <row r="74" customFormat="false" ht="15" hidden="false" customHeight="false" outlineLevel="0" collapsed="false">
      <c r="A74" s="21" t="n">
        <v>3</v>
      </c>
      <c r="B74" s="36" t="str">
        <f aca="false">INDEX(C_Name,A74)</f>
        <v>신길 래미안에스티움 84㎡</v>
      </c>
      <c r="C74" s="21" t="n">
        <v>1</v>
      </c>
      <c r="D74" s="8" t="n">
        <f aca="false">CHOOSE(C74,G1,G2,G3)</f>
        <v>0.02</v>
      </c>
      <c r="E74" s="21" t="n">
        <v>10</v>
      </c>
      <c r="F74" s="29" t="n">
        <f aca="false">INDEX(C_Price,A74)*(1+D74)^(E74-1)</f>
        <v>22.4677402900995</v>
      </c>
      <c r="G74" s="29" t="n">
        <f aca="false">F74*Gongsi</f>
        <v>15.5027408001686</v>
      </c>
      <c r="H74" s="29" t="n">
        <f aca="false">G74*FairProp</f>
        <v>9.30164448010117</v>
      </c>
      <c r="I74" s="37" t="n">
        <f aca="false">IF(G74&lt;=SpcLimit,SUMPRODUCT((H74&gt;SLo)*(H74-SLo)*SD),SUMPRODUCT((H74&gt;GLo)*(H74-GLo)*GD))</f>
        <v>0.0309065779204047</v>
      </c>
      <c r="J74" s="37" t="n">
        <f aca="false">H74*CityRate</f>
        <v>0.0130223022721416</v>
      </c>
      <c r="K74" s="37" t="n">
        <f aca="false">I74*EduProp</f>
        <v>0.00618131558408094</v>
      </c>
      <c r="L74" s="29" t="n">
        <f aca="false">MAX(0,(G74-JongDeduct)*FairJong)</f>
        <v>2.10164448010117</v>
      </c>
      <c r="M74" s="37" t="n">
        <f aca="false">SUMPRODUCT((L74&gt;JLo)*(L74-JLo)*JD)</f>
        <v>0.0105082224005059</v>
      </c>
      <c r="N74" s="37" t="n">
        <f aca="false">M74*NongJong</f>
        <v>0.00210164448010117</v>
      </c>
      <c r="O74" s="38" t="n">
        <f aca="false">I74+J74+K74+M74+N74</f>
        <v>0.0627200626572343</v>
      </c>
    </row>
    <row r="75" customFormat="false" ht="15" hidden="false" customHeight="false" outlineLevel="0" collapsed="false">
      <c r="A75" s="21" t="n">
        <v>3</v>
      </c>
      <c r="B75" s="36" t="str">
        <f aca="false">INDEX(C_Name,A75)</f>
        <v>신길 래미안에스티움 84㎡</v>
      </c>
      <c r="C75" s="21" t="n">
        <v>2</v>
      </c>
      <c r="D75" s="8" t="n">
        <f aca="false">CHOOSE(C75,G1,G2,G3)</f>
        <v>0.04</v>
      </c>
      <c r="E75" s="21" t="n">
        <v>1</v>
      </c>
      <c r="F75" s="29" t="n">
        <f aca="false">INDEX(C_Price,A75)*(1+D75)^(E75-1)</f>
        <v>18.8</v>
      </c>
      <c r="G75" s="29" t="n">
        <f aca="false">F75*Gongsi</f>
        <v>12.972</v>
      </c>
      <c r="H75" s="29" t="n">
        <f aca="false">G75*FairProp</f>
        <v>7.7832</v>
      </c>
      <c r="I75" s="37" t="n">
        <f aca="false">IF(G75&lt;=SpcLimit,SUMPRODUCT((H75&gt;SLo)*(H75-SLo)*SD),SUMPRODUCT((H75&gt;GLo)*(H75-GLo)*GD))</f>
        <v>0.0248328</v>
      </c>
      <c r="J75" s="37" t="n">
        <f aca="false">H75*CityRate</f>
        <v>0.01089648</v>
      </c>
      <c r="K75" s="37" t="n">
        <f aca="false">I75*EduProp</f>
        <v>0.00496656</v>
      </c>
      <c r="L75" s="29" t="n">
        <f aca="false">MAX(0,(G75-JongDeduct)*FairJong)</f>
        <v>0.5832</v>
      </c>
      <c r="M75" s="37" t="n">
        <f aca="false">SUMPRODUCT((L75&gt;JLo)*(L75-JLo)*JD)</f>
        <v>0.002916</v>
      </c>
      <c r="N75" s="37" t="n">
        <f aca="false">M75*NongJong</f>
        <v>0.0005832</v>
      </c>
      <c r="O75" s="38" t="n">
        <f aca="false">I75+J75+K75+M75+N75</f>
        <v>0.04419504</v>
      </c>
    </row>
    <row r="76" customFormat="false" ht="15" hidden="false" customHeight="false" outlineLevel="0" collapsed="false">
      <c r="A76" s="21" t="n">
        <v>3</v>
      </c>
      <c r="B76" s="36" t="str">
        <f aca="false">INDEX(C_Name,A76)</f>
        <v>신길 래미안에스티움 84㎡</v>
      </c>
      <c r="C76" s="21" t="n">
        <v>2</v>
      </c>
      <c r="D76" s="8" t="n">
        <f aca="false">CHOOSE(C76,G1,G2,G3)</f>
        <v>0.04</v>
      </c>
      <c r="E76" s="21" t="n">
        <v>2</v>
      </c>
      <c r="F76" s="29" t="n">
        <f aca="false">INDEX(C_Price,A76)*(1+D76)^(E76-1)</f>
        <v>19.552</v>
      </c>
      <c r="G76" s="29" t="n">
        <f aca="false">F76*Gongsi</f>
        <v>13.49088</v>
      </c>
      <c r="H76" s="29" t="n">
        <f aca="false">G76*FairProp</f>
        <v>8.094528</v>
      </c>
      <c r="I76" s="37" t="n">
        <f aca="false">IF(G76&lt;=SpcLimit,SUMPRODUCT((H76&gt;SLo)*(H76-SLo)*SD),SUMPRODUCT((H76&gt;GLo)*(H76-GLo)*GD))</f>
        <v>0.026078112</v>
      </c>
      <c r="J76" s="37" t="n">
        <f aca="false">H76*CityRate</f>
        <v>0.0113323392</v>
      </c>
      <c r="K76" s="37" t="n">
        <f aca="false">I76*EduProp</f>
        <v>0.0052156224</v>
      </c>
      <c r="L76" s="29" t="n">
        <f aca="false">MAX(0,(G76-JongDeduct)*FairJong)</f>
        <v>0.894528</v>
      </c>
      <c r="M76" s="37" t="n">
        <f aca="false">SUMPRODUCT((L76&gt;JLo)*(L76-JLo)*JD)</f>
        <v>0.00447264</v>
      </c>
      <c r="N76" s="37" t="n">
        <f aca="false">M76*NongJong</f>
        <v>0.000894528</v>
      </c>
      <c r="O76" s="38" t="n">
        <f aca="false">I76+J76+K76+M76+N76</f>
        <v>0.0479932416</v>
      </c>
    </row>
    <row r="77" customFormat="false" ht="15" hidden="false" customHeight="false" outlineLevel="0" collapsed="false">
      <c r="A77" s="21" t="n">
        <v>3</v>
      </c>
      <c r="B77" s="36" t="str">
        <f aca="false">INDEX(C_Name,A77)</f>
        <v>신길 래미안에스티움 84㎡</v>
      </c>
      <c r="C77" s="21" t="n">
        <v>2</v>
      </c>
      <c r="D77" s="8" t="n">
        <f aca="false">CHOOSE(C77,G1,G2,G3)</f>
        <v>0.04</v>
      </c>
      <c r="E77" s="21" t="n">
        <v>3</v>
      </c>
      <c r="F77" s="29" t="n">
        <f aca="false">INDEX(C_Price,A77)*(1+D77)^(E77-1)</f>
        <v>20.33408</v>
      </c>
      <c r="G77" s="29" t="n">
        <f aca="false">F77*Gongsi</f>
        <v>14.0305152</v>
      </c>
      <c r="H77" s="29" t="n">
        <f aca="false">G77*FairProp</f>
        <v>8.41830912</v>
      </c>
      <c r="I77" s="37" t="n">
        <f aca="false">IF(G77&lt;=SpcLimit,SUMPRODUCT((H77&gt;SLo)*(H77-SLo)*SD),SUMPRODUCT((H77&gt;GLo)*(H77-GLo)*GD))</f>
        <v>0.02737323648</v>
      </c>
      <c r="J77" s="37" t="n">
        <f aca="false">H77*CityRate</f>
        <v>0.011785632768</v>
      </c>
      <c r="K77" s="37" t="n">
        <f aca="false">I77*EduProp</f>
        <v>0.005474647296</v>
      </c>
      <c r="L77" s="29" t="n">
        <f aca="false">MAX(0,(G77-JongDeduct)*FairJong)</f>
        <v>1.21830912</v>
      </c>
      <c r="M77" s="37" t="n">
        <f aca="false">SUMPRODUCT((L77&gt;JLo)*(L77-JLo)*JD)</f>
        <v>0.00609154560000001</v>
      </c>
      <c r="N77" s="37" t="n">
        <f aca="false">M77*NongJong</f>
        <v>0.00121830912</v>
      </c>
      <c r="O77" s="38" t="n">
        <f aca="false">I77+J77+K77+M77+N77</f>
        <v>0.051943371264</v>
      </c>
    </row>
    <row r="78" customFormat="false" ht="15" hidden="false" customHeight="false" outlineLevel="0" collapsed="false">
      <c r="A78" s="21" t="n">
        <v>3</v>
      </c>
      <c r="B78" s="36" t="str">
        <f aca="false">INDEX(C_Name,A78)</f>
        <v>신길 래미안에스티움 84㎡</v>
      </c>
      <c r="C78" s="21" t="n">
        <v>2</v>
      </c>
      <c r="D78" s="8" t="n">
        <f aca="false">CHOOSE(C78,G1,G2,G3)</f>
        <v>0.04</v>
      </c>
      <c r="E78" s="21" t="n">
        <v>4</v>
      </c>
      <c r="F78" s="29" t="n">
        <f aca="false">INDEX(C_Price,A78)*(1+D78)^(E78-1)</f>
        <v>21.1474432</v>
      </c>
      <c r="G78" s="29" t="n">
        <f aca="false">F78*Gongsi</f>
        <v>14.591735808</v>
      </c>
      <c r="H78" s="29" t="n">
        <f aca="false">G78*FairProp</f>
        <v>8.7550414848</v>
      </c>
      <c r="I78" s="37" t="n">
        <f aca="false">IF(G78&lt;=SpcLimit,SUMPRODUCT((H78&gt;SLo)*(H78-SLo)*SD),SUMPRODUCT((H78&gt;GLo)*(H78-GLo)*GD))</f>
        <v>0.0287201659392</v>
      </c>
      <c r="J78" s="37" t="n">
        <f aca="false">H78*CityRate</f>
        <v>0.01225705807872</v>
      </c>
      <c r="K78" s="37" t="n">
        <f aca="false">I78*EduProp</f>
        <v>0.00574403318784</v>
      </c>
      <c r="L78" s="29" t="n">
        <f aca="false">MAX(0,(G78-JongDeduct)*FairJong)</f>
        <v>1.5550414848</v>
      </c>
      <c r="M78" s="37" t="n">
        <f aca="false">SUMPRODUCT((L78&gt;JLo)*(L78-JLo)*JD)</f>
        <v>0.007775207424</v>
      </c>
      <c r="N78" s="37" t="n">
        <f aca="false">M78*NongJong</f>
        <v>0.0015550414848</v>
      </c>
      <c r="O78" s="38" t="n">
        <f aca="false">I78+J78+K78+M78+N78</f>
        <v>0.05605150611456</v>
      </c>
    </row>
    <row r="79" customFormat="false" ht="15" hidden="false" customHeight="false" outlineLevel="0" collapsed="false">
      <c r="A79" s="21" t="n">
        <v>3</v>
      </c>
      <c r="B79" s="36" t="str">
        <f aca="false">INDEX(C_Name,A79)</f>
        <v>신길 래미안에스티움 84㎡</v>
      </c>
      <c r="C79" s="21" t="n">
        <v>2</v>
      </c>
      <c r="D79" s="8" t="n">
        <f aca="false">CHOOSE(C79,G1,G2,G3)</f>
        <v>0.04</v>
      </c>
      <c r="E79" s="21" t="n">
        <v>5</v>
      </c>
      <c r="F79" s="29" t="n">
        <f aca="false">INDEX(C_Price,A79)*(1+D79)^(E79-1)</f>
        <v>21.993340928</v>
      </c>
      <c r="G79" s="29" t="n">
        <f aca="false">F79*Gongsi</f>
        <v>15.17540524032</v>
      </c>
      <c r="H79" s="29" t="n">
        <f aca="false">G79*FairProp</f>
        <v>9.105243144192</v>
      </c>
      <c r="I79" s="37" t="n">
        <f aca="false">IF(G79&lt;=SpcLimit,SUMPRODUCT((H79&gt;SLo)*(H79-SLo)*SD),SUMPRODUCT((H79&gt;GLo)*(H79-GLo)*GD))</f>
        <v>0.030120972576768</v>
      </c>
      <c r="J79" s="37" t="n">
        <f aca="false">H79*CityRate</f>
        <v>0.0127473404018688</v>
      </c>
      <c r="K79" s="37" t="n">
        <f aca="false">I79*EduProp</f>
        <v>0.0060241945153536</v>
      </c>
      <c r="L79" s="29" t="n">
        <f aca="false">MAX(0,(G79-JongDeduct)*FairJong)</f>
        <v>1.905243144192</v>
      </c>
      <c r="M79" s="37" t="n">
        <f aca="false">SUMPRODUCT((L79&gt;JLo)*(L79-JLo)*JD)</f>
        <v>0.00952621572096001</v>
      </c>
      <c r="N79" s="37" t="n">
        <f aca="false">M79*NongJong</f>
        <v>0.001905243144192</v>
      </c>
      <c r="O79" s="38" t="n">
        <f aca="false">I79+J79+K79+M79+N79</f>
        <v>0.0603239663591424</v>
      </c>
    </row>
    <row r="80" customFormat="false" ht="15" hidden="false" customHeight="false" outlineLevel="0" collapsed="false">
      <c r="A80" s="21" t="n">
        <v>3</v>
      </c>
      <c r="B80" s="36" t="str">
        <f aca="false">INDEX(C_Name,A80)</f>
        <v>신길 래미안에스티움 84㎡</v>
      </c>
      <c r="C80" s="21" t="n">
        <v>2</v>
      </c>
      <c r="D80" s="8" t="n">
        <f aca="false">CHOOSE(C80,G1,G2,G3)</f>
        <v>0.04</v>
      </c>
      <c r="E80" s="21" t="n">
        <v>6</v>
      </c>
      <c r="F80" s="29" t="n">
        <f aca="false">INDEX(C_Price,A80)*(1+D80)^(E80-1)</f>
        <v>22.87307456512</v>
      </c>
      <c r="G80" s="29" t="n">
        <f aca="false">F80*Gongsi</f>
        <v>15.7824214499328</v>
      </c>
      <c r="H80" s="29" t="n">
        <f aca="false">G80*FairProp</f>
        <v>9.46945286995968</v>
      </c>
      <c r="I80" s="37" t="n">
        <f aca="false">IF(G80&lt;=SpcLimit,SUMPRODUCT((H80&gt;SLo)*(H80-SLo)*SD),SUMPRODUCT((H80&gt;GLo)*(H80-GLo)*GD))</f>
        <v>0.0315778114798387</v>
      </c>
      <c r="J80" s="37" t="n">
        <f aca="false">H80*CityRate</f>
        <v>0.0132572340179436</v>
      </c>
      <c r="K80" s="37" t="n">
        <f aca="false">I80*EduProp</f>
        <v>0.00631556229596774</v>
      </c>
      <c r="L80" s="29" t="n">
        <f aca="false">MAX(0,(G80-JongDeduct)*FairJong)</f>
        <v>2.26945286995968</v>
      </c>
      <c r="M80" s="37" t="n">
        <f aca="false">SUMPRODUCT((L80&gt;JLo)*(L80-JLo)*JD)</f>
        <v>0.0113472643497984</v>
      </c>
      <c r="N80" s="37" t="n">
        <f aca="false">M80*NongJong</f>
        <v>0.00226945286995968</v>
      </c>
      <c r="O80" s="38" t="n">
        <f aca="false">I80+J80+K80+M80+N80</f>
        <v>0.0647673250135081</v>
      </c>
    </row>
    <row r="81" customFormat="false" ht="15" hidden="false" customHeight="false" outlineLevel="0" collapsed="false">
      <c r="A81" s="21" t="n">
        <v>3</v>
      </c>
      <c r="B81" s="36" t="str">
        <f aca="false">INDEX(C_Name,A81)</f>
        <v>신길 래미안에스티움 84㎡</v>
      </c>
      <c r="C81" s="21" t="n">
        <v>2</v>
      </c>
      <c r="D81" s="8" t="n">
        <f aca="false">CHOOSE(C81,G1,G2,G3)</f>
        <v>0.04</v>
      </c>
      <c r="E81" s="21" t="n">
        <v>7</v>
      </c>
      <c r="F81" s="29" t="n">
        <f aca="false">INDEX(C_Price,A81)*(1+D81)^(E81-1)</f>
        <v>23.7879975477248</v>
      </c>
      <c r="G81" s="29" t="n">
        <f aca="false">F81*Gongsi</f>
        <v>16.4137183079301</v>
      </c>
      <c r="H81" s="29" t="n">
        <f aca="false">G81*FairProp</f>
        <v>9.84823098475807</v>
      </c>
      <c r="I81" s="37" t="n">
        <f aca="false">IF(G81&lt;=SpcLimit,SUMPRODUCT((H81&gt;SLo)*(H81-SLo)*SD),SUMPRODUCT((H81&gt;GLo)*(H81-GLo)*GD))</f>
        <v>0.0330929239390323</v>
      </c>
      <c r="J81" s="37" t="n">
        <f aca="false">H81*CityRate</f>
        <v>0.0137875233786613</v>
      </c>
      <c r="K81" s="37" t="n">
        <f aca="false">I81*EduProp</f>
        <v>0.00661858478780646</v>
      </c>
      <c r="L81" s="29" t="n">
        <f aca="false">MAX(0,(G81-JongDeduct)*FairJong)</f>
        <v>2.64823098475807</v>
      </c>
      <c r="M81" s="37" t="n">
        <f aca="false">SUMPRODUCT((L81&gt;JLo)*(L81-JLo)*JD)</f>
        <v>0.0132411549237903</v>
      </c>
      <c r="N81" s="37" t="n">
        <f aca="false">M81*NongJong</f>
        <v>0.00264823098475807</v>
      </c>
      <c r="O81" s="38" t="n">
        <f aca="false">I81+J81+K81+M81+N81</f>
        <v>0.0693884180140484</v>
      </c>
    </row>
    <row r="82" customFormat="false" ht="15" hidden="false" customHeight="false" outlineLevel="0" collapsed="false">
      <c r="A82" s="21" t="n">
        <v>3</v>
      </c>
      <c r="B82" s="36" t="str">
        <f aca="false">INDEX(C_Name,A82)</f>
        <v>신길 래미안에스티움 84㎡</v>
      </c>
      <c r="C82" s="21" t="n">
        <v>2</v>
      </c>
      <c r="D82" s="8" t="n">
        <f aca="false">CHOOSE(C82,G1,G2,G3)</f>
        <v>0.04</v>
      </c>
      <c r="E82" s="21" t="n">
        <v>8</v>
      </c>
      <c r="F82" s="29" t="n">
        <f aca="false">INDEX(C_Price,A82)*(1+D82)^(E82-1)</f>
        <v>24.7395174496338</v>
      </c>
      <c r="G82" s="29" t="n">
        <f aca="false">F82*Gongsi</f>
        <v>17.0702670402473</v>
      </c>
      <c r="H82" s="29" t="n">
        <f aca="false">G82*FairProp</f>
        <v>10.2421602241484</v>
      </c>
      <c r="I82" s="37" t="n">
        <f aca="false">IF(G82&lt;=SpcLimit,SUMPRODUCT((H82&gt;SLo)*(H82-SLo)*SD),SUMPRODUCT((H82&gt;GLo)*(H82-GLo)*GD))</f>
        <v>0.0346686408965936</v>
      </c>
      <c r="J82" s="37" t="n">
        <f aca="false">H82*CityRate</f>
        <v>0.0143390243138077</v>
      </c>
      <c r="K82" s="37" t="n">
        <f aca="false">I82*EduProp</f>
        <v>0.00693372817931871</v>
      </c>
      <c r="L82" s="29" t="n">
        <f aca="false">MAX(0,(G82-JongDeduct)*FairJong)</f>
        <v>3.04216022414839</v>
      </c>
      <c r="M82" s="37" t="n">
        <f aca="false">SUMPRODUCT((L82&gt;JLo)*(L82-JLo)*JD)</f>
        <v>0.0152951215690387</v>
      </c>
      <c r="N82" s="37" t="n">
        <f aca="false">M82*NongJong</f>
        <v>0.00305902431380775</v>
      </c>
      <c r="O82" s="38" t="n">
        <f aca="false">I82+J82+K82+M82+N82</f>
        <v>0.0742955392725665</v>
      </c>
    </row>
    <row r="83" customFormat="false" ht="15" hidden="false" customHeight="false" outlineLevel="0" collapsed="false">
      <c r="A83" s="21" t="n">
        <v>3</v>
      </c>
      <c r="B83" s="36" t="str">
        <f aca="false">INDEX(C_Name,A83)</f>
        <v>신길 래미안에스티움 84㎡</v>
      </c>
      <c r="C83" s="21" t="n">
        <v>2</v>
      </c>
      <c r="D83" s="8" t="n">
        <f aca="false">CHOOSE(C83,G1,G2,G3)</f>
        <v>0.04</v>
      </c>
      <c r="E83" s="21" t="n">
        <v>9</v>
      </c>
      <c r="F83" s="29" t="n">
        <f aca="false">INDEX(C_Price,A83)*(1+D83)^(E83-1)</f>
        <v>25.7290981476192</v>
      </c>
      <c r="G83" s="29" t="n">
        <f aca="false">F83*Gongsi</f>
        <v>17.7530777218572</v>
      </c>
      <c r="H83" s="29" t="n">
        <f aca="false">G83*FairProp</f>
        <v>10.6518466331143</v>
      </c>
      <c r="I83" s="37" t="n">
        <f aca="false">IF(G83&lt;=SpcLimit,SUMPRODUCT((H83&gt;SLo)*(H83-SLo)*SD),SUMPRODUCT((H83&gt;GLo)*(H83-GLo)*GD))</f>
        <v>0.0363073865324573</v>
      </c>
      <c r="J83" s="37" t="n">
        <f aca="false">H83*CityRate</f>
        <v>0.0149125852863601</v>
      </c>
      <c r="K83" s="37" t="n">
        <f aca="false">I83*EduProp</f>
        <v>0.00726147730649146</v>
      </c>
      <c r="L83" s="29" t="n">
        <f aca="false">MAX(0,(G83-JongDeduct)*FairJong)</f>
        <v>3.45184663311433</v>
      </c>
      <c r="M83" s="37" t="n">
        <f aca="false">SUMPRODUCT((L83&gt;JLo)*(L83-JLo)*JD)</f>
        <v>0.0181629264318003</v>
      </c>
      <c r="N83" s="37" t="n">
        <f aca="false">M83*NongJong</f>
        <v>0.00363258528636006</v>
      </c>
      <c r="O83" s="38" t="n">
        <f aca="false">I83+J83+K83+M83+N83</f>
        <v>0.0802769608434692</v>
      </c>
    </row>
    <row r="84" customFormat="false" ht="15" hidden="false" customHeight="false" outlineLevel="0" collapsed="false">
      <c r="A84" s="21" t="n">
        <v>3</v>
      </c>
      <c r="B84" s="36" t="str">
        <f aca="false">INDEX(C_Name,A84)</f>
        <v>신길 래미안에스티움 84㎡</v>
      </c>
      <c r="C84" s="21" t="n">
        <v>2</v>
      </c>
      <c r="D84" s="8" t="n">
        <f aca="false">CHOOSE(C84,G1,G2,G3)</f>
        <v>0.04</v>
      </c>
      <c r="E84" s="21" t="n">
        <v>10</v>
      </c>
      <c r="F84" s="29" t="n">
        <f aca="false">INDEX(C_Price,A84)*(1+D84)^(E84-1)</f>
        <v>26.7582620735239</v>
      </c>
      <c r="G84" s="29" t="n">
        <f aca="false">F84*Gongsi</f>
        <v>18.4632008307315</v>
      </c>
      <c r="H84" s="29" t="n">
        <f aca="false">G84*FairProp</f>
        <v>11.0779204984389</v>
      </c>
      <c r="I84" s="37" t="n">
        <f aca="false">IF(G84&lt;=SpcLimit,SUMPRODUCT((H84&gt;SLo)*(H84-SLo)*SD),SUMPRODUCT((H84&gt;GLo)*(H84-GLo)*GD))</f>
        <v>0.0380116819937556</v>
      </c>
      <c r="J84" s="37" t="n">
        <f aca="false">H84*CityRate</f>
        <v>0.0155090886978145</v>
      </c>
      <c r="K84" s="37" t="n">
        <f aca="false">I84*EduProp</f>
        <v>0.00760233639875112</v>
      </c>
      <c r="L84" s="29" t="n">
        <f aca="false">MAX(0,(G84-JongDeduct)*FairJong)</f>
        <v>3.8779204984389</v>
      </c>
      <c r="M84" s="37" t="n">
        <f aca="false">SUMPRODUCT((L84&gt;JLo)*(L84-JLo)*JD)</f>
        <v>0.0211454434890723</v>
      </c>
      <c r="N84" s="37" t="n">
        <f aca="false">M84*NongJong</f>
        <v>0.00422908869781446</v>
      </c>
      <c r="O84" s="38" t="n">
        <f aca="false">I84+J84+K84+M84+N84</f>
        <v>0.086497639277208</v>
      </c>
    </row>
    <row r="85" customFormat="false" ht="15" hidden="false" customHeight="false" outlineLevel="0" collapsed="false">
      <c r="A85" s="21" t="n">
        <v>3</v>
      </c>
      <c r="B85" s="36" t="str">
        <f aca="false">INDEX(C_Name,A85)</f>
        <v>신길 래미안에스티움 84㎡</v>
      </c>
      <c r="C85" s="21" t="n">
        <v>3</v>
      </c>
      <c r="D85" s="8" t="n">
        <f aca="false">CHOOSE(C85,G1,G2,G3)</f>
        <v>0.06</v>
      </c>
      <c r="E85" s="21" t="n">
        <v>1</v>
      </c>
      <c r="F85" s="29" t="n">
        <f aca="false">INDEX(C_Price,A85)*(1+D85)^(E85-1)</f>
        <v>18.8</v>
      </c>
      <c r="G85" s="29" t="n">
        <f aca="false">F85*Gongsi</f>
        <v>12.972</v>
      </c>
      <c r="H85" s="29" t="n">
        <f aca="false">G85*FairProp</f>
        <v>7.7832</v>
      </c>
      <c r="I85" s="37" t="n">
        <f aca="false">IF(G85&lt;=SpcLimit,SUMPRODUCT((H85&gt;SLo)*(H85-SLo)*SD),SUMPRODUCT((H85&gt;GLo)*(H85-GLo)*GD))</f>
        <v>0.0248328</v>
      </c>
      <c r="J85" s="37" t="n">
        <f aca="false">H85*CityRate</f>
        <v>0.01089648</v>
      </c>
      <c r="K85" s="37" t="n">
        <f aca="false">I85*EduProp</f>
        <v>0.00496656</v>
      </c>
      <c r="L85" s="29" t="n">
        <f aca="false">MAX(0,(G85-JongDeduct)*FairJong)</f>
        <v>0.5832</v>
      </c>
      <c r="M85" s="37" t="n">
        <f aca="false">SUMPRODUCT((L85&gt;JLo)*(L85-JLo)*JD)</f>
        <v>0.002916</v>
      </c>
      <c r="N85" s="37" t="n">
        <f aca="false">M85*NongJong</f>
        <v>0.0005832</v>
      </c>
      <c r="O85" s="38" t="n">
        <f aca="false">I85+J85+K85+M85+N85</f>
        <v>0.04419504</v>
      </c>
    </row>
    <row r="86" customFormat="false" ht="15" hidden="false" customHeight="false" outlineLevel="0" collapsed="false">
      <c r="A86" s="21" t="n">
        <v>3</v>
      </c>
      <c r="B86" s="36" t="str">
        <f aca="false">INDEX(C_Name,A86)</f>
        <v>신길 래미안에스티움 84㎡</v>
      </c>
      <c r="C86" s="21" t="n">
        <v>3</v>
      </c>
      <c r="D86" s="8" t="n">
        <f aca="false">CHOOSE(C86,G1,G2,G3)</f>
        <v>0.06</v>
      </c>
      <c r="E86" s="21" t="n">
        <v>2</v>
      </c>
      <c r="F86" s="29" t="n">
        <f aca="false">INDEX(C_Price,A86)*(1+D86)^(E86-1)</f>
        <v>19.928</v>
      </c>
      <c r="G86" s="29" t="n">
        <f aca="false">F86*Gongsi</f>
        <v>13.75032</v>
      </c>
      <c r="H86" s="29" t="n">
        <f aca="false">G86*FairProp</f>
        <v>8.250192</v>
      </c>
      <c r="I86" s="37" t="n">
        <f aca="false">IF(G86&lt;=SpcLimit,SUMPRODUCT((H86&gt;SLo)*(H86-SLo)*SD),SUMPRODUCT((H86&gt;GLo)*(H86-GLo)*GD))</f>
        <v>0.026700768</v>
      </c>
      <c r="J86" s="37" t="n">
        <f aca="false">H86*CityRate</f>
        <v>0.0115502688</v>
      </c>
      <c r="K86" s="37" t="n">
        <f aca="false">I86*EduProp</f>
        <v>0.0053401536</v>
      </c>
      <c r="L86" s="29" t="n">
        <f aca="false">MAX(0,(G86-JongDeduct)*FairJong)</f>
        <v>1.050192</v>
      </c>
      <c r="M86" s="37" t="n">
        <f aca="false">SUMPRODUCT((L86&gt;JLo)*(L86-JLo)*JD)</f>
        <v>0.00525096</v>
      </c>
      <c r="N86" s="37" t="n">
        <f aca="false">M86*NongJong</f>
        <v>0.001050192</v>
      </c>
      <c r="O86" s="38" t="n">
        <f aca="false">I86+J86+K86+M86+N86</f>
        <v>0.0498923424</v>
      </c>
    </row>
    <row r="87" customFormat="false" ht="15" hidden="false" customHeight="false" outlineLevel="0" collapsed="false">
      <c r="A87" s="21" t="n">
        <v>3</v>
      </c>
      <c r="B87" s="36" t="str">
        <f aca="false">INDEX(C_Name,A87)</f>
        <v>신길 래미안에스티움 84㎡</v>
      </c>
      <c r="C87" s="21" t="n">
        <v>3</v>
      </c>
      <c r="D87" s="8" t="n">
        <f aca="false">CHOOSE(C87,G1,G2,G3)</f>
        <v>0.06</v>
      </c>
      <c r="E87" s="21" t="n">
        <v>3</v>
      </c>
      <c r="F87" s="29" t="n">
        <f aca="false">INDEX(C_Price,A87)*(1+D87)^(E87-1)</f>
        <v>21.12368</v>
      </c>
      <c r="G87" s="29" t="n">
        <f aca="false">F87*Gongsi</f>
        <v>14.5753392</v>
      </c>
      <c r="H87" s="29" t="n">
        <f aca="false">G87*FairProp</f>
        <v>8.74520352</v>
      </c>
      <c r="I87" s="37" t="n">
        <f aca="false">IF(G87&lt;=SpcLimit,SUMPRODUCT((H87&gt;SLo)*(H87-SLo)*SD),SUMPRODUCT((H87&gt;GLo)*(H87-GLo)*GD))</f>
        <v>0.02868081408</v>
      </c>
      <c r="J87" s="37" t="n">
        <f aca="false">H87*CityRate</f>
        <v>0.012243284928</v>
      </c>
      <c r="K87" s="37" t="n">
        <f aca="false">I87*EduProp</f>
        <v>0.005736162816</v>
      </c>
      <c r="L87" s="29" t="n">
        <f aca="false">MAX(0,(G87-JongDeduct)*FairJong)</f>
        <v>1.54520352</v>
      </c>
      <c r="M87" s="37" t="n">
        <f aca="false">SUMPRODUCT((L87&gt;JLo)*(L87-JLo)*JD)</f>
        <v>0.00772601760000001</v>
      </c>
      <c r="N87" s="37" t="n">
        <f aca="false">M87*NongJong</f>
        <v>0.00154520352</v>
      </c>
      <c r="O87" s="38" t="n">
        <f aca="false">I87+J87+K87+M87+N87</f>
        <v>0.055931482944</v>
      </c>
    </row>
    <row r="88" customFormat="false" ht="15" hidden="false" customHeight="false" outlineLevel="0" collapsed="false">
      <c r="A88" s="21" t="n">
        <v>3</v>
      </c>
      <c r="B88" s="36" t="str">
        <f aca="false">INDEX(C_Name,A88)</f>
        <v>신길 래미안에스티움 84㎡</v>
      </c>
      <c r="C88" s="21" t="n">
        <v>3</v>
      </c>
      <c r="D88" s="8" t="n">
        <f aca="false">CHOOSE(C88,G1,G2,G3)</f>
        <v>0.06</v>
      </c>
      <c r="E88" s="21" t="n">
        <v>4</v>
      </c>
      <c r="F88" s="29" t="n">
        <f aca="false">INDEX(C_Price,A88)*(1+D88)^(E88-1)</f>
        <v>22.3911008</v>
      </c>
      <c r="G88" s="29" t="n">
        <f aca="false">F88*Gongsi</f>
        <v>15.449859552</v>
      </c>
      <c r="H88" s="29" t="n">
        <f aca="false">G88*FairProp</f>
        <v>9.2699157312</v>
      </c>
      <c r="I88" s="37" t="n">
        <f aca="false">IF(G88&lt;=SpcLimit,SUMPRODUCT((H88&gt;SLo)*(H88-SLo)*SD),SUMPRODUCT((H88&gt;GLo)*(H88-GLo)*GD))</f>
        <v>0.0307796629248</v>
      </c>
      <c r="J88" s="37" t="n">
        <f aca="false">H88*CityRate</f>
        <v>0.01297788202368</v>
      </c>
      <c r="K88" s="37" t="n">
        <f aca="false">I88*EduProp</f>
        <v>0.00615593258496</v>
      </c>
      <c r="L88" s="29" t="n">
        <f aca="false">MAX(0,(G88-JongDeduct)*FairJong)</f>
        <v>2.0699157312</v>
      </c>
      <c r="M88" s="37" t="n">
        <f aca="false">SUMPRODUCT((L88&gt;JLo)*(L88-JLo)*JD)</f>
        <v>0.010349578656</v>
      </c>
      <c r="N88" s="37" t="n">
        <f aca="false">M88*NongJong</f>
        <v>0.0020699157312</v>
      </c>
      <c r="O88" s="38" t="n">
        <f aca="false">I88+J88+K88+M88+N88</f>
        <v>0.06233297192064</v>
      </c>
    </row>
    <row r="89" customFormat="false" ht="15" hidden="false" customHeight="false" outlineLevel="0" collapsed="false">
      <c r="A89" s="21" t="n">
        <v>3</v>
      </c>
      <c r="B89" s="36" t="str">
        <f aca="false">INDEX(C_Name,A89)</f>
        <v>신길 래미안에스티움 84㎡</v>
      </c>
      <c r="C89" s="21" t="n">
        <v>3</v>
      </c>
      <c r="D89" s="8" t="n">
        <f aca="false">CHOOSE(C89,G1,G2,G3)</f>
        <v>0.06</v>
      </c>
      <c r="E89" s="21" t="n">
        <v>5</v>
      </c>
      <c r="F89" s="29" t="n">
        <f aca="false">INDEX(C_Price,A89)*(1+D89)^(E89-1)</f>
        <v>23.734566848</v>
      </c>
      <c r="G89" s="29" t="n">
        <f aca="false">F89*Gongsi</f>
        <v>16.37685112512</v>
      </c>
      <c r="H89" s="29" t="n">
        <f aca="false">G89*FairProp</f>
        <v>9.826110675072</v>
      </c>
      <c r="I89" s="37" t="n">
        <f aca="false">IF(G89&lt;=SpcLimit,SUMPRODUCT((H89&gt;SLo)*(H89-SLo)*SD),SUMPRODUCT((H89&gt;GLo)*(H89-GLo)*GD))</f>
        <v>0.033004442700288</v>
      </c>
      <c r="J89" s="37" t="n">
        <f aca="false">H89*CityRate</f>
        <v>0.0137565549451008</v>
      </c>
      <c r="K89" s="37" t="n">
        <f aca="false">I89*EduProp</f>
        <v>0.0066008885400576</v>
      </c>
      <c r="L89" s="29" t="n">
        <f aca="false">MAX(0,(G89-JongDeduct)*FairJong)</f>
        <v>2.626110675072</v>
      </c>
      <c r="M89" s="37" t="n">
        <f aca="false">SUMPRODUCT((L89&gt;JLo)*(L89-JLo)*JD)</f>
        <v>0.01313055337536</v>
      </c>
      <c r="N89" s="37" t="n">
        <f aca="false">M89*NongJong</f>
        <v>0.002626110675072</v>
      </c>
      <c r="O89" s="38" t="n">
        <f aca="false">I89+J89+K89+M89+N89</f>
        <v>0.0691185502358784</v>
      </c>
    </row>
    <row r="90" customFormat="false" ht="15" hidden="false" customHeight="false" outlineLevel="0" collapsed="false">
      <c r="A90" s="21" t="n">
        <v>3</v>
      </c>
      <c r="B90" s="36" t="str">
        <f aca="false">INDEX(C_Name,A90)</f>
        <v>신길 래미안에스티움 84㎡</v>
      </c>
      <c r="C90" s="21" t="n">
        <v>3</v>
      </c>
      <c r="D90" s="8" t="n">
        <f aca="false">CHOOSE(C90,G1,G2,G3)</f>
        <v>0.06</v>
      </c>
      <c r="E90" s="21" t="n">
        <v>6</v>
      </c>
      <c r="F90" s="29" t="n">
        <f aca="false">INDEX(C_Price,A90)*(1+D90)^(E90-1)</f>
        <v>25.15864085888</v>
      </c>
      <c r="G90" s="29" t="n">
        <f aca="false">F90*Gongsi</f>
        <v>17.3594621926272</v>
      </c>
      <c r="H90" s="29" t="n">
        <f aca="false">G90*FairProp</f>
        <v>10.4156773155763</v>
      </c>
      <c r="I90" s="37" t="n">
        <f aca="false">IF(G90&lt;=SpcLimit,SUMPRODUCT((H90&gt;SLo)*(H90-SLo)*SD),SUMPRODUCT((H90&gt;GLo)*(H90-GLo)*GD))</f>
        <v>0.0353627092623053</v>
      </c>
      <c r="J90" s="37" t="n">
        <f aca="false">H90*CityRate</f>
        <v>0.0145819482418069</v>
      </c>
      <c r="K90" s="37" t="n">
        <f aca="false">I90*EduProp</f>
        <v>0.00707254185246106</v>
      </c>
      <c r="L90" s="29" t="n">
        <f aca="false">MAX(0,(G90-JongDeduct)*FairJong)</f>
        <v>3.21567731557632</v>
      </c>
      <c r="M90" s="37" t="n">
        <f aca="false">SUMPRODUCT((L90&gt;JLo)*(L90-JLo)*JD)</f>
        <v>0.0165097412090342</v>
      </c>
      <c r="N90" s="37" t="n">
        <f aca="false">M90*NongJong</f>
        <v>0.00330194824180685</v>
      </c>
      <c r="O90" s="38" t="n">
        <f aca="false">I90+J90+K90+M90+N90</f>
        <v>0.0768288888074143</v>
      </c>
    </row>
    <row r="91" customFormat="false" ht="15" hidden="false" customHeight="false" outlineLevel="0" collapsed="false">
      <c r="A91" s="21" t="n">
        <v>3</v>
      </c>
      <c r="B91" s="36" t="str">
        <f aca="false">INDEX(C_Name,A91)</f>
        <v>신길 래미안에스티움 84㎡</v>
      </c>
      <c r="C91" s="21" t="n">
        <v>3</v>
      </c>
      <c r="D91" s="8" t="n">
        <f aca="false">CHOOSE(C91,G1,G2,G3)</f>
        <v>0.06</v>
      </c>
      <c r="E91" s="21" t="n">
        <v>7</v>
      </c>
      <c r="F91" s="29" t="n">
        <f aca="false">INDEX(C_Price,A91)*(1+D91)^(E91-1)</f>
        <v>26.6681593104128</v>
      </c>
      <c r="G91" s="29" t="n">
        <f aca="false">F91*Gongsi</f>
        <v>18.4010299241848</v>
      </c>
      <c r="H91" s="29" t="n">
        <f aca="false">G91*FairProp</f>
        <v>11.0406179545109</v>
      </c>
      <c r="I91" s="37" t="n">
        <f aca="false">IF(G91&lt;=SpcLimit,SUMPRODUCT((H91&gt;SLo)*(H91-SLo)*SD),SUMPRODUCT((H91&gt;GLo)*(H91-GLo)*GD))</f>
        <v>0.0378624718180436</v>
      </c>
      <c r="J91" s="37" t="n">
        <f aca="false">H91*CityRate</f>
        <v>0.0154568651363153</v>
      </c>
      <c r="K91" s="37" t="n">
        <f aca="false">I91*EduProp</f>
        <v>0.00757249436360872</v>
      </c>
      <c r="L91" s="29" t="n">
        <f aca="false">MAX(0,(G91-JongDeduct)*FairJong)</f>
        <v>3.8406179545109</v>
      </c>
      <c r="M91" s="37" t="n">
        <f aca="false">SUMPRODUCT((L91&gt;JLo)*(L91-JLo)*JD)</f>
        <v>0.0208843256815763</v>
      </c>
      <c r="N91" s="37" t="n">
        <f aca="false">M91*NongJong</f>
        <v>0.00417686513631526</v>
      </c>
      <c r="O91" s="38" t="n">
        <f aca="false">I91+J91+K91+M91+N91</f>
        <v>0.0859530221358592</v>
      </c>
    </row>
    <row r="92" customFormat="false" ht="15" hidden="false" customHeight="false" outlineLevel="0" collapsed="false">
      <c r="A92" s="21" t="n">
        <v>3</v>
      </c>
      <c r="B92" s="36" t="str">
        <f aca="false">INDEX(C_Name,A92)</f>
        <v>신길 래미안에스티움 84㎡</v>
      </c>
      <c r="C92" s="21" t="n">
        <v>3</v>
      </c>
      <c r="D92" s="8" t="n">
        <f aca="false">CHOOSE(C92,G1,G2,G3)</f>
        <v>0.06</v>
      </c>
      <c r="E92" s="21" t="n">
        <v>8</v>
      </c>
      <c r="F92" s="29" t="n">
        <f aca="false">INDEX(C_Price,A92)*(1+D92)^(E92-1)</f>
        <v>28.2682488690376</v>
      </c>
      <c r="G92" s="29" t="n">
        <f aca="false">F92*Gongsi</f>
        <v>19.5050917196359</v>
      </c>
      <c r="H92" s="29" t="n">
        <f aca="false">G92*FairProp</f>
        <v>11.7030550317816</v>
      </c>
      <c r="I92" s="37" t="n">
        <f aca="false">IF(G92&lt;=SpcLimit,SUMPRODUCT((H92&gt;SLo)*(H92-SLo)*SD),SUMPRODUCT((H92&gt;GLo)*(H92-GLo)*GD))</f>
        <v>0.0405122201271262</v>
      </c>
      <c r="J92" s="37" t="n">
        <f aca="false">H92*CityRate</f>
        <v>0.0163842770444942</v>
      </c>
      <c r="K92" s="37" t="n">
        <f aca="false">I92*EduProp</f>
        <v>0.00810244402542525</v>
      </c>
      <c r="L92" s="29" t="n">
        <f aca="false">MAX(0,(G92-JongDeduct)*FairJong)</f>
        <v>4.50305503178156</v>
      </c>
      <c r="M92" s="37" t="n">
        <f aca="false">SUMPRODUCT((L92&gt;JLo)*(L92-JLo)*JD)</f>
        <v>0.0255213852224709</v>
      </c>
      <c r="N92" s="37" t="n">
        <f aca="false">M92*NongJong</f>
        <v>0.00510427704449418</v>
      </c>
      <c r="O92" s="38" t="n">
        <f aca="false">I92+J92+K92+M92+N92</f>
        <v>0.0956246034640107</v>
      </c>
    </row>
    <row r="93" customFormat="false" ht="15" hidden="false" customHeight="false" outlineLevel="0" collapsed="false">
      <c r="A93" s="21" t="n">
        <v>3</v>
      </c>
      <c r="B93" s="36" t="str">
        <f aca="false">INDEX(C_Name,A93)</f>
        <v>신길 래미안에스티움 84㎡</v>
      </c>
      <c r="C93" s="21" t="n">
        <v>3</v>
      </c>
      <c r="D93" s="8" t="n">
        <f aca="false">CHOOSE(C93,G1,G2,G3)</f>
        <v>0.06</v>
      </c>
      <c r="E93" s="21" t="n">
        <v>9</v>
      </c>
      <c r="F93" s="29" t="n">
        <f aca="false">INDEX(C_Price,A93)*(1+D93)^(E93-1)</f>
        <v>29.9643438011798</v>
      </c>
      <c r="G93" s="29" t="n">
        <f aca="false">F93*Gongsi</f>
        <v>20.6753972228141</v>
      </c>
      <c r="H93" s="29" t="n">
        <f aca="false">G93*FairProp</f>
        <v>12.4052383336885</v>
      </c>
      <c r="I93" s="37" t="n">
        <f aca="false">IF(G93&lt;=SpcLimit,SUMPRODUCT((H93&gt;SLo)*(H93-SLo)*SD),SUMPRODUCT((H93&gt;GLo)*(H93-GLo)*GD))</f>
        <v>0.0433209533347538</v>
      </c>
      <c r="J93" s="37" t="n">
        <f aca="false">H93*CityRate</f>
        <v>0.0173673336671638</v>
      </c>
      <c r="K93" s="37" t="n">
        <f aca="false">I93*EduProp</f>
        <v>0.00866419066695076</v>
      </c>
      <c r="L93" s="29" t="n">
        <f aca="false">MAX(0,(G93-JongDeduct)*FairJong)</f>
        <v>5.20523833368845</v>
      </c>
      <c r="M93" s="37" t="n">
        <f aca="false">SUMPRODUCT((L93&gt;JLo)*(L93-JLo)*JD)</f>
        <v>0.0304366683358192</v>
      </c>
      <c r="N93" s="37" t="n">
        <f aca="false">M93*NongJong</f>
        <v>0.00608733366716383</v>
      </c>
      <c r="O93" s="38" t="n">
        <f aca="false">I93+J93+K93+M93+N93</f>
        <v>0.105876479671851</v>
      </c>
    </row>
    <row r="94" customFormat="false" ht="15" hidden="false" customHeight="false" outlineLevel="0" collapsed="false">
      <c r="A94" s="21" t="n">
        <v>3</v>
      </c>
      <c r="B94" s="36" t="str">
        <f aca="false">INDEX(C_Name,A94)</f>
        <v>신길 래미안에스티움 84㎡</v>
      </c>
      <c r="C94" s="21" t="n">
        <v>3</v>
      </c>
      <c r="D94" s="8" t="n">
        <f aca="false">CHOOSE(C94,G1,G2,G3)</f>
        <v>0.06</v>
      </c>
      <c r="E94" s="21" t="n">
        <v>10</v>
      </c>
      <c r="F94" s="29" t="n">
        <f aca="false">INDEX(C_Price,A94)*(1+D94)^(E94-1)</f>
        <v>31.7622044292506</v>
      </c>
      <c r="G94" s="29" t="n">
        <f aca="false">F94*Gongsi</f>
        <v>21.9159210561829</v>
      </c>
      <c r="H94" s="29" t="n">
        <f aca="false">G94*FairProp</f>
        <v>13.1495526337098</v>
      </c>
      <c r="I94" s="37" t="n">
        <f aca="false">IF(G94&lt;=SpcLimit,SUMPRODUCT((H94&gt;SLo)*(H94-SLo)*SD),SUMPRODUCT((H94&gt;GLo)*(H94-GLo)*GD))</f>
        <v>0.046298210534839</v>
      </c>
      <c r="J94" s="37" t="n">
        <f aca="false">H94*CityRate</f>
        <v>0.0184093736871937</v>
      </c>
      <c r="K94" s="37" t="n">
        <f aca="false">I94*EduProp</f>
        <v>0.00925964210696781</v>
      </c>
      <c r="L94" s="29" t="n">
        <f aca="false">MAX(0,(G94-JongDeduct)*FairJong)</f>
        <v>5.94955263370976</v>
      </c>
      <c r="M94" s="37" t="n">
        <f aca="false">SUMPRODUCT((L94&gt;JLo)*(L94-JLo)*JD)</f>
        <v>0.0356468684359683</v>
      </c>
      <c r="N94" s="37" t="n">
        <f aca="false">M94*NongJong</f>
        <v>0.00712937368719366</v>
      </c>
      <c r="O94" s="38" t="n">
        <f aca="false">I94+J94+K94+M94+N94</f>
        <v>0.116743468452162</v>
      </c>
    </row>
    <row r="95" customFormat="false" ht="15" hidden="false" customHeight="false" outlineLevel="0" collapsed="false">
      <c r="A95" s="21" t="n">
        <v>4</v>
      </c>
      <c r="B95" s="36" t="str">
        <f aca="false">INDEX(C_Name,A95)</f>
        <v>신길 보라매SK뷰 84.98㎡</v>
      </c>
      <c r="C95" s="21" t="n">
        <v>1</v>
      </c>
      <c r="D95" s="8" t="n">
        <f aca="false">CHOOSE(C95,G1,G2,G3)</f>
        <v>0.02</v>
      </c>
      <c r="E95" s="21" t="n">
        <v>1</v>
      </c>
      <c r="F95" s="29" t="n">
        <f aca="false">INDEX(C_Price,A95)*(1+D95)^(E95-1)</f>
        <v>20.4</v>
      </c>
      <c r="G95" s="29" t="n">
        <f aca="false">F95*Gongsi</f>
        <v>14.076</v>
      </c>
      <c r="H95" s="29" t="n">
        <f aca="false">G95*FairProp</f>
        <v>8.4456</v>
      </c>
      <c r="I95" s="37" t="n">
        <f aca="false">IF(G95&lt;=SpcLimit,SUMPRODUCT((H95&gt;SLo)*(H95-SLo)*SD),SUMPRODUCT((H95&gt;GLo)*(H95-GLo)*GD))</f>
        <v>0.0274824</v>
      </c>
      <c r="J95" s="37" t="n">
        <f aca="false">H95*CityRate</f>
        <v>0.01182384</v>
      </c>
      <c r="K95" s="37" t="n">
        <f aca="false">I95*EduProp</f>
        <v>0.00549648</v>
      </c>
      <c r="L95" s="29" t="n">
        <f aca="false">MAX(0,(G95-JongDeduct)*FairJong)</f>
        <v>1.2456</v>
      </c>
      <c r="M95" s="37" t="n">
        <f aca="false">SUMPRODUCT((L95&gt;JLo)*(L95-JLo)*JD)</f>
        <v>0.006228</v>
      </c>
      <c r="N95" s="37" t="n">
        <f aca="false">M95*NongJong</f>
        <v>0.0012456</v>
      </c>
      <c r="O95" s="38" t="n">
        <f aca="false">I95+J95+K95+M95+N95</f>
        <v>0.05227632</v>
      </c>
    </row>
    <row r="96" customFormat="false" ht="15" hidden="false" customHeight="false" outlineLevel="0" collapsed="false">
      <c r="A96" s="21" t="n">
        <v>4</v>
      </c>
      <c r="B96" s="36" t="str">
        <f aca="false">INDEX(C_Name,A96)</f>
        <v>신길 보라매SK뷰 84.98㎡</v>
      </c>
      <c r="C96" s="21" t="n">
        <v>1</v>
      </c>
      <c r="D96" s="8" t="n">
        <f aca="false">CHOOSE(C96,G1,G2,G3)</f>
        <v>0.02</v>
      </c>
      <c r="E96" s="21" t="n">
        <v>2</v>
      </c>
      <c r="F96" s="29" t="n">
        <f aca="false">INDEX(C_Price,A96)*(1+D96)^(E96-1)</f>
        <v>20.808</v>
      </c>
      <c r="G96" s="29" t="n">
        <f aca="false">F96*Gongsi</f>
        <v>14.35752</v>
      </c>
      <c r="H96" s="29" t="n">
        <f aca="false">G96*FairProp</f>
        <v>8.614512</v>
      </c>
      <c r="I96" s="37" t="n">
        <f aca="false">IF(G96&lt;=SpcLimit,SUMPRODUCT((H96&gt;SLo)*(H96-SLo)*SD),SUMPRODUCT((H96&gt;GLo)*(H96-GLo)*GD))</f>
        <v>0.028158048</v>
      </c>
      <c r="J96" s="37" t="n">
        <f aca="false">H96*CityRate</f>
        <v>0.0120603168</v>
      </c>
      <c r="K96" s="37" t="n">
        <f aca="false">I96*EduProp</f>
        <v>0.0056316096</v>
      </c>
      <c r="L96" s="29" t="n">
        <f aca="false">MAX(0,(G96-JongDeduct)*FairJong)</f>
        <v>1.414512</v>
      </c>
      <c r="M96" s="37" t="n">
        <f aca="false">SUMPRODUCT((L96&gt;JLo)*(L96-JLo)*JD)</f>
        <v>0.00707256</v>
      </c>
      <c r="N96" s="37" t="n">
        <f aca="false">M96*NongJong</f>
        <v>0.001414512</v>
      </c>
      <c r="O96" s="38" t="n">
        <f aca="false">I96+J96+K96+M96+N96</f>
        <v>0.0543370464</v>
      </c>
    </row>
    <row r="97" customFormat="false" ht="15" hidden="false" customHeight="false" outlineLevel="0" collapsed="false">
      <c r="A97" s="21" t="n">
        <v>4</v>
      </c>
      <c r="B97" s="36" t="str">
        <f aca="false">INDEX(C_Name,A97)</f>
        <v>신길 보라매SK뷰 84.98㎡</v>
      </c>
      <c r="C97" s="21" t="n">
        <v>1</v>
      </c>
      <c r="D97" s="8" t="n">
        <f aca="false">CHOOSE(C97,G1,G2,G3)</f>
        <v>0.02</v>
      </c>
      <c r="E97" s="21" t="n">
        <v>3</v>
      </c>
      <c r="F97" s="29" t="n">
        <f aca="false">INDEX(C_Price,A97)*(1+D97)^(E97-1)</f>
        <v>21.22416</v>
      </c>
      <c r="G97" s="29" t="n">
        <f aca="false">F97*Gongsi</f>
        <v>14.6446704</v>
      </c>
      <c r="H97" s="29" t="n">
        <f aca="false">G97*FairProp</f>
        <v>8.78680224</v>
      </c>
      <c r="I97" s="37" t="n">
        <f aca="false">IF(G97&lt;=SpcLimit,SUMPRODUCT((H97&gt;SLo)*(H97-SLo)*SD),SUMPRODUCT((H97&gt;GLo)*(H97-GLo)*GD))</f>
        <v>0.02884720896</v>
      </c>
      <c r="J97" s="37" t="n">
        <f aca="false">H97*CityRate</f>
        <v>0.012301523136</v>
      </c>
      <c r="K97" s="37" t="n">
        <f aca="false">I97*EduProp</f>
        <v>0.005769441792</v>
      </c>
      <c r="L97" s="29" t="n">
        <f aca="false">MAX(0,(G97-JongDeduct)*FairJong)</f>
        <v>1.58680224</v>
      </c>
      <c r="M97" s="37" t="n">
        <f aca="false">SUMPRODUCT((L97&gt;JLo)*(L97-JLo)*JD)</f>
        <v>0.00793401119999999</v>
      </c>
      <c r="N97" s="37" t="n">
        <f aca="false">M97*NongJong</f>
        <v>0.00158680224</v>
      </c>
      <c r="O97" s="38" t="n">
        <f aca="false">I97+J97+K97+M97+N97</f>
        <v>0.056438987328</v>
      </c>
    </row>
    <row r="98" customFormat="false" ht="15" hidden="false" customHeight="false" outlineLevel="0" collapsed="false">
      <c r="A98" s="21" t="n">
        <v>4</v>
      </c>
      <c r="B98" s="36" t="str">
        <f aca="false">INDEX(C_Name,A98)</f>
        <v>신길 보라매SK뷰 84.98㎡</v>
      </c>
      <c r="C98" s="21" t="n">
        <v>1</v>
      </c>
      <c r="D98" s="8" t="n">
        <f aca="false">CHOOSE(C98,G1,G2,G3)</f>
        <v>0.02</v>
      </c>
      <c r="E98" s="21" t="n">
        <v>4</v>
      </c>
      <c r="F98" s="29" t="n">
        <f aca="false">INDEX(C_Price,A98)*(1+D98)^(E98-1)</f>
        <v>21.6486432</v>
      </c>
      <c r="G98" s="29" t="n">
        <f aca="false">F98*Gongsi</f>
        <v>14.937563808</v>
      </c>
      <c r="H98" s="29" t="n">
        <f aca="false">G98*FairProp</f>
        <v>8.9625382848</v>
      </c>
      <c r="I98" s="37" t="n">
        <f aca="false">IF(G98&lt;=SpcLimit,SUMPRODUCT((H98&gt;SLo)*(H98-SLo)*SD),SUMPRODUCT((H98&gt;GLo)*(H98-GLo)*GD))</f>
        <v>0.0295501531392</v>
      </c>
      <c r="J98" s="37" t="n">
        <f aca="false">H98*CityRate</f>
        <v>0.01254755359872</v>
      </c>
      <c r="K98" s="37" t="n">
        <f aca="false">I98*EduProp</f>
        <v>0.00591003062784</v>
      </c>
      <c r="L98" s="29" t="n">
        <f aca="false">MAX(0,(G98-JongDeduct)*FairJong)</f>
        <v>1.7625382848</v>
      </c>
      <c r="M98" s="37" t="n">
        <f aca="false">SUMPRODUCT((L98&gt;JLo)*(L98-JLo)*JD)</f>
        <v>0.008812691424</v>
      </c>
      <c r="N98" s="37" t="n">
        <f aca="false">M98*NongJong</f>
        <v>0.0017625382848</v>
      </c>
      <c r="O98" s="38" t="n">
        <f aca="false">I98+J98+K98+M98+N98</f>
        <v>0.05858296707456</v>
      </c>
    </row>
    <row r="99" customFormat="false" ht="15" hidden="false" customHeight="false" outlineLevel="0" collapsed="false">
      <c r="A99" s="21" t="n">
        <v>4</v>
      </c>
      <c r="B99" s="36" t="str">
        <f aca="false">INDEX(C_Name,A99)</f>
        <v>신길 보라매SK뷰 84.98㎡</v>
      </c>
      <c r="C99" s="21" t="n">
        <v>1</v>
      </c>
      <c r="D99" s="8" t="n">
        <f aca="false">CHOOSE(C99,G1,G2,G3)</f>
        <v>0.02</v>
      </c>
      <c r="E99" s="21" t="n">
        <v>5</v>
      </c>
      <c r="F99" s="29" t="n">
        <f aca="false">INDEX(C_Price,A99)*(1+D99)^(E99-1)</f>
        <v>22.081616064</v>
      </c>
      <c r="G99" s="29" t="n">
        <f aca="false">F99*Gongsi</f>
        <v>15.23631508416</v>
      </c>
      <c r="H99" s="29" t="n">
        <f aca="false">G99*FairProp</f>
        <v>9.141789050496</v>
      </c>
      <c r="I99" s="37" t="n">
        <f aca="false">IF(G99&lt;=SpcLimit,SUMPRODUCT((H99&gt;SLo)*(H99-SLo)*SD),SUMPRODUCT((H99&gt;GLo)*(H99-GLo)*GD))</f>
        <v>0.030267156201984</v>
      </c>
      <c r="J99" s="37" t="n">
        <f aca="false">H99*CityRate</f>
        <v>0.0127985046706944</v>
      </c>
      <c r="K99" s="37" t="n">
        <f aca="false">I99*EduProp</f>
        <v>0.0060534312403968</v>
      </c>
      <c r="L99" s="29" t="n">
        <f aca="false">MAX(0,(G99-JongDeduct)*FairJong)</f>
        <v>1.941789050496</v>
      </c>
      <c r="M99" s="37" t="n">
        <f aca="false">SUMPRODUCT((L99&gt;JLo)*(L99-JLo)*JD)</f>
        <v>0.00970894525247999</v>
      </c>
      <c r="N99" s="37" t="n">
        <f aca="false">M99*NongJong</f>
        <v>0.001941789050496</v>
      </c>
      <c r="O99" s="38" t="n">
        <f aca="false">I99+J99+K99+M99+N99</f>
        <v>0.0607698264160512</v>
      </c>
    </row>
    <row r="100" customFormat="false" ht="15" hidden="false" customHeight="false" outlineLevel="0" collapsed="false">
      <c r="A100" s="21" t="n">
        <v>4</v>
      </c>
      <c r="B100" s="36" t="str">
        <f aca="false">INDEX(C_Name,A100)</f>
        <v>신길 보라매SK뷰 84.98㎡</v>
      </c>
      <c r="C100" s="21" t="n">
        <v>1</v>
      </c>
      <c r="D100" s="8" t="n">
        <f aca="false">CHOOSE(C100,G1,G2,G3)</f>
        <v>0.02</v>
      </c>
      <c r="E100" s="21" t="n">
        <v>6</v>
      </c>
      <c r="F100" s="29" t="n">
        <f aca="false">INDEX(C_Price,A100)*(1+D100)^(E100-1)</f>
        <v>22.52324838528</v>
      </c>
      <c r="G100" s="29" t="n">
        <f aca="false">F100*Gongsi</f>
        <v>15.5410413858432</v>
      </c>
      <c r="H100" s="29" t="n">
        <f aca="false">G100*FairProp</f>
        <v>9.32462483150592</v>
      </c>
      <c r="I100" s="37" t="n">
        <f aca="false">IF(G100&lt;=SpcLimit,SUMPRODUCT((H100&gt;SLo)*(H100-SLo)*SD),SUMPRODUCT((H100&gt;GLo)*(H100-GLo)*GD))</f>
        <v>0.0309984993260237</v>
      </c>
      <c r="J100" s="37" t="n">
        <f aca="false">H100*CityRate</f>
        <v>0.0130544747641083</v>
      </c>
      <c r="K100" s="37" t="n">
        <f aca="false">I100*EduProp</f>
        <v>0.00619969986520474</v>
      </c>
      <c r="L100" s="29" t="n">
        <f aca="false">MAX(0,(G100-JongDeduct)*FairJong)</f>
        <v>2.12462483150592</v>
      </c>
      <c r="M100" s="37" t="n">
        <f aca="false">SUMPRODUCT((L100&gt;JLo)*(L100-JLo)*JD)</f>
        <v>0.0106231241575296</v>
      </c>
      <c r="N100" s="37" t="n">
        <f aca="false">M100*NongJong</f>
        <v>0.00212462483150592</v>
      </c>
      <c r="O100" s="38" t="n">
        <f aca="false">I100+J100+K100+M100+N100</f>
        <v>0.0630004229443722</v>
      </c>
    </row>
    <row r="101" customFormat="false" ht="15" hidden="false" customHeight="false" outlineLevel="0" collapsed="false">
      <c r="A101" s="21" t="n">
        <v>4</v>
      </c>
      <c r="B101" s="36" t="str">
        <f aca="false">INDEX(C_Name,A101)</f>
        <v>신길 보라매SK뷰 84.98㎡</v>
      </c>
      <c r="C101" s="21" t="n">
        <v>1</v>
      </c>
      <c r="D101" s="8" t="n">
        <f aca="false">CHOOSE(C101,G1,G2,G3)</f>
        <v>0.02</v>
      </c>
      <c r="E101" s="21" t="n">
        <v>7</v>
      </c>
      <c r="F101" s="29" t="n">
        <f aca="false">INDEX(C_Price,A101)*(1+D101)^(E101-1)</f>
        <v>22.9737133529856</v>
      </c>
      <c r="G101" s="29" t="n">
        <f aca="false">F101*Gongsi</f>
        <v>15.8518622135601</v>
      </c>
      <c r="H101" s="29" t="n">
        <f aca="false">G101*FairProp</f>
        <v>9.51111732813604</v>
      </c>
      <c r="I101" s="37" t="n">
        <f aca="false">IF(G101&lt;=SpcLimit,SUMPRODUCT((H101&gt;SLo)*(H101-SLo)*SD),SUMPRODUCT((H101&gt;GLo)*(H101-GLo)*GD))</f>
        <v>0.0317444693125442</v>
      </c>
      <c r="J101" s="37" t="n">
        <f aca="false">H101*CityRate</f>
        <v>0.0133155642593905</v>
      </c>
      <c r="K101" s="37" t="n">
        <f aca="false">I101*EduProp</f>
        <v>0.00634889386250883</v>
      </c>
      <c r="L101" s="29" t="n">
        <f aca="false">MAX(0,(G101-JongDeduct)*FairJong)</f>
        <v>2.31111732813604</v>
      </c>
      <c r="M101" s="37" t="n">
        <f aca="false">SUMPRODUCT((L101&gt;JLo)*(L101-JLo)*JD)</f>
        <v>0.0115555866406802</v>
      </c>
      <c r="N101" s="37" t="n">
        <f aca="false">M101*NongJong</f>
        <v>0.00231111732813604</v>
      </c>
      <c r="O101" s="38" t="n">
        <f aca="false">I101+J101+K101+M101+N101</f>
        <v>0.0652756314032596</v>
      </c>
    </row>
    <row r="102" customFormat="false" ht="15" hidden="false" customHeight="false" outlineLevel="0" collapsed="false">
      <c r="A102" s="21" t="n">
        <v>4</v>
      </c>
      <c r="B102" s="36" t="str">
        <f aca="false">INDEX(C_Name,A102)</f>
        <v>신길 보라매SK뷰 84.98㎡</v>
      </c>
      <c r="C102" s="21" t="n">
        <v>1</v>
      </c>
      <c r="D102" s="8" t="n">
        <f aca="false">CHOOSE(C102,G1,G2,G3)</f>
        <v>0.02</v>
      </c>
      <c r="E102" s="21" t="n">
        <v>8</v>
      </c>
      <c r="F102" s="29" t="n">
        <f aca="false">INDEX(C_Price,A102)*(1+D102)^(E102-1)</f>
        <v>23.4331876200453</v>
      </c>
      <c r="G102" s="29" t="n">
        <f aca="false">F102*Gongsi</f>
        <v>16.1688994578313</v>
      </c>
      <c r="H102" s="29" t="n">
        <f aca="false">G102*FairProp</f>
        <v>9.70133967469876</v>
      </c>
      <c r="I102" s="37" t="n">
        <f aca="false">IF(G102&lt;=SpcLimit,SUMPRODUCT((H102&gt;SLo)*(H102-SLo)*SD),SUMPRODUCT((H102&gt;GLo)*(H102-GLo)*GD))</f>
        <v>0.032505358698795</v>
      </c>
      <c r="J102" s="37" t="n">
        <f aca="false">H102*CityRate</f>
        <v>0.0135818755445783</v>
      </c>
      <c r="K102" s="37" t="n">
        <f aca="false">I102*EduProp</f>
        <v>0.00650107173975901</v>
      </c>
      <c r="L102" s="29" t="n">
        <f aca="false">MAX(0,(G102-JongDeduct)*FairJong)</f>
        <v>2.50133967469876</v>
      </c>
      <c r="M102" s="37" t="n">
        <f aca="false">SUMPRODUCT((L102&gt;JLo)*(L102-JLo)*JD)</f>
        <v>0.0125066983734938</v>
      </c>
      <c r="N102" s="37" t="n">
        <f aca="false">M102*NongJong</f>
        <v>0.00250133967469876</v>
      </c>
      <c r="O102" s="38" t="n">
        <f aca="false">I102+J102+K102+M102+N102</f>
        <v>0.0675963440313248</v>
      </c>
    </row>
    <row r="103" customFormat="false" ht="15" hidden="false" customHeight="false" outlineLevel="0" collapsed="false">
      <c r="A103" s="21" t="n">
        <v>4</v>
      </c>
      <c r="B103" s="36" t="str">
        <f aca="false">INDEX(C_Name,A103)</f>
        <v>신길 보라매SK뷰 84.98㎡</v>
      </c>
      <c r="C103" s="21" t="n">
        <v>1</v>
      </c>
      <c r="D103" s="8" t="n">
        <f aca="false">CHOOSE(C103,G1,G2,G3)</f>
        <v>0.02</v>
      </c>
      <c r="E103" s="21" t="n">
        <v>9</v>
      </c>
      <c r="F103" s="29" t="n">
        <f aca="false">INDEX(C_Price,A103)*(1+D103)^(E103-1)</f>
        <v>23.9018513724462</v>
      </c>
      <c r="G103" s="29" t="n">
        <f aca="false">F103*Gongsi</f>
        <v>16.4922774469879</v>
      </c>
      <c r="H103" s="29" t="n">
        <f aca="false">G103*FairProp</f>
        <v>9.89536646819274</v>
      </c>
      <c r="I103" s="37" t="n">
        <f aca="false">IF(G103&lt;=SpcLimit,SUMPRODUCT((H103&gt;SLo)*(H103-SLo)*SD),SUMPRODUCT((H103&gt;GLo)*(H103-GLo)*GD))</f>
        <v>0.0332814658727709</v>
      </c>
      <c r="J103" s="37" t="n">
        <f aca="false">H103*CityRate</f>
        <v>0.0138535130554698</v>
      </c>
      <c r="K103" s="37" t="n">
        <f aca="false">I103*EduProp</f>
        <v>0.00665629317455419</v>
      </c>
      <c r="L103" s="29" t="n">
        <f aca="false">MAX(0,(G103-JongDeduct)*FairJong)</f>
        <v>2.69536646819273</v>
      </c>
      <c r="M103" s="37" t="n">
        <f aca="false">SUMPRODUCT((L103&gt;JLo)*(L103-JLo)*JD)</f>
        <v>0.0134768323409637</v>
      </c>
      <c r="N103" s="37" t="n">
        <f aca="false">M103*NongJong</f>
        <v>0.00269536646819274</v>
      </c>
      <c r="O103" s="38" t="n">
        <f aca="false">I103+J103+K103+M103+N103</f>
        <v>0.0699634709119514</v>
      </c>
    </row>
    <row r="104" customFormat="false" ht="15" hidden="false" customHeight="false" outlineLevel="0" collapsed="false">
      <c r="A104" s="21" t="n">
        <v>4</v>
      </c>
      <c r="B104" s="36" t="str">
        <f aca="false">INDEX(C_Name,A104)</f>
        <v>신길 보라매SK뷰 84.98㎡</v>
      </c>
      <c r="C104" s="21" t="n">
        <v>1</v>
      </c>
      <c r="D104" s="8" t="n">
        <f aca="false">CHOOSE(C104,G1,G2,G3)</f>
        <v>0.02</v>
      </c>
      <c r="E104" s="21" t="n">
        <v>10</v>
      </c>
      <c r="F104" s="29" t="n">
        <f aca="false">INDEX(C_Price,A104)*(1+D104)^(E104-1)</f>
        <v>24.3798883998951</v>
      </c>
      <c r="G104" s="29" t="n">
        <f aca="false">F104*Gongsi</f>
        <v>16.8221229959276</v>
      </c>
      <c r="H104" s="29" t="n">
        <f aca="false">G104*FairProp</f>
        <v>10.0932737975566</v>
      </c>
      <c r="I104" s="37" t="n">
        <f aca="false">IF(G104&lt;=SpcLimit,SUMPRODUCT((H104&gt;SLo)*(H104-SLo)*SD),SUMPRODUCT((H104&gt;GLo)*(H104-GLo)*GD))</f>
        <v>0.0340730951902264</v>
      </c>
      <c r="J104" s="37" t="n">
        <f aca="false">H104*CityRate</f>
        <v>0.0141305833165792</v>
      </c>
      <c r="K104" s="37" t="n">
        <f aca="false">I104*EduProp</f>
        <v>0.00681461903804527</v>
      </c>
      <c r="L104" s="29" t="n">
        <f aca="false">MAX(0,(G104-JongDeduct)*FairJong)</f>
        <v>2.89327379755659</v>
      </c>
      <c r="M104" s="37" t="n">
        <f aca="false">SUMPRODUCT((L104&gt;JLo)*(L104-JLo)*JD)</f>
        <v>0.0144663689877829</v>
      </c>
      <c r="N104" s="37" t="n">
        <f aca="false">M104*NongJong</f>
        <v>0.00289327379755659</v>
      </c>
      <c r="O104" s="38" t="n">
        <f aca="false">I104+J104+K104+M104+N104</f>
        <v>0.0723779403301904</v>
      </c>
    </row>
    <row r="105" customFormat="false" ht="15" hidden="false" customHeight="false" outlineLevel="0" collapsed="false">
      <c r="A105" s="21" t="n">
        <v>4</v>
      </c>
      <c r="B105" s="36" t="str">
        <f aca="false">INDEX(C_Name,A105)</f>
        <v>신길 보라매SK뷰 84.98㎡</v>
      </c>
      <c r="C105" s="21" t="n">
        <v>2</v>
      </c>
      <c r="D105" s="8" t="n">
        <f aca="false">CHOOSE(C105,G1,G2,G3)</f>
        <v>0.04</v>
      </c>
      <c r="E105" s="21" t="n">
        <v>1</v>
      </c>
      <c r="F105" s="29" t="n">
        <f aca="false">INDEX(C_Price,A105)*(1+D105)^(E105-1)</f>
        <v>20.4</v>
      </c>
      <c r="G105" s="29" t="n">
        <f aca="false">F105*Gongsi</f>
        <v>14.076</v>
      </c>
      <c r="H105" s="29" t="n">
        <f aca="false">G105*FairProp</f>
        <v>8.4456</v>
      </c>
      <c r="I105" s="37" t="n">
        <f aca="false">IF(G105&lt;=SpcLimit,SUMPRODUCT((H105&gt;SLo)*(H105-SLo)*SD),SUMPRODUCT((H105&gt;GLo)*(H105-GLo)*GD))</f>
        <v>0.0274824</v>
      </c>
      <c r="J105" s="37" t="n">
        <f aca="false">H105*CityRate</f>
        <v>0.01182384</v>
      </c>
      <c r="K105" s="37" t="n">
        <f aca="false">I105*EduProp</f>
        <v>0.00549648</v>
      </c>
      <c r="L105" s="29" t="n">
        <f aca="false">MAX(0,(G105-JongDeduct)*FairJong)</f>
        <v>1.2456</v>
      </c>
      <c r="M105" s="37" t="n">
        <f aca="false">SUMPRODUCT((L105&gt;JLo)*(L105-JLo)*JD)</f>
        <v>0.006228</v>
      </c>
      <c r="N105" s="37" t="n">
        <f aca="false">M105*NongJong</f>
        <v>0.0012456</v>
      </c>
      <c r="O105" s="38" t="n">
        <f aca="false">I105+J105+K105+M105+N105</f>
        <v>0.05227632</v>
      </c>
    </row>
    <row r="106" customFormat="false" ht="15" hidden="false" customHeight="false" outlineLevel="0" collapsed="false">
      <c r="A106" s="21" t="n">
        <v>4</v>
      </c>
      <c r="B106" s="36" t="str">
        <f aca="false">INDEX(C_Name,A106)</f>
        <v>신길 보라매SK뷰 84.98㎡</v>
      </c>
      <c r="C106" s="21" t="n">
        <v>2</v>
      </c>
      <c r="D106" s="8" t="n">
        <f aca="false">CHOOSE(C106,G1,G2,G3)</f>
        <v>0.04</v>
      </c>
      <c r="E106" s="21" t="n">
        <v>2</v>
      </c>
      <c r="F106" s="29" t="n">
        <f aca="false">INDEX(C_Price,A106)*(1+D106)^(E106-1)</f>
        <v>21.216</v>
      </c>
      <c r="G106" s="29" t="n">
        <f aca="false">F106*Gongsi</f>
        <v>14.63904</v>
      </c>
      <c r="H106" s="29" t="n">
        <f aca="false">G106*FairProp</f>
        <v>8.783424</v>
      </c>
      <c r="I106" s="37" t="n">
        <f aca="false">IF(G106&lt;=SpcLimit,SUMPRODUCT((H106&gt;SLo)*(H106-SLo)*SD),SUMPRODUCT((H106&gt;GLo)*(H106-GLo)*GD))</f>
        <v>0.028833696</v>
      </c>
      <c r="J106" s="37" t="n">
        <f aca="false">H106*CityRate</f>
        <v>0.0122967936</v>
      </c>
      <c r="K106" s="37" t="n">
        <f aca="false">I106*EduProp</f>
        <v>0.0057667392</v>
      </c>
      <c r="L106" s="29" t="n">
        <f aca="false">MAX(0,(G106-JongDeduct)*FairJong)</f>
        <v>1.583424</v>
      </c>
      <c r="M106" s="37" t="n">
        <f aca="false">SUMPRODUCT((L106&gt;JLo)*(L106-JLo)*JD)</f>
        <v>0.00791711999999999</v>
      </c>
      <c r="N106" s="37" t="n">
        <f aca="false">M106*NongJong</f>
        <v>0.001583424</v>
      </c>
      <c r="O106" s="38" t="n">
        <f aca="false">I106+J106+K106+M106+N106</f>
        <v>0.0563977728</v>
      </c>
    </row>
    <row r="107" customFormat="false" ht="15" hidden="false" customHeight="false" outlineLevel="0" collapsed="false">
      <c r="A107" s="21" t="n">
        <v>4</v>
      </c>
      <c r="B107" s="36" t="str">
        <f aca="false">INDEX(C_Name,A107)</f>
        <v>신길 보라매SK뷰 84.98㎡</v>
      </c>
      <c r="C107" s="21" t="n">
        <v>2</v>
      </c>
      <c r="D107" s="8" t="n">
        <f aca="false">CHOOSE(C107,G1,G2,G3)</f>
        <v>0.04</v>
      </c>
      <c r="E107" s="21" t="n">
        <v>3</v>
      </c>
      <c r="F107" s="29" t="n">
        <f aca="false">INDEX(C_Price,A107)*(1+D107)^(E107-1)</f>
        <v>22.06464</v>
      </c>
      <c r="G107" s="29" t="n">
        <f aca="false">F107*Gongsi</f>
        <v>15.2246016</v>
      </c>
      <c r="H107" s="29" t="n">
        <f aca="false">G107*FairProp</f>
        <v>9.13476096</v>
      </c>
      <c r="I107" s="37" t="n">
        <f aca="false">IF(G107&lt;=SpcLimit,SUMPRODUCT((H107&gt;SLo)*(H107-SLo)*SD),SUMPRODUCT((H107&gt;GLo)*(H107-GLo)*GD))</f>
        <v>0.03023904384</v>
      </c>
      <c r="J107" s="37" t="n">
        <f aca="false">H107*CityRate</f>
        <v>0.012788665344</v>
      </c>
      <c r="K107" s="37" t="n">
        <f aca="false">I107*EduProp</f>
        <v>0.006047808768</v>
      </c>
      <c r="L107" s="29" t="n">
        <f aca="false">MAX(0,(G107-JongDeduct)*FairJong)</f>
        <v>1.93476096</v>
      </c>
      <c r="M107" s="37" t="n">
        <f aca="false">SUMPRODUCT((L107&gt;JLo)*(L107-JLo)*JD)</f>
        <v>0.0096738048</v>
      </c>
      <c r="N107" s="37" t="n">
        <f aca="false">M107*NongJong</f>
        <v>0.00193476096</v>
      </c>
      <c r="O107" s="38" t="n">
        <f aca="false">I107+J107+K107+M107+N107</f>
        <v>0.060684083712</v>
      </c>
    </row>
    <row r="108" customFormat="false" ht="15" hidden="false" customHeight="false" outlineLevel="0" collapsed="false">
      <c r="A108" s="21" t="n">
        <v>4</v>
      </c>
      <c r="B108" s="36" t="str">
        <f aca="false">INDEX(C_Name,A108)</f>
        <v>신길 보라매SK뷰 84.98㎡</v>
      </c>
      <c r="C108" s="21" t="n">
        <v>2</v>
      </c>
      <c r="D108" s="8" t="n">
        <f aca="false">CHOOSE(C108,G1,G2,G3)</f>
        <v>0.04</v>
      </c>
      <c r="E108" s="21" t="n">
        <v>4</v>
      </c>
      <c r="F108" s="29" t="n">
        <f aca="false">INDEX(C_Price,A108)*(1+D108)^(E108-1)</f>
        <v>22.9472256</v>
      </c>
      <c r="G108" s="29" t="n">
        <f aca="false">F108*Gongsi</f>
        <v>15.833585664</v>
      </c>
      <c r="H108" s="29" t="n">
        <f aca="false">G108*FairProp</f>
        <v>9.5001513984</v>
      </c>
      <c r="I108" s="37" t="n">
        <f aca="false">IF(G108&lt;=SpcLimit,SUMPRODUCT((H108&gt;SLo)*(H108-SLo)*SD),SUMPRODUCT((H108&gt;GLo)*(H108-GLo)*GD))</f>
        <v>0.0317006055936</v>
      </c>
      <c r="J108" s="37" t="n">
        <f aca="false">H108*CityRate</f>
        <v>0.01330021195776</v>
      </c>
      <c r="K108" s="37" t="n">
        <f aca="false">I108*EduProp</f>
        <v>0.00634012111872</v>
      </c>
      <c r="L108" s="29" t="n">
        <f aca="false">MAX(0,(G108-JongDeduct)*FairJong)</f>
        <v>2.3001513984</v>
      </c>
      <c r="M108" s="37" t="n">
        <f aca="false">SUMPRODUCT((L108&gt;JLo)*(L108-JLo)*JD)</f>
        <v>0.011500756992</v>
      </c>
      <c r="N108" s="37" t="n">
        <f aca="false">M108*NongJong</f>
        <v>0.0023001513984</v>
      </c>
      <c r="O108" s="38" t="n">
        <f aca="false">I108+J108+K108+M108+N108</f>
        <v>0.06514184706048</v>
      </c>
    </row>
    <row r="109" customFormat="false" ht="15" hidden="false" customHeight="false" outlineLevel="0" collapsed="false">
      <c r="A109" s="21" t="n">
        <v>4</v>
      </c>
      <c r="B109" s="36" t="str">
        <f aca="false">INDEX(C_Name,A109)</f>
        <v>신길 보라매SK뷰 84.98㎡</v>
      </c>
      <c r="C109" s="21" t="n">
        <v>2</v>
      </c>
      <c r="D109" s="8" t="n">
        <f aca="false">CHOOSE(C109,G1,G2,G3)</f>
        <v>0.04</v>
      </c>
      <c r="E109" s="21" t="n">
        <v>5</v>
      </c>
      <c r="F109" s="29" t="n">
        <f aca="false">INDEX(C_Price,A109)*(1+D109)^(E109-1)</f>
        <v>23.865114624</v>
      </c>
      <c r="G109" s="29" t="n">
        <f aca="false">F109*Gongsi</f>
        <v>16.46692909056</v>
      </c>
      <c r="H109" s="29" t="n">
        <f aca="false">G109*FairProp</f>
        <v>9.880157454336</v>
      </c>
      <c r="I109" s="37" t="n">
        <f aca="false">IF(G109&lt;=SpcLimit,SUMPRODUCT((H109&gt;SLo)*(H109-SLo)*SD),SUMPRODUCT((H109&gt;GLo)*(H109-GLo)*GD))</f>
        <v>0.033220629817344</v>
      </c>
      <c r="J109" s="37" t="n">
        <f aca="false">H109*CityRate</f>
        <v>0.0138322204360704</v>
      </c>
      <c r="K109" s="37" t="n">
        <f aca="false">I109*EduProp</f>
        <v>0.0066441259634688</v>
      </c>
      <c r="L109" s="29" t="n">
        <f aca="false">MAX(0,(G109-JongDeduct)*FairJong)</f>
        <v>2.680157454336</v>
      </c>
      <c r="M109" s="37" t="n">
        <f aca="false">SUMPRODUCT((L109&gt;JLo)*(L109-JLo)*JD)</f>
        <v>0.01340078727168</v>
      </c>
      <c r="N109" s="37" t="n">
        <f aca="false">M109*NongJong</f>
        <v>0.002680157454336</v>
      </c>
      <c r="O109" s="38" t="n">
        <f aca="false">I109+J109+K109+M109+N109</f>
        <v>0.0697779209428992</v>
      </c>
    </row>
    <row r="110" customFormat="false" ht="15" hidden="false" customHeight="false" outlineLevel="0" collapsed="false">
      <c r="A110" s="21" t="n">
        <v>4</v>
      </c>
      <c r="B110" s="36" t="str">
        <f aca="false">INDEX(C_Name,A110)</f>
        <v>신길 보라매SK뷰 84.98㎡</v>
      </c>
      <c r="C110" s="21" t="n">
        <v>2</v>
      </c>
      <c r="D110" s="8" t="n">
        <f aca="false">CHOOSE(C110,G1,G2,G3)</f>
        <v>0.04</v>
      </c>
      <c r="E110" s="21" t="n">
        <v>6</v>
      </c>
      <c r="F110" s="29" t="n">
        <f aca="false">INDEX(C_Price,A110)*(1+D110)^(E110-1)</f>
        <v>24.81971920896</v>
      </c>
      <c r="G110" s="29" t="n">
        <f aca="false">F110*Gongsi</f>
        <v>17.1256062541824</v>
      </c>
      <c r="H110" s="29" t="n">
        <f aca="false">G110*FairProp</f>
        <v>10.2753637525094</v>
      </c>
      <c r="I110" s="37" t="n">
        <f aca="false">IF(G110&lt;=SpcLimit,SUMPRODUCT((H110&gt;SLo)*(H110-SLo)*SD),SUMPRODUCT((H110&gt;GLo)*(H110-GLo)*GD))</f>
        <v>0.0348014550100378</v>
      </c>
      <c r="J110" s="37" t="n">
        <f aca="false">H110*CityRate</f>
        <v>0.0143855092535132</v>
      </c>
      <c r="K110" s="37" t="n">
        <f aca="false">I110*EduProp</f>
        <v>0.00696029100200755</v>
      </c>
      <c r="L110" s="29" t="n">
        <f aca="false">MAX(0,(G110-JongDeduct)*FairJong)</f>
        <v>3.07536375250944</v>
      </c>
      <c r="M110" s="37" t="n">
        <f aca="false">SUMPRODUCT((L110&gt;JLo)*(L110-JLo)*JD)</f>
        <v>0.0155275462675661</v>
      </c>
      <c r="N110" s="37" t="n">
        <f aca="false">M110*NongJong</f>
        <v>0.00310550925351322</v>
      </c>
      <c r="O110" s="38" t="n">
        <f aca="false">I110+J110+K110+M110+N110</f>
        <v>0.0747803107866378</v>
      </c>
    </row>
    <row r="111" customFormat="false" ht="15" hidden="false" customHeight="false" outlineLevel="0" collapsed="false">
      <c r="A111" s="21" t="n">
        <v>4</v>
      </c>
      <c r="B111" s="36" t="str">
        <f aca="false">INDEX(C_Name,A111)</f>
        <v>신길 보라매SK뷰 84.98㎡</v>
      </c>
      <c r="C111" s="21" t="n">
        <v>2</v>
      </c>
      <c r="D111" s="8" t="n">
        <f aca="false">CHOOSE(C111,G1,G2,G3)</f>
        <v>0.04</v>
      </c>
      <c r="E111" s="21" t="n">
        <v>7</v>
      </c>
      <c r="F111" s="29" t="n">
        <f aca="false">INDEX(C_Price,A111)*(1+D111)^(E111-1)</f>
        <v>25.8125079773184</v>
      </c>
      <c r="G111" s="29" t="n">
        <f aca="false">F111*Gongsi</f>
        <v>17.8106305043497</v>
      </c>
      <c r="H111" s="29" t="n">
        <f aca="false">G111*FairProp</f>
        <v>10.6863783026098</v>
      </c>
      <c r="I111" s="37" t="n">
        <f aca="false">IF(G111&lt;=SpcLimit,SUMPRODUCT((H111&gt;SLo)*(H111-SLo)*SD),SUMPRODUCT((H111&gt;GLo)*(H111-GLo)*GD))</f>
        <v>0.0364455132104393</v>
      </c>
      <c r="J111" s="37" t="n">
        <f aca="false">H111*CityRate</f>
        <v>0.0149609296236537</v>
      </c>
      <c r="K111" s="37" t="n">
        <f aca="false">I111*EduProp</f>
        <v>0.00728910264208785</v>
      </c>
      <c r="L111" s="29" t="n">
        <f aca="false">MAX(0,(G111-JongDeduct)*FairJong)</f>
        <v>3.48637830260982</v>
      </c>
      <c r="M111" s="37" t="n">
        <f aca="false">SUMPRODUCT((L111&gt;JLo)*(L111-JLo)*JD)</f>
        <v>0.0184046481182687</v>
      </c>
      <c r="N111" s="37" t="n">
        <f aca="false">M111*NongJong</f>
        <v>0.00368092962365375</v>
      </c>
      <c r="O111" s="38" t="n">
        <f aca="false">I111+J111+K111+M111+N111</f>
        <v>0.0807811232181033</v>
      </c>
    </row>
    <row r="112" customFormat="false" ht="15" hidden="false" customHeight="false" outlineLevel="0" collapsed="false">
      <c r="A112" s="21" t="n">
        <v>4</v>
      </c>
      <c r="B112" s="36" t="str">
        <f aca="false">INDEX(C_Name,A112)</f>
        <v>신길 보라매SK뷰 84.98㎡</v>
      </c>
      <c r="C112" s="21" t="n">
        <v>2</v>
      </c>
      <c r="D112" s="8" t="n">
        <f aca="false">CHOOSE(C112,G1,G2,G3)</f>
        <v>0.04</v>
      </c>
      <c r="E112" s="21" t="n">
        <v>8</v>
      </c>
      <c r="F112" s="29" t="n">
        <f aca="false">INDEX(C_Price,A112)*(1+D112)^(E112-1)</f>
        <v>26.8450082964111</v>
      </c>
      <c r="G112" s="29" t="n">
        <f aca="false">F112*Gongsi</f>
        <v>18.5230557245237</v>
      </c>
      <c r="H112" s="29" t="n">
        <f aca="false">G112*FairProp</f>
        <v>11.1138334347142</v>
      </c>
      <c r="I112" s="37" t="n">
        <f aca="false">IF(G112&lt;=SpcLimit,SUMPRODUCT((H112&gt;SLo)*(H112-SLo)*SD),SUMPRODUCT((H112&gt;GLo)*(H112-GLo)*GD))</f>
        <v>0.0381553337388568</v>
      </c>
      <c r="J112" s="37" t="n">
        <f aca="false">H112*CityRate</f>
        <v>0.0155593668085999</v>
      </c>
      <c r="K112" s="37" t="n">
        <f aca="false">I112*EduProp</f>
        <v>0.00763106674777137</v>
      </c>
      <c r="L112" s="29" t="n">
        <f aca="false">MAX(0,(G112-JongDeduct)*FairJong)</f>
        <v>3.91383343471421</v>
      </c>
      <c r="M112" s="37" t="n">
        <f aca="false">SUMPRODUCT((L112&gt;JLo)*(L112-JLo)*JD)</f>
        <v>0.0213968340429995</v>
      </c>
      <c r="N112" s="37" t="n">
        <f aca="false">M112*NongJong</f>
        <v>0.0042793668085999</v>
      </c>
      <c r="O112" s="38" t="n">
        <f aca="false">I112+J112+K112+M112+N112</f>
        <v>0.0870219681468275</v>
      </c>
    </row>
    <row r="113" customFormat="false" ht="15" hidden="false" customHeight="false" outlineLevel="0" collapsed="false">
      <c r="A113" s="21" t="n">
        <v>4</v>
      </c>
      <c r="B113" s="36" t="str">
        <f aca="false">INDEX(C_Name,A113)</f>
        <v>신길 보라매SK뷰 84.98㎡</v>
      </c>
      <c r="C113" s="21" t="n">
        <v>2</v>
      </c>
      <c r="D113" s="8" t="n">
        <f aca="false">CHOOSE(C113,G1,G2,G3)</f>
        <v>0.04</v>
      </c>
      <c r="E113" s="21" t="n">
        <v>9</v>
      </c>
      <c r="F113" s="29" t="n">
        <f aca="false">INDEX(C_Price,A113)*(1+D113)^(E113-1)</f>
        <v>27.9188086282676</v>
      </c>
      <c r="G113" s="29" t="n">
        <f aca="false">F113*Gongsi</f>
        <v>19.2639779535046</v>
      </c>
      <c r="H113" s="29" t="n">
        <f aca="false">G113*FairProp</f>
        <v>11.5583867721028</v>
      </c>
      <c r="I113" s="37" t="n">
        <f aca="false">IF(G113&lt;=SpcLimit,SUMPRODUCT((H113&gt;SLo)*(H113-SLo)*SD),SUMPRODUCT((H113&gt;GLo)*(H113-GLo)*GD))</f>
        <v>0.0399335470884111</v>
      </c>
      <c r="J113" s="37" t="n">
        <f aca="false">H113*CityRate</f>
        <v>0.0161817414809439</v>
      </c>
      <c r="K113" s="37" t="n">
        <f aca="false">I113*EduProp</f>
        <v>0.00798670941768222</v>
      </c>
      <c r="L113" s="29" t="n">
        <f aca="false">MAX(0,(G113-JongDeduct)*FairJong)</f>
        <v>4.35838677210278</v>
      </c>
      <c r="M113" s="37" t="n">
        <f aca="false">SUMPRODUCT((L113&gt;JLo)*(L113-JLo)*JD)</f>
        <v>0.0245087074047195</v>
      </c>
      <c r="N113" s="37" t="n">
        <f aca="false">M113*NongJong</f>
        <v>0.00490174148094389</v>
      </c>
      <c r="O113" s="38" t="n">
        <f aca="false">I113+J113+K113+M113+N113</f>
        <v>0.0935124468727006</v>
      </c>
    </row>
    <row r="114" customFormat="false" ht="15" hidden="false" customHeight="false" outlineLevel="0" collapsed="false">
      <c r="A114" s="21" t="n">
        <v>4</v>
      </c>
      <c r="B114" s="36" t="str">
        <f aca="false">INDEX(C_Name,A114)</f>
        <v>신길 보라매SK뷰 84.98㎡</v>
      </c>
      <c r="C114" s="21" t="n">
        <v>2</v>
      </c>
      <c r="D114" s="8" t="n">
        <f aca="false">CHOOSE(C114,G1,G2,G3)</f>
        <v>0.04</v>
      </c>
      <c r="E114" s="21" t="n">
        <v>10</v>
      </c>
      <c r="F114" s="29" t="n">
        <f aca="false">INDEX(C_Price,A114)*(1+D114)^(E114-1)</f>
        <v>29.0355609733983</v>
      </c>
      <c r="G114" s="29" t="n">
        <f aca="false">F114*Gongsi</f>
        <v>20.0345370716448</v>
      </c>
      <c r="H114" s="29" t="n">
        <f aca="false">G114*FairProp</f>
        <v>12.0207222429869</v>
      </c>
      <c r="I114" s="37" t="n">
        <f aca="false">IF(G114&lt;=SpcLimit,SUMPRODUCT((H114&gt;SLo)*(H114-SLo)*SD),SUMPRODUCT((H114&gt;GLo)*(H114-GLo)*GD))</f>
        <v>0.0417828889719476</v>
      </c>
      <c r="J114" s="37" t="n">
        <f aca="false">H114*CityRate</f>
        <v>0.0168290111401817</v>
      </c>
      <c r="K114" s="37" t="n">
        <f aca="false">I114*EduProp</f>
        <v>0.00835657779438952</v>
      </c>
      <c r="L114" s="29" t="n">
        <f aca="false">MAX(0,(G114-JongDeduct)*FairJong)</f>
        <v>4.82072224298689</v>
      </c>
      <c r="M114" s="37" t="n">
        <f aca="false">SUMPRODUCT((L114&gt;JLo)*(L114-JLo)*JD)</f>
        <v>0.0277450557009082</v>
      </c>
      <c r="N114" s="37" t="n">
        <f aca="false">M114*NongJong</f>
        <v>0.00554901114018165</v>
      </c>
      <c r="O114" s="38" t="n">
        <f aca="false">I114+J114+K114+M114+N114</f>
        <v>0.100262544747609</v>
      </c>
    </row>
    <row r="115" customFormat="false" ht="15" hidden="false" customHeight="false" outlineLevel="0" collapsed="false">
      <c r="A115" s="21" t="n">
        <v>4</v>
      </c>
      <c r="B115" s="36" t="str">
        <f aca="false">INDEX(C_Name,A115)</f>
        <v>신길 보라매SK뷰 84.98㎡</v>
      </c>
      <c r="C115" s="21" t="n">
        <v>3</v>
      </c>
      <c r="D115" s="8" t="n">
        <f aca="false">CHOOSE(C115,G1,G2,G3)</f>
        <v>0.06</v>
      </c>
      <c r="E115" s="21" t="n">
        <v>1</v>
      </c>
      <c r="F115" s="29" t="n">
        <f aca="false">INDEX(C_Price,A115)*(1+D115)^(E115-1)</f>
        <v>20.4</v>
      </c>
      <c r="G115" s="29" t="n">
        <f aca="false">F115*Gongsi</f>
        <v>14.076</v>
      </c>
      <c r="H115" s="29" t="n">
        <f aca="false">G115*FairProp</f>
        <v>8.4456</v>
      </c>
      <c r="I115" s="37" t="n">
        <f aca="false">IF(G115&lt;=SpcLimit,SUMPRODUCT((H115&gt;SLo)*(H115-SLo)*SD),SUMPRODUCT((H115&gt;GLo)*(H115-GLo)*GD))</f>
        <v>0.0274824</v>
      </c>
      <c r="J115" s="37" t="n">
        <f aca="false">H115*CityRate</f>
        <v>0.01182384</v>
      </c>
      <c r="K115" s="37" t="n">
        <f aca="false">I115*EduProp</f>
        <v>0.00549648</v>
      </c>
      <c r="L115" s="29" t="n">
        <f aca="false">MAX(0,(G115-JongDeduct)*FairJong)</f>
        <v>1.2456</v>
      </c>
      <c r="M115" s="37" t="n">
        <f aca="false">SUMPRODUCT((L115&gt;JLo)*(L115-JLo)*JD)</f>
        <v>0.006228</v>
      </c>
      <c r="N115" s="37" t="n">
        <f aca="false">M115*NongJong</f>
        <v>0.0012456</v>
      </c>
      <c r="O115" s="38" t="n">
        <f aca="false">I115+J115+K115+M115+N115</f>
        <v>0.05227632</v>
      </c>
    </row>
    <row r="116" customFormat="false" ht="15" hidden="false" customHeight="false" outlineLevel="0" collapsed="false">
      <c r="A116" s="21" t="n">
        <v>4</v>
      </c>
      <c r="B116" s="36" t="str">
        <f aca="false">INDEX(C_Name,A116)</f>
        <v>신길 보라매SK뷰 84.98㎡</v>
      </c>
      <c r="C116" s="21" t="n">
        <v>3</v>
      </c>
      <c r="D116" s="8" t="n">
        <f aca="false">CHOOSE(C116,G1,G2,G3)</f>
        <v>0.06</v>
      </c>
      <c r="E116" s="21" t="n">
        <v>2</v>
      </c>
      <c r="F116" s="29" t="n">
        <f aca="false">INDEX(C_Price,A116)*(1+D116)^(E116-1)</f>
        <v>21.624</v>
      </c>
      <c r="G116" s="29" t="n">
        <f aca="false">F116*Gongsi</f>
        <v>14.92056</v>
      </c>
      <c r="H116" s="29" t="n">
        <f aca="false">G116*FairProp</f>
        <v>8.952336</v>
      </c>
      <c r="I116" s="37" t="n">
        <f aca="false">IF(G116&lt;=SpcLimit,SUMPRODUCT((H116&gt;SLo)*(H116-SLo)*SD),SUMPRODUCT((H116&gt;GLo)*(H116-GLo)*GD))</f>
        <v>0.029509344</v>
      </c>
      <c r="J116" s="37" t="n">
        <f aca="false">H116*CityRate</f>
        <v>0.0125332704</v>
      </c>
      <c r="K116" s="37" t="n">
        <f aca="false">I116*EduProp</f>
        <v>0.0059018688</v>
      </c>
      <c r="L116" s="29" t="n">
        <f aca="false">MAX(0,(G116-JongDeduct)*FairJong)</f>
        <v>1.752336</v>
      </c>
      <c r="M116" s="37" t="n">
        <f aca="false">SUMPRODUCT((L116&gt;JLo)*(L116-JLo)*JD)</f>
        <v>0.00876168</v>
      </c>
      <c r="N116" s="37" t="n">
        <f aca="false">M116*NongJong</f>
        <v>0.001752336</v>
      </c>
      <c r="O116" s="38" t="n">
        <f aca="false">I116+J116+K116+M116+N116</f>
        <v>0.0584584992</v>
      </c>
    </row>
    <row r="117" customFormat="false" ht="15" hidden="false" customHeight="false" outlineLevel="0" collapsed="false">
      <c r="A117" s="21" t="n">
        <v>4</v>
      </c>
      <c r="B117" s="36" t="str">
        <f aca="false">INDEX(C_Name,A117)</f>
        <v>신길 보라매SK뷰 84.98㎡</v>
      </c>
      <c r="C117" s="21" t="n">
        <v>3</v>
      </c>
      <c r="D117" s="8" t="n">
        <f aca="false">CHOOSE(C117,G1,G2,G3)</f>
        <v>0.06</v>
      </c>
      <c r="E117" s="21" t="n">
        <v>3</v>
      </c>
      <c r="F117" s="29" t="n">
        <f aca="false">INDEX(C_Price,A117)*(1+D117)^(E117-1)</f>
        <v>22.92144</v>
      </c>
      <c r="G117" s="29" t="n">
        <f aca="false">F117*Gongsi</f>
        <v>15.8157936</v>
      </c>
      <c r="H117" s="29" t="n">
        <f aca="false">G117*FairProp</f>
        <v>9.48947616</v>
      </c>
      <c r="I117" s="37" t="n">
        <f aca="false">IF(G117&lt;=SpcLimit,SUMPRODUCT((H117&gt;SLo)*(H117-SLo)*SD),SUMPRODUCT((H117&gt;GLo)*(H117-GLo)*GD))</f>
        <v>0.03165790464</v>
      </c>
      <c r="J117" s="37" t="n">
        <f aca="false">H117*CityRate</f>
        <v>0.013285266624</v>
      </c>
      <c r="K117" s="37" t="n">
        <f aca="false">I117*EduProp</f>
        <v>0.006331580928</v>
      </c>
      <c r="L117" s="29" t="n">
        <f aca="false">MAX(0,(G117-JongDeduct)*FairJong)</f>
        <v>2.28947616</v>
      </c>
      <c r="M117" s="37" t="n">
        <f aca="false">SUMPRODUCT((L117&gt;JLo)*(L117-JLo)*JD)</f>
        <v>0.0114473808</v>
      </c>
      <c r="N117" s="37" t="n">
        <f aca="false">M117*NongJong</f>
        <v>0.00228947616</v>
      </c>
      <c r="O117" s="38" t="n">
        <f aca="false">I117+J117+K117+M117+N117</f>
        <v>0.065011609152</v>
      </c>
    </row>
    <row r="118" customFormat="false" ht="15" hidden="false" customHeight="false" outlineLevel="0" collapsed="false">
      <c r="A118" s="21" t="n">
        <v>4</v>
      </c>
      <c r="B118" s="36" t="str">
        <f aca="false">INDEX(C_Name,A118)</f>
        <v>신길 보라매SK뷰 84.98㎡</v>
      </c>
      <c r="C118" s="21" t="n">
        <v>3</v>
      </c>
      <c r="D118" s="8" t="n">
        <f aca="false">CHOOSE(C118,G1,G2,G3)</f>
        <v>0.06</v>
      </c>
      <c r="E118" s="21" t="n">
        <v>4</v>
      </c>
      <c r="F118" s="29" t="n">
        <f aca="false">INDEX(C_Price,A118)*(1+D118)^(E118-1)</f>
        <v>24.2967264</v>
      </c>
      <c r="G118" s="29" t="n">
        <f aca="false">F118*Gongsi</f>
        <v>16.764741216</v>
      </c>
      <c r="H118" s="29" t="n">
        <f aca="false">G118*FairProp</f>
        <v>10.0588447296</v>
      </c>
      <c r="I118" s="37" t="n">
        <f aca="false">IF(G118&lt;=SpcLimit,SUMPRODUCT((H118&gt;SLo)*(H118-SLo)*SD),SUMPRODUCT((H118&gt;GLo)*(H118-GLo)*GD))</f>
        <v>0.0339353789184</v>
      </c>
      <c r="J118" s="37" t="n">
        <f aca="false">H118*CityRate</f>
        <v>0.01408238262144</v>
      </c>
      <c r="K118" s="37" t="n">
        <f aca="false">I118*EduProp</f>
        <v>0.00678707578368</v>
      </c>
      <c r="L118" s="29" t="n">
        <f aca="false">MAX(0,(G118-JongDeduct)*FairJong)</f>
        <v>2.8588447296</v>
      </c>
      <c r="M118" s="37" t="n">
        <f aca="false">SUMPRODUCT((L118&gt;JLo)*(L118-JLo)*JD)</f>
        <v>0.014294223648</v>
      </c>
      <c r="N118" s="37" t="n">
        <f aca="false">M118*NongJong</f>
        <v>0.0028588447296</v>
      </c>
      <c r="O118" s="38" t="n">
        <f aca="false">I118+J118+K118+M118+N118</f>
        <v>0.07195790570112</v>
      </c>
    </row>
    <row r="119" customFormat="false" ht="15" hidden="false" customHeight="false" outlineLevel="0" collapsed="false">
      <c r="A119" s="21" t="n">
        <v>4</v>
      </c>
      <c r="B119" s="36" t="str">
        <f aca="false">INDEX(C_Name,A119)</f>
        <v>신길 보라매SK뷰 84.98㎡</v>
      </c>
      <c r="C119" s="21" t="n">
        <v>3</v>
      </c>
      <c r="D119" s="8" t="n">
        <f aca="false">CHOOSE(C119,G1,G2,G3)</f>
        <v>0.06</v>
      </c>
      <c r="E119" s="21" t="n">
        <v>5</v>
      </c>
      <c r="F119" s="29" t="n">
        <f aca="false">INDEX(C_Price,A119)*(1+D119)^(E119-1)</f>
        <v>25.754529984</v>
      </c>
      <c r="G119" s="29" t="n">
        <f aca="false">F119*Gongsi</f>
        <v>17.77062568896</v>
      </c>
      <c r="H119" s="29" t="n">
        <f aca="false">G119*FairProp</f>
        <v>10.662375413376</v>
      </c>
      <c r="I119" s="37" t="n">
        <f aca="false">IF(G119&lt;=SpcLimit,SUMPRODUCT((H119&gt;SLo)*(H119-SLo)*SD),SUMPRODUCT((H119&gt;GLo)*(H119-GLo)*GD))</f>
        <v>0.036349501653504</v>
      </c>
      <c r="J119" s="37" t="n">
        <f aca="false">H119*CityRate</f>
        <v>0.0149273255787264</v>
      </c>
      <c r="K119" s="37" t="n">
        <f aca="false">I119*EduProp</f>
        <v>0.0072699003307008</v>
      </c>
      <c r="L119" s="29" t="n">
        <f aca="false">MAX(0,(G119-JongDeduct)*FairJong)</f>
        <v>3.462375413376</v>
      </c>
      <c r="M119" s="37" t="n">
        <f aca="false">SUMPRODUCT((L119&gt;JLo)*(L119-JLo)*JD)</f>
        <v>0.018236627893632</v>
      </c>
      <c r="N119" s="37" t="n">
        <f aca="false">M119*NongJong</f>
        <v>0.0036473255787264</v>
      </c>
      <c r="O119" s="38" t="n">
        <f aca="false">I119+J119+K119+M119+N119</f>
        <v>0.0804306810352896</v>
      </c>
    </row>
    <row r="120" customFormat="false" ht="15" hidden="false" customHeight="false" outlineLevel="0" collapsed="false">
      <c r="A120" s="21" t="n">
        <v>4</v>
      </c>
      <c r="B120" s="36" t="str">
        <f aca="false">INDEX(C_Name,A120)</f>
        <v>신길 보라매SK뷰 84.98㎡</v>
      </c>
      <c r="C120" s="21" t="n">
        <v>3</v>
      </c>
      <c r="D120" s="8" t="n">
        <f aca="false">CHOOSE(C120,G1,G2,G3)</f>
        <v>0.06</v>
      </c>
      <c r="E120" s="21" t="n">
        <v>6</v>
      </c>
      <c r="F120" s="29" t="n">
        <f aca="false">INDEX(C_Price,A120)*(1+D120)^(E120-1)</f>
        <v>27.29980178304</v>
      </c>
      <c r="G120" s="29" t="n">
        <f aca="false">F120*Gongsi</f>
        <v>18.8368632302976</v>
      </c>
      <c r="H120" s="29" t="n">
        <f aca="false">G120*FairProp</f>
        <v>11.3021179381786</v>
      </c>
      <c r="I120" s="37" t="n">
        <f aca="false">IF(G120&lt;=SpcLimit,SUMPRODUCT((H120&gt;SLo)*(H120-SLo)*SD),SUMPRODUCT((H120&gt;GLo)*(H120-GLo)*GD))</f>
        <v>0.0389084717527142</v>
      </c>
      <c r="J120" s="37" t="n">
        <f aca="false">H120*CityRate</f>
        <v>0.01582296511345</v>
      </c>
      <c r="K120" s="37" t="n">
        <f aca="false">I120*EduProp</f>
        <v>0.00778169435054285</v>
      </c>
      <c r="L120" s="29" t="n">
        <f aca="false">MAX(0,(G120-JongDeduct)*FairJong)</f>
        <v>4.10211793817856</v>
      </c>
      <c r="M120" s="37" t="n">
        <f aca="false">SUMPRODUCT((L120&gt;JLo)*(L120-JLo)*JD)</f>
        <v>0.0227148255672499</v>
      </c>
      <c r="N120" s="37" t="n">
        <f aca="false">M120*NongJong</f>
        <v>0.00454296511344998</v>
      </c>
      <c r="O120" s="38" t="n">
        <f aca="false">I120+J120+K120+M120+N120</f>
        <v>0.089770921897407</v>
      </c>
    </row>
    <row r="121" customFormat="false" ht="15" hidden="false" customHeight="false" outlineLevel="0" collapsed="false">
      <c r="A121" s="21" t="n">
        <v>4</v>
      </c>
      <c r="B121" s="36" t="str">
        <f aca="false">INDEX(C_Name,A121)</f>
        <v>신길 보라매SK뷰 84.98㎡</v>
      </c>
      <c r="C121" s="21" t="n">
        <v>3</v>
      </c>
      <c r="D121" s="8" t="n">
        <f aca="false">CHOOSE(C121,G1,G2,G3)</f>
        <v>0.06</v>
      </c>
      <c r="E121" s="21" t="n">
        <v>7</v>
      </c>
      <c r="F121" s="29" t="n">
        <f aca="false">INDEX(C_Price,A121)*(1+D121)^(E121-1)</f>
        <v>28.9377898900224</v>
      </c>
      <c r="G121" s="29" t="n">
        <f aca="false">F121*Gongsi</f>
        <v>19.9670750241155</v>
      </c>
      <c r="H121" s="29" t="n">
        <f aca="false">G121*FairProp</f>
        <v>11.9802450144693</v>
      </c>
      <c r="I121" s="37" t="n">
        <f aca="false">IF(G121&lt;=SpcLimit,SUMPRODUCT((H121&gt;SLo)*(H121-SLo)*SD),SUMPRODUCT((H121&gt;GLo)*(H121-GLo)*GD))</f>
        <v>0.0416209800578771</v>
      </c>
      <c r="J121" s="37" t="n">
        <f aca="false">H121*CityRate</f>
        <v>0.016772343020257</v>
      </c>
      <c r="K121" s="37" t="n">
        <f aca="false">I121*EduProp</f>
        <v>0.00832419601157542</v>
      </c>
      <c r="L121" s="29" t="n">
        <f aca="false">MAX(0,(G121-JongDeduct)*FairJong)</f>
        <v>4.78024501446928</v>
      </c>
      <c r="M121" s="37" t="n">
        <f aca="false">SUMPRODUCT((L121&gt;JLo)*(L121-JLo)*JD)</f>
        <v>0.0274617151012849</v>
      </c>
      <c r="N121" s="37" t="n">
        <f aca="false">M121*NongJong</f>
        <v>0.00549234302025699</v>
      </c>
      <c r="O121" s="38" t="n">
        <f aca="false">I121+J121+K121+M121+N121</f>
        <v>0.0996715772112514</v>
      </c>
    </row>
    <row r="122" customFormat="false" ht="15" hidden="false" customHeight="false" outlineLevel="0" collapsed="false">
      <c r="A122" s="21" t="n">
        <v>4</v>
      </c>
      <c r="B122" s="36" t="str">
        <f aca="false">INDEX(C_Name,A122)</f>
        <v>신길 보라매SK뷰 84.98㎡</v>
      </c>
      <c r="C122" s="21" t="n">
        <v>3</v>
      </c>
      <c r="D122" s="8" t="n">
        <f aca="false">CHOOSE(C122,G1,G2,G3)</f>
        <v>0.06</v>
      </c>
      <c r="E122" s="21" t="n">
        <v>8</v>
      </c>
      <c r="F122" s="29" t="n">
        <f aca="false">INDEX(C_Price,A122)*(1+D122)^(E122-1)</f>
        <v>30.6740572834238</v>
      </c>
      <c r="G122" s="29" t="n">
        <f aca="false">F122*Gongsi</f>
        <v>21.1650995255624</v>
      </c>
      <c r="H122" s="29" t="n">
        <f aca="false">G122*FairProp</f>
        <v>12.6990597153374</v>
      </c>
      <c r="I122" s="37" t="n">
        <f aca="false">IF(G122&lt;=SpcLimit,SUMPRODUCT((H122&gt;SLo)*(H122-SLo)*SD),SUMPRODUCT((H122&gt;GLo)*(H122-GLo)*GD))</f>
        <v>0.0444962388613497</v>
      </c>
      <c r="J122" s="37" t="n">
        <f aca="false">H122*CityRate</f>
        <v>0.0177786836014724</v>
      </c>
      <c r="K122" s="37" t="n">
        <f aca="false">I122*EduProp</f>
        <v>0.00889924777226995</v>
      </c>
      <c r="L122" s="29" t="n">
        <f aca="false">MAX(0,(G122-JongDeduct)*FairJong)</f>
        <v>5.49905971533743</v>
      </c>
      <c r="M122" s="37" t="n">
        <f aca="false">SUMPRODUCT((L122&gt;JLo)*(L122-JLo)*JD)</f>
        <v>0.032493418007362</v>
      </c>
      <c r="N122" s="37" t="n">
        <f aca="false">M122*NongJong</f>
        <v>0.00649868360147241</v>
      </c>
      <c r="O122" s="38" t="n">
        <f aca="false">I122+J122+K122+M122+N122</f>
        <v>0.110166271843927</v>
      </c>
    </row>
    <row r="123" customFormat="false" ht="15" hidden="false" customHeight="false" outlineLevel="0" collapsed="false">
      <c r="A123" s="21" t="n">
        <v>4</v>
      </c>
      <c r="B123" s="36" t="str">
        <f aca="false">INDEX(C_Name,A123)</f>
        <v>신길 보라매SK뷰 84.98㎡</v>
      </c>
      <c r="C123" s="21" t="n">
        <v>3</v>
      </c>
      <c r="D123" s="8" t="n">
        <f aca="false">CHOOSE(C123,G1,G2,G3)</f>
        <v>0.06</v>
      </c>
      <c r="E123" s="21" t="n">
        <v>9</v>
      </c>
      <c r="F123" s="29" t="n">
        <f aca="false">INDEX(C_Price,A123)*(1+D123)^(E123-1)</f>
        <v>32.5145007204292</v>
      </c>
      <c r="G123" s="29" t="n">
        <f aca="false">F123*Gongsi</f>
        <v>22.4350054970961</v>
      </c>
      <c r="H123" s="29" t="n">
        <f aca="false">G123*FairProp</f>
        <v>13.4610032982577</v>
      </c>
      <c r="I123" s="37" t="n">
        <f aca="false">IF(G123&lt;=SpcLimit,SUMPRODUCT((H123&gt;SLo)*(H123-SLo)*SD),SUMPRODUCT((H123&gt;GLo)*(H123-GLo)*GD))</f>
        <v>0.0475440131930307</v>
      </c>
      <c r="J123" s="37" t="n">
        <f aca="false">H123*CityRate</f>
        <v>0.0188454046175608</v>
      </c>
      <c r="K123" s="37" t="n">
        <f aca="false">I123*EduProp</f>
        <v>0.00950880263860615</v>
      </c>
      <c r="L123" s="29" t="n">
        <f aca="false">MAX(0,(G123-JongDeduct)*FairJong)</f>
        <v>6.26100329825768</v>
      </c>
      <c r="M123" s="37" t="n">
        <f aca="false">SUMPRODUCT((L123&gt;JLo)*(L123-JLo)*JD)</f>
        <v>0.0386100329825768</v>
      </c>
      <c r="N123" s="37" t="n">
        <f aca="false">M123*NongJong</f>
        <v>0.00772200659651536</v>
      </c>
      <c r="O123" s="38" t="n">
        <f aca="false">I123+J123+K123+M123+N123</f>
        <v>0.12223026002829</v>
      </c>
    </row>
    <row r="124" customFormat="false" ht="15" hidden="false" customHeight="false" outlineLevel="0" collapsed="false">
      <c r="A124" s="21" t="n">
        <v>4</v>
      </c>
      <c r="B124" s="36" t="str">
        <f aca="false">INDEX(C_Name,A124)</f>
        <v>신길 보라매SK뷰 84.98㎡</v>
      </c>
      <c r="C124" s="21" t="n">
        <v>3</v>
      </c>
      <c r="D124" s="8" t="n">
        <f aca="false">CHOOSE(C124,G1,G2,G3)</f>
        <v>0.06</v>
      </c>
      <c r="E124" s="21" t="n">
        <v>10</v>
      </c>
      <c r="F124" s="29" t="n">
        <f aca="false">INDEX(C_Price,A124)*(1+D124)^(E124-1)</f>
        <v>34.4653707636549</v>
      </c>
      <c r="G124" s="29" t="n">
        <f aca="false">F124*Gongsi</f>
        <v>23.7811058269219</v>
      </c>
      <c r="H124" s="29" t="n">
        <f aca="false">G124*FairProp</f>
        <v>14.2686634961531</v>
      </c>
      <c r="I124" s="37" t="n">
        <f aca="false">IF(G124&lt;=SpcLimit,SUMPRODUCT((H124&gt;SLo)*(H124-SLo)*SD),SUMPRODUCT((H124&gt;GLo)*(H124-GLo)*GD))</f>
        <v>0.0507746539846126</v>
      </c>
      <c r="J124" s="37" t="n">
        <f aca="false">H124*CityRate</f>
        <v>0.0199761288946144</v>
      </c>
      <c r="K124" s="37" t="n">
        <f aca="false">I124*EduProp</f>
        <v>0.0101549307969225</v>
      </c>
      <c r="L124" s="29" t="n">
        <f aca="false">MAX(0,(G124-JongDeduct)*FairJong)</f>
        <v>7.06866349615314</v>
      </c>
      <c r="M124" s="37" t="n">
        <f aca="false">SUMPRODUCT((L124&gt;JLo)*(L124-JLo)*JD)</f>
        <v>0.0466866349615314</v>
      </c>
      <c r="N124" s="37" t="n">
        <f aca="false">M124*NongJong</f>
        <v>0.00933732699230628</v>
      </c>
      <c r="O124" s="38" t="n">
        <f aca="false">I124+J124+K124+M124+N124</f>
        <v>0.136929675629987</v>
      </c>
    </row>
    <row r="125" customFormat="false" ht="15" hidden="false" customHeight="false" outlineLevel="0" collapsed="false">
      <c r="A125" s="21" t="n">
        <v>5</v>
      </c>
      <c r="B125" s="36" t="str">
        <f aca="false">INDEX(C_Name,A125)</f>
        <v>본동 래미안트윈파크 (32평형)</v>
      </c>
      <c r="C125" s="21" t="n">
        <v>1</v>
      </c>
      <c r="D125" s="8" t="n">
        <f aca="false">CHOOSE(C125,G1,G2,G3)</f>
        <v>0.02</v>
      </c>
      <c r="E125" s="21" t="n">
        <v>1</v>
      </c>
      <c r="F125" s="29" t="n">
        <f aca="false">INDEX(C_Price,A125)*(1+D125)^(E125-1)</f>
        <v>24.2</v>
      </c>
      <c r="G125" s="29" t="n">
        <f aca="false">F125*Gongsi</f>
        <v>16.698</v>
      </c>
      <c r="H125" s="29" t="n">
        <f aca="false">G125*FairProp</f>
        <v>10.0188</v>
      </c>
      <c r="I125" s="37" t="n">
        <f aca="false">IF(G125&lt;=SpcLimit,SUMPRODUCT((H125&gt;SLo)*(H125-SLo)*SD),SUMPRODUCT((H125&gt;GLo)*(H125-GLo)*GD))</f>
        <v>0.0337752</v>
      </c>
      <c r="J125" s="37" t="n">
        <f aca="false">H125*CityRate</f>
        <v>0.01402632</v>
      </c>
      <c r="K125" s="37" t="n">
        <f aca="false">I125*EduProp</f>
        <v>0.00675504</v>
      </c>
      <c r="L125" s="29" t="n">
        <f aca="false">MAX(0,(G125-JongDeduct)*FairJong)</f>
        <v>2.8188</v>
      </c>
      <c r="M125" s="37" t="n">
        <f aca="false">SUMPRODUCT((L125&gt;JLo)*(L125-JLo)*JD)</f>
        <v>0.014094</v>
      </c>
      <c r="N125" s="37" t="n">
        <f aca="false">M125*NongJong</f>
        <v>0.0028188</v>
      </c>
      <c r="O125" s="38" t="n">
        <f aca="false">I125+J125+K125+M125+N125</f>
        <v>0.07146936</v>
      </c>
    </row>
    <row r="126" customFormat="false" ht="15" hidden="false" customHeight="false" outlineLevel="0" collapsed="false">
      <c r="A126" s="21" t="n">
        <v>5</v>
      </c>
      <c r="B126" s="36" t="str">
        <f aca="false">INDEX(C_Name,A126)</f>
        <v>본동 래미안트윈파크 (32평형)</v>
      </c>
      <c r="C126" s="21" t="n">
        <v>1</v>
      </c>
      <c r="D126" s="8" t="n">
        <f aca="false">CHOOSE(C126,G1,G2,G3)</f>
        <v>0.02</v>
      </c>
      <c r="E126" s="21" t="n">
        <v>2</v>
      </c>
      <c r="F126" s="29" t="n">
        <f aca="false">INDEX(C_Price,A126)*(1+D126)^(E126-1)</f>
        <v>24.684</v>
      </c>
      <c r="G126" s="29" t="n">
        <f aca="false">F126*Gongsi</f>
        <v>17.03196</v>
      </c>
      <c r="H126" s="29" t="n">
        <f aca="false">G126*FairProp</f>
        <v>10.219176</v>
      </c>
      <c r="I126" s="37" t="n">
        <f aca="false">IF(G126&lt;=SpcLimit,SUMPRODUCT((H126&gt;SLo)*(H126-SLo)*SD),SUMPRODUCT((H126&gt;GLo)*(H126-GLo)*GD))</f>
        <v>0.034576704</v>
      </c>
      <c r="J126" s="37" t="n">
        <f aca="false">H126*CityRate</f>
        <v>0.0143068464</v>
      </c>
      <c r="K126" s="37" t="n">
        <f aca="false">I126*EduProp</f>
        <v>0.0069153408</v>
      </c>
      <c r="L126" s="29" t="n">
        <f aca="false">MAX(0,(G126-JongDeduct)*FairJong)</f>
        <v>3.019176</v>
      </c>
      <c r="M126" s="37" t="n">
        <f aca="false">SUMPRODUCT((L126&gt;JLo)*(L126-JLo)*JD)</f>
        <v>0.015134232</v>
      </c>
      <c r="N126" s="37" t="n">
        <f aca="false">M126*NongJong</f>
        <v>0.0030268464</v>
      </c>
      <c r="O126" s="38" t="n">
        <f aca="false">I126+J126+K126+M126+N126</f>
        <v>0.0739599696</v>
      </c>
    </row>
    <row r="127" customFormat="false" ht="15" hidden="false" customHeight="false" outlineLevel="0" collapsed="false">
      <c r="A127" s="21" t="n">
        <v>5</v>
      </c>
      <c r="B127" s="36" t="str">
        <f aca="false">INDEX(C_Name,A127)</f>
        <v>본동 래미안트윈파크 (32평형)</v>
      </c>
      <c r="C127" s="21" t="n">
        <v>1</v>
      </c>
      <c r="D127" s="8" t="n">
        <f aca="false">CHOOSE(C127,G1,G2,G3)</f>
        <v>0.02</v>
      </c>
      <c r="E127" s="21" t="n">
        <v>3</v>
      </c>
      <c r="F127" s="29" t="n">
        <f aca="false">INDEX(C_Price,A127)*(1+D127)^(E127-1)</f>
        <v>25.17768</v>
      </c>
      <c r="G127" s="29" t="n">
        <f aca="false">F127*Gongsi</f>
        <v>17.3725992</v>
      </c>
      <c r="H127" s="29" t="n">
        <f aca="false">G127*FairProp</f>
        <v>10.42355952</v>
      </c>
      <c r="I127" s="37" t="n">
        <f aca="false">IF(G127&lt;=SpcLimit,SUMPRODUCT((H127&gt;SLo)*(H127-SLo)*SD),SUMPRODUCT((H127&gt;GLo)*(H127-GLo)*GD))</f>
        <v>0.03539423808</v>
      </c>
      <c r="J127" s="37" t="n">
        <f aca="false">H127*CityRate</f>
        <v>0.014592983328</v>
      </c>
      <c r="K127" s="37" t="n">
        <f aca="false">I127*EduProp</f>
        <v>0.007078847616</v>
      </c>
      <c r="L127" s="29" t="n">
        <f aca="false">MAX(0,(G127-JongDeduct)*FairJong)</f>
        <v>3.22355952</v>
      </c>
      <c r="M127" s="37" t="n">
        <f aca="false">SUMPRODUCT((L127&gt;JLo)*(L127-JLo)*JD)</f>
        <v>0.01656491664</v>
      </c>
      <c r="N127" s="37" t="n">
        <f aca="false">M127*NongJong</f>
        <v>0.003312983328</v>
      </c>
      <c r="O127" s="38" t="n">
        <f aca="false">I127+J127+K127+M127+N127</f>
        <v>0.076943968992</v>
      </c>
    </row>
    <row r="128" customFormat="false" ht="15" hidden="false" customHeight="false" outlineLevel="0" collapsed="false">
      <c r="A128" s="21" t="n">
        <v>5</v>
      </c>
      <c r="B128" s="36" t="str">
        <f aca="false">INDEX(C_Name,A128)</f>
        <v>본동 래미안트윈파크 (32평형)</v>
      </c>
      <c r="C128" s="21" t="n">
        <v>1</v>
      </c>
      <c r="D128" s="8" t="n">
        <f aca="false">CHOOSE(C128,G1,G2,G3)</f>
        <v>0.02</v>
      </c>
      <c r="E128" s="21" t="n">
        <v>4</v>
      </c>
      <c r="F128" s="29" t="n">
        <f aca="false">INDEX(C_Price,A128)*(1+D128)^(E128-1)</f>
        <v>25.6812336</v>
      </c>
      <c r="G128" s="29" t="n">
        <f aca="false">F128*Gongsi</f>
        <v>17.720051184</v>
      </c>
      <c r="H128" s="29" t="n">
        <f aca="false">G128*FairProp</f>
        <v>10.6320307104</v>
      </c>
      <c r="I128" s="37" t="n">
        <f aca="false">IF(G128&lt;=SpcLimit,SUMPRODUCT((H128&gt;SLo)*(H128-SLo)*SD),SUMPRODUCT((H128&gt;GLo)*(H128-GLo)*GD))</f>
        <v>0.0362281228416</v>
      </c>
      <c r="J128" s="37" t="n">
        <f aca="false">H128*CityRate</f>
        <v>0.01488484299456</v>
      </c>
      <c r="K128" s="37" t="n">
        <f aca="false">I128*EduProp</f>
        <v>0.00724562456832</v>
      </c>
      <c r="L128" s="29" t="n">
        <f aca="false">MAX(0,(G128-JongDeduct)*FairJong)</f>
        <v>3.4320307104</v>
      </c>
      <c r="M128" s="37" t="n">
        <f aca="false">SUMPRODUCT((L128&gt;JLo)*(L128-JLo)*JD)</f>
        <v>0.0180242149728</v>
      </c>
      <c r="N128" s="37" t="n">
        <f aca="false">M128*NongJong</f>
        <v>0.00360484299456</v>
      </c>
      <c r="O128" s="38" t="n">
        <f aca="false">I128+J128+K128+M128+N128</f>
        <v>0.07998764837184</v>
      </c>
    </row>
    <row r="129" customFormat="false" ht="15" hidden="false" customHeight="false" outlineLevel="0" collapsed="false">
      <c r="A129" s="21" t="n">
        <v>5</v>
      </c>
      <c r="B129" s="36" t="str">
        <f aca="false">INDEX(C_Name,A129)</f>
        <v>본동 래미안트윈파크 (32평형)</v>
      </c>
      <c r="C129" s="21" t="n">
        <v>1</v>
      </c>
      <c r="D129" s="8" t="n">
        <f aca="false">CHOOSE(C129,G1,G2,G3)</f>
        <v>0.02</v>
      </c>
      <c r="E129" s="21" t="n">
        <v>5</v>
      </c>
      <c r="F129" s="29" t="n">
        <f aca="false">INDEX(C_Price,A129)*(1+D129)^(E129-1)</f>
        <v>26.194858272</v>
      </c>
      <c r="G129" s="29" t="n">
        <f aca="false">F129*Gongsi</f>
        <v>18.07445220768</v>
      </c>
      <c r="H129" s="29" t="n">
        <f aca="false">G129*FairProp</f>
        <v>10.844671324608</v>
      </c>
      <c r="I129" s="37" t="n">
        <f aca="false">IF(G129&lt;=SpcLimit,SUMPRODUCT((H129&gt;SLo)*(H129-SLo)*SD),SUMPRODUCT((H129&gt;GLo)*(H129-GLo)*GD))</f>
        <v>0.037078685298432</v>
      </c>
      <c r="J129" s="37" t="n">
        <f aca="false">H129*CityRate</f>
        <v>0.0151825398544512</v>
      </c>
      <c r="K129" s="37" t="n">
        <f aca="false">I129*EduProp</f>
        <v>0.0074157370596864</v>
      </c>
      <c r="L129" s="29" t="n">
        <f aca="false">MAX(0,(G129-JongDeduct)*FairJong)</f>
        <v>3.644671324608</v>
      </c>
      <c r="M129" s="37" t="n">
        <f aca="false">SUMPRODUCT((L129&gt;JLo)*(L129-JLo)*JD)</f>
        <v>0.019512699272256</v>
      </c>
      <c r="N129" s="37" t="n">
        <f aca="false">M129*NongJong</f>
        <v>0.0039025398544512</v>
      </c>
      <c r="O129" s="38" t="n">
        <f aca="false">I129+J129+K129+M129+N129</f>
        <v>0.0830922013392768</v>
      </c>
    </row>
    <row r="130" customFormat="false" ht="15" hidden="false" customHeight="false" outlineLevel="0" collapsed="false">
      <c r="A130" s="21" t="n">
        <v>5</v>
      </c>
      <c r="B130" s="36" t="str">
        <f aca="false">INDEX(C_Name,A130)</f>
        <v>본동 래미안트윈파크 (32평형)</v>
      </c>
      <c r="C130" s="21" t="n">
        <v>1</v>
      </c>
      <c r="D130" s="8" t="n">
        <f aca="false">CHOOSE(C130,G1,G2,G3)</f>
        <v>0.02</v>
      </c>
      <c r="E130" s="21" t="n">
        <v>6</v>
      </c>
      <c r="F130" s="29" t="n">
        <f aca="false">INDEX(C_Price,A130)*(1+D130)^(E130-1)</f>
        <v>26.71875543744</v>
      </c>
      <c r="G130" s="29" t="n">
        <f aca="false">F130*Gongsi</f>
        <v>18.4359412518336</v>
      </c>
      <c r="H130" s="29" t="n">
        <f aca="false">G130*FairProp</f>
        <v>11.0615647511002</v>
      </c>
      <c r="I130" s="37" t="n">
        <f aca="false">IF(G130&lt;=SpcLimit,SUMPRODUCT((H130&gt;SLo)*(H130-SLo)*SD),SUMPRODUCT((H130&gt;GLo)*(H130-GLo)*GD))</f>
        <v>0.0379462590044006</v>
      </c>
      <c r="J130" s="37" t="n">
        <f aca="false">H130*CityRate</f>
        <v>0.0154861906515402</v>
      </c>
      <c r="K130" s="37" t="n">
        <f aca="false">I130*EduProp</f>
        <v>0.00758925180088013</v>
      </c>
      <c r="L130" s="29" t="n">
        <f aca="false">MAX(0,(G130-JongDeduct)*FairJong)</f>
        <v>3.86156475110016</v>
      </c>
      <c r="M130" s="37" t="n">
        <f aca="false">SUMPRODUCT((L130&gt;JLo)*(L130-JLo)*JD)</f>
        <v>0.0210309532577011</v>
      </c>
      <c r="N130" s="37" t="n">
        <f aca="false">M130*NongJong</f>
        <v>0.00420619065154022</v>
      </c>
      <c r="O130" s="38" t="n">
        <f aca="false">I130+J130+K130+M130+N130</f>
        <v>0.0862588453660623</v>
      </c>
    </row>
    <row r="131" customFormat="false" ht="15" hidden="false" customHeight="false" outlineLevel="0" collapsed="false">
      <c r="A131" s="21" t="n">
        <v>5</v>
      </c>
      <c r="B131" s="36" t="str">
        <f aca="false">INDEX(C_Name,A131)</f>
        <v>본동 래미안트윈파크 (32평형)</v>
      </c>
      <c r="C131" s="21" t="n">
        <v>1</v>
      </c>
      <c r="D131" s="8" t="n">
        <f aca="false">CHOOSE(C131,G1,G2,G3)</f>
        <v>0.02</v>
      </c>
      <c r="E131" s="21" t="n">
        <v>7</v>
      </c>
      <c r="F131" s="29" t="n">
        <f aca="false">INDEX(C_Price,A131)*(1+D131)^(E131-1)</f>
        <v>27.2531305461888</v>
      </c>
      <c r="G131" s="29" t="n">
        <f aca="false">F131*Gongsi</f>
        <v>18.8046600768703</v>
      </c>
      <c r="H131" s="29" t="n">
        <f aca="false">G131*FairProp</f>
        <v>11.2827960461222</v>
      </c>
      <c r="I131" s="37" t="n">
        <f aca="false">IF(G131&lt;=SpcLimit,SUMPRODUCT((H131&gt;SLo)*(H131-SLo)*SD),SUMPRODUCT((H131&gt;GLo)*(H131-GLo)*GD))</f>
        <v>0.0388311841844886</v>
      </c>
      <c r="J131" s="37" t="n">
        <f aca="false">H131*CityRate</f>
        <v>0.015795914464571</v>
      </c>
      <c r="K131" s="37" t="n">
        <f aca="false">I131*EduProp</f>
        <v>0.00776623683689773</v>
      </c>
      <c r="L131" s="29" t="n">
        <f aca="false">MAX(0,(G131-JongDeduct)*FairJong)</f>
        <v>4.08279604612216</v>
      </c>
      <c r="M131" s="37" t="n">
        <f aca="false">SUMPRODUCT((L131&gt;JLo)*(L131-JLo)*JD)</f>
        <v>0.0225795723228551</v>
      </c>
      <c r="N131" s="37" t="n">
        <f aca="false">M131*NongJong</f>
        <v>0.00451591446457103</v>
      </c>
      <c r="O131" s="38" t="n">
        <f aca="false">I131+J131+K131+M131+N131</f>
        <v>0.0894888222733836</v>
      </c>
    </row>
    <row r="132" customFormat="false" ht="15" hidden="false" customHeight="false" outlineLevel="0" collapsed="false">
      <c r="A132" s="21" t="n">
        <v>5</v>
      </c>
      <c r="B132" s="36" t="str">
        <f aca="false">INDEX(C_Name,A132)</f>
        <v>본동 래미안트윈파크 (32평형)</v>
      </c>
      <c r="C132" s="21" t="n">
        <v>1</v>
      </c>
      <c r="D132" s="8" t="n">
        <f aca="false">CHOOSE(C132,G1,G2,G3)</f>
        <v>0.02</v>
      </c>
      <c r="E132" s="21" t="n">
        <v>8</v>
      </c>
      <c r="F132" s="29" t="n">
        <f aca="false">INDEX(C_Price,A132)*(1+D132)^(E132-1)</f>
        <v>27.7981931571126</v>
      </c>
      <c r="G132" s="29" t="n">
        <f aca="false">F132*Gongsi</f>
        <v>19.1807532784077</v>
      </c>
      <c r="H132" s="29" t="n">
        <f aca="false">G132*FairProp</f>
        <v>11.5084519670446</v>
      </c>
      <c r="I132" s="37" t="n">
        <f aca="false">IF(G132&lt;=SpcLimit,SUMPRODUCT((H132&gt;SLo)*(H132-SLo)*SD),SUMPRODUCT((H132&gt;GLo)*(H132-GLo)*GD))</f>
        <v>0.0397338078681784</v>
      </c>
      <c r="J132" s="37" t="n">
        <f aca="false">H132*CityRate</f>
        <v>0.0161118327538624</v>
      </c>
      <c r="K132" s="37" t="n">
        <f aca="false">I132*EduProp</f>
        <v>0.00794676157363568</v>
      </c>
      <c r="L132" s="29" t="n">
        <f aca="false">MAX(0,(G132-JongDeduct)*FairJong)</f>
        <v>4.30845196704461</v>
      </c>
      <c r="M132" s="37" t="n">
        <f aca="false">SUMPRODUCT((L132&gt;JLo)*(L132-JLo)*JD)</f>
        <v>0.0241591637693122</v>
      </c>
      <c r="N132" s="37" t="n">
        <f aca="false">M132*NongJong</f>
        <v>0.00483183275386245</v>
      </c>
      <c r="O132" s="38" t="n">
        <f aca="false">I132+J132+K132+M132+N132</f>
        <v>0.0927833987188513</v>
      </c>
    </row>
    <row r="133" customFormat="false" ht="15" hidden="false" customHeight="false" outlineLevel="0" collapsed="false">
      <c r="A133" s="21" t="n">
        <v>5</v>
      </c>
      <c r="B133" s="36" t="str">
        <f aca="false">INDEX(C_Name,A133)</f>
        <v>본동 래미안트윈파크 (32평형)</v>
      </c>
      <c r="C133" s="21" t="n">
        <v>1</v>
      </c>
      <c r="D133" s="8" t="n">
        <f aca="false">CHOOSE(C133,G1,G2,G3)</f>
        <v>0.02</v>
      </c>
      <c r="E133" s="21" t="n">
        <v>9</v>
      </c>
      <c r="F133" s="29" t="n">
        <f aca="false">INDEX(C_Price,A133)*(1+D133)^(E133-1)</f>
        <v>28.3541570202548</v>
      </c>
      <c r="G133" s="29" t="n">
        <f aca="false">F133*Gongsi</f>
        <v>19.5643683439758</v>
      </c>
      <c r="H133" s="29" t="n">
        <f aca="false">G133*FairProp</f>
        <v>11.7386210063855</v>
      </c>
      <c r="I133" s="37" t="n">
        <f aca="false">IF(G133&lt;=SpcLimit,SUMPRODUCT((H133&gt;SLo)*(H133-SLo)*SD),SUMPRODUCT((H133&gt;GLo)*(H133-GLo)*GD))</f>
        <v>0.040654484025542</v>
      </c>
      <c r="J133" s="37" t="n">
        <f aca="false">H133*CityRate</f>
        <v>0.0164340694089397</v>
      </c>
      <c r="K133" s="37" t="n">
        <f aca="false">I133*EduProp</f>
        <v>0.0081308968051084</v>
      </c>
      <c r="L133" s="29" t="n">
        <f aca="false">MAX(0,(G133-JongDeduct)*FairJong)</f>
        <v>4.5386210063855</v>
      </c>
      <c r="M133" s="37" t="n">
        <f aca="false">SUMPRODUCT((L133&gt;JLo)*(L133-JLo)*JD)</f>
        <v>0.0257703470446985</v>
      </c>
      <c r="N133" s="37" t="n">
        <f aca="false">M133*NongJong</f>
        <v>0.0051540694089397</v>
      </c>
      <c r="O133" s="38" t="n">
        <f aca="false">I133+J133+K133+M133+N133</f>
        <v>0.0961438666932283</v>
      </c>
    </row>
    <row r="134" customFormat="false" ht="15" hidden="false" customHeight="false" outlineLevel="0" collapsed="false">
      <c r="A134" s="21" t="n">
        <v>5</v>
      </c>
      <c r="B134" s="36" t="str">
        <f aca="false">INDEX(C_Name,A134)</f>
        <v>본동 래미안트윈파크 (32평형)</v>
      </c>
      <c r="C134" s="21" t="n">
        <v>1</v>
      </c>
      <c r="D134" s="8" t="n">
        <f aca="false">CHOOSE(C134,G1,G2,G3)</f>
        <v>0.02</v>
      </c>
      <c r="E134" s="21" t="n">
        <v>10</v>
      </c>
      <c r="F134" s="29" t="n">
        <f aca="false">INDEX(C_Price,A134)*(1+D134)^(E134-1)</f>
        <v>28.9212401606599</v>
      </c>
      <c r="G134" s="29" t="n">
        <f aca="false">F134*Gongsi</f>
        <v>19.9556557108554</v>
      </c>
      <c r="H134" s="29" t="n">
        <f aca="false">G134*FairProp</f>
        <v>11.9733934265132</v>
      </c>
      <c r="I134" s="37" t="n">
        <f aca="false">IF(G134&lt;=SpcLimit,SUMPRODUCT((H134&gt;SLo)*(H134-SLo)*SD),SUMPRODUCT((H134&gt;GLo)*(H134-GLo)*GD))</f>
        <v>0.0415935737060528</v>
      </c>
      <c r="J134" s="37" t="n">
        <f aca="false">H134*CityRate</f>
        <v>0.0167627507971185</v>
      </c>
      <c r="K134" s="37" t="n">
        <f aca="false">I134*EduProp</f>
        <v>0.00831871474121057</v>
      </c>
      <c r="L134" s="29" t="n">
        <f aca="false">MAX(0,(G134-JongDeduct)*FairJong)</f>
        <v>4.77339342651321</v>
      </c>
      <c r="M134" s="37" t="n">
        <f aca="false">SUMPRODUCT((L134&gt;JLo)*(L134-JLo)*JD)</f>
        <v>0.0274137539855925</v>
      </c>
      <c r="N134" s="37" t="n">
        <f aca="false">M134*NongJong</f>
        <v>0.00548275079711849</v>
      </c>
      <c r="O134" s="38" t="n">
        <f aca="false">I134+J134+K134+M134+N134</f>
        <v>0.0995715440270929</v>
      </c>
    </row>
    <row r="135" customFormat="false" ht="15" hidden="false" customHeight="false" outlineLevel="0" collapsed="false">
      <c r="A135" s="21" t="n">
        <v>5</v>
      </c>
      <c r="B135" s="36" t="str">
        <f aca="false">INDEX(C_Name,A135)</f>
        <v>본동 래미안트윈파크 (32평형)</v>
      </c>
      <c r="C135" s="21" t="n">
        <v>2</v>
      </c>
      <c r="D135" s="8" t="n">
        <f aca="false">CHOOSE(C135,G1,G2,G3)</f>
        <v>0.04</v>
      </c>
      <c r="E135" s="21" t="n">
        <v>1</v>
      </c>
      <c r="F135" s="29" t="n">
        <f aca="false">INDEX(C_Price,A135)*(1+D135)^(E135-1)</f>
        <v>24.2</v>
      </c>
      <c r="G135" s="29" t="n">
        <f aca="false">F135*Gongsi</f>
        <v>16.698</v>
      </c>
      <c r="H135" s="29" t="n">
        <f aca="false">G135*FairProp</f>
        <v>10.0188</v>
      </c>
      <c r="I135" s="37" t="n">
        <f aca="false">IF(G135&lt;=SpcLimit,SUMPRODUCT((H135&gt;SLo)*(H135-SLo)*SD),SUMPRODUCT((H135&gt;GLo)*(H135-GLo)*GD))</f>
        <v>0.0337752</v>
      </c>
      <c r="J135" s="37" t="n">
        <f aca="false">H135*CityRate</f>
        <v>0.01402632</v>
      </c>
      <c r="K135" s="37" t="n">
        <f aca="false">I135*EduProp</f>
        <v>0.00675504</v>
      </c>
      <c r="L135" s="29" t="n">
        <f aca="false">MAX(0,(G135-JongDeduct)*FairJong)</f>
        <v>2.8188</v>
      </c>
      <c r="M135" s="37" t="n">
        <f aca="false">SUMPRODUCT((L135&gt;JLo)*(L135-JLo)*JD)</f>
        <v>0.014094</v>
      </c>
      <c r="N135" s="37" t="n">
        <f aca="false">M135*NongJong</f>
        <v>0.0028188</v>
      </c>
      <c r="O135" s="38" t="n">
        <f aca="false">I135+J135+K135+M135+N135</f>
        <v>0.07146936</v>
      </c>
    </row>
    <row r="136" customFormat="false" ht="15" hidden="false" customHeight="false" outlineLevel="0" collapsed="false">
      <c r="A136" s="21" t="n">
        <v>5</v>
      </c>
      <c r="B136" s="36" t="str">
        <f aca="false">INDEX(C_Name,A136)</f>
        <v>본동 래미안트윈파크 (32평형)</v>
      </c>
      <c r="C136" s="21" t="n">
        <v>2</v>
      </c>
      <c r="D136" s="8" t="n">
        <f aca="false">CHOOSE(C136,G1,G2,G3)</f>
        <v>0.04</v>
      </c>
      <c r="E136" s="21" t="n">
        <v>2</v>
      </c>
      <c r="F136" s="29" t="n">
        <f aca="false">INDEX(C_Price,A136)*(1+D136)^(E136-1)</f>
        <v>25.168</v>
      </c>
      <c r="G136" s="29" t="n">
        <f aca="false">F136*Gongsi</f>
        <v>17.36592</v>
      </c>
      <c r="H136" s="29" t="n">
        <f aca="false">G136*FairProp</f>
        <v>10.419552</v>
      </c>
      <c r="I136" s="37" t="n">
        <f aca="false">IF(G136&lt;=SpcLimit,SUMPRODUCT((H136&gt;SLo)*(H136-SLo)*SD),SUMPRODUCT((H136&gt;GLo)*(H136-GLo)*GD))</f>
        <v>0.035378208</v>
      </c>
      <c r="J136" s="37" t="n">
        <f aca="false">H136*CityRate</f>
        <v>0.0145873728</v>
      </c>
      <c r="K136" s="37" t="n">
        <f aca="false">I136*EduProp</f>
        <v>0.0070756416</v>
      </c>
      <c r="L136" s="29" t="n">
        <f aca="false">MAX(0,(G136-JongDeduct)*FairJong)</f>
        <v>3.219552</v>
      </c>
      <c r="M136" s="37" t="n">
        <f aca="false">SUMPRODUCT((L136&gt;JLo)*(L136-JLo)*JD)</f>
        <v>0.016536864</v>
      </c>
      <c r="N136" s="37" t="n">
        <f aca="false">M136*NongJong</f>
        <v>0.0033073728</v>
      </c>
      <c r="O136" s="38" t="n">
        <f aca="false">I136+J136+K136+M136+N136</f>
        <v>0.0768854592</v>
      </c>
    </row>
    <row r="137" customFormat="false" ht="15" hidden="false" customHeight="false" outlineLevel="0" collapsed="false">
      <c r="A137" s="21" t="n">
        <v>5</v>
      </c>
      <c r="B137" s="36" t="str">
        <f aca="false">INDEX(C_Name,A137)</f>
        <v>본동 래미안트윈파크 (32평형)</v>
      </c>
      <c r="C137" s="21" t="n">
        <v>2</v>
      </c>
      <c r="D137" s="8" t="n">
        <f aca="false">CHOOSE(C137,G1,G2,G3)</f>
        <v>0.04</v>
      </c>
      <c r="E137" s="21" t="n">
        <v>3</v>
      </c>
      <c r="F137" s="29" t="n">
        <f aca="false">INDEX(C_Price,A137)*(1+D137)^(E137-1)</f>
        <v>26.17472</v>
      </c>
      <c r="G137" s="29" t="n">
        <f aca="false">F137*Gongsi</f>
        <v>18.0605568</v>
      </c>
      <c r="H137" s="29" t="n">
        <f aca="false">G137*FairProp</f>
        <v>10.83633408</v>
      </c>
      <c r="I137" s="37" t="n">
        <f aca="false">IF(G137&lt;=SpcLimit,SUMPRODUCT((H137&gt;SLo)*(H137-SLo)*SD),SUMPRODUCT((H137&gt;GLo)*(H137-GLo)*GD))</f>
        <v>0.03704533632</v>
      </c>
      <c r="J137" s="37" t="n">
        <f aca="false">H137*CityRate</f>
        <v>0.015170867712</v>
      </c>
      <c r="K137" s="37" t="n">
        <f aca="false">I137*EduProp</f>
        <v>0.007409067264</v>
      </c>
      <c r="L137" s="29" t="n">
        <f aca="false">MAX(0,(G137-JongDeduct)*FairJong)</f>
        <v>3.63633408</v>
      </c>
      <c r="M137" s="37" t="n">
        <f aca="false">SUMPRODUCT((L137&gt;JLo)*(L137-JLo)*JD)</f>
        <v>0.01945433856</v>
      </c>
      <c r="N137" s="37" t="n">
        <f aca="false">M137*NongJong</f>
        <v>0.003890867712</v>
      </c>
      <c r="O137" s="38" t="n">
        <f aca="false">I137+J137+K137+M137+N137</f>
        <v>0.082970477568</v>
      </c>
    </row>
    <row r="138" customFormat="false" ht="15" hidden="false" customHeight="false" outlineLevel="0" collapsed="false">
      <c r="A138" s="21" t="n">
        <v>5</v>
      </c>
      <c r="B138" s="36" t="str">
        <f aca="false">INDEX(C_Name,A138)</f>
        <v>본동 래미안트윈파크 (32평형)</v>
      </c>
      <c r="C138" s="21" t="n">
        <v>2</v>
      </c>
      <c r="D138" s="8" t="n">
        <f aca="false">CHOOSE(C138,G1,G2,G3)</f>
        <v>0.04</v>
      </c>
      <c r="E138" s="21" t="n">
        <v>4</v>
      </c>
      <c r="F138" s="29" t="n">
        <f aca="false">INDEX(C_Price,A138)*(1+D138)^(E138-1)</f>
        <v>27.2217088</v>
      </c>
      <c r="G138" s="29" t="n">
        <f aca="false">F138*Gongsi</f>
        <v>18.782979072</v>
      </c>
      <c r="H138" s="29" t="n">
        <f aca="false">G138*FairProp</f>
        <v>11.2697874432</v>
      </c>
      <c r="I138" s="37" t="n">
        <f aca="false">IF(G138&lt;=SpcLimit,SUMPRODUCT((H138&gt;SLo)*(H138-SLo)*SD),SUMPRODUCT((H138&gt;GLo)*(H138-GLo)*GD))</f>
        <v>0.0387791497728</v>
      </c>
      <c r="J138" s="37" t="n">
        <f aca="false">H138*CityRate</f>
        <v>0.01577770242048</v>
      </c>
      <c r="K138" s="37" t="n">
        <f aca="false">I138*EduProp</f>
        <v>0.00775582995456</v>
      </c>
      <c r="L138" s="29" t="n">
        <f aca="false">MAX(0,(G138-JongDeduct)*FairJong)</f>
        <v>4.0697874432</v>
      </c>
      <c r="M138" s="37" t="n">
        <f aca="false">SUMPRODUCT((L138&gt;JLo)*(L138-JLo)*JD)</f>
        <v>0.0224885121024</v>
      </c>
      <c r="N138" s="37" t="n">
        <f aca="false">M138*NongJong</f>
        <v>0.00449770242048</v>
      </c>
      <c r="O138" s="38" t="n">
        <f aca="false">I138+J138+K138+M138+N138</f>
        <v>0.08929889667072</v>
      </c>
    </row>
    <row r="139" customFormat="false" ht="15" hidden="false" customHeight="false" outlineLevel="0" collapsed="false">
      <c r="A139" s="21" t="n">
        <v>5</v>
      </c>
      <c r="B139" s="36" t="str">
        <f aca="false">INDEX(C_Name,A139)</f>
        <v>본동 래미안트윈파크 (32평형)</v>
      </c>
      <c r="C139" s="21" t="n">
        <v>2</v>
      </c>
      <c r="D139" s="8" t="n">
        <f aca="false">CHOOSE(C139,G1,G2,G3)</f>
        <v>0.04</v>
      </c>
      <c r="E139" s="21" t="n">
        <v>5</v>
      </c>
      <c r="F139" s="29" t="n">
        <f aca="false">INDEX(C_Price,A139)*(1+D139)^(E139-1)</f>
        <v>28.310577152</v>
      </c>
      <c r="G139" s="29" t="n">
        <f aca="false">F139*Gongsi</f>
        <v>19.53429823488</v>
      </c>
      <c r="H139" s="29" t="n">
        <f aca="false">G139*FairProp</f>
        <v>11.720578940928</v>
      </c>
      <c r="I139" s="37" t="n">
        <f aca="false">IF(G139&lt;=SpcLimit,SUMPRODUCT((H139&gt;SLo)*(H139-SLo)*SD),SUMPRODUCT((H139&gt;GLo)*(H139-GLo)*GD))</f>
        <v>0.040582315763712</v>
      </c>
      <c r="J139" s="37" t="n">
        <f aca="false">H139*CityRate</f>
        <v>0.0164088105172992</v>
      </c>
      <c r="K139" s="37" t="n">
        <f aca="false">I139*EduProp</f>
        <v>0.0081164631527424</v>
      </c>
      <c r="L139" s="29" t="n">
        <f aca="false">MAX(0,(G139-JongDeduct)*FairJong)</f>
        <v>4.520578940928</v>
      </c>
      <c r="M139" s="37" t="n">
        <f aca="false">SUMPRODUCT((L139&gt;JLo)*(L139-JLo)*JD)</f>
        <v>0.025644052586496</v>
      </c>
      <c r="N139" s="37" t="n">
        <f aca="false">M139*NongJong</f>
        <v>0.0051288105172992</v>
      </c>
      <c r="O139" s="38" t="n">
        <f aca="false">I139+J139+K139+M139+N139</f>
        <v>0.0958804525375488</v>
      </c>
    </row>
    <row r="140" customFormat="false" ht="15" hidden="false" customHeight="false" outlineLevel="0" collapsed="false">
      <c r="A140" s="21" t="n">
        <v>5</v>
      </c>
      <c r="B140" s="36" t="str">
        <f aca="false">INDEX(C_Name,A140)</f>
        <v>본동 래미안트윈파크 (32평형)</v>
      </c>
      <c r="C140" s="21" t="n">
        <v>2</v>
      </c>
      <c r="D140" s="8" t="n">
        <f aca="false">CHOOSE(C140,G1,G2,G3)</f>
        <v>0.04</v>
      </c>
      <c r="E140" s="21" t="n">
        <v>6</v>
      </c>
      <c r="F140" s="29" t="n">
        <f aca="false">INDEX(C_Price,A140)*(1+D140)^(E140-1)</f>
        <v>29.44300023808</v>
      </c>
      <c r="G140" s="29" t="n">
        <f aca="false">F140*Gongsi</f>
        <v>20.3156701642752</v>
      </c>
      <c r="H140" s="29" t="n">
        <f aca="false">G140*FairProp</f>
        <v>12.1894020985651</v>
      </c>
      <c r="I140" s="37" t="n">
        <f aca="false">IF(G140&lt;=SpcLimit,SUMPRODUCT((H140&gt;SLo)*(H140-SLo)*SD),SUMPRODUCT((H140&gt;GLo)*(H140-GLo)*GD))</f>
        <v>0.0424576083942605</v>
      </c>
      <c r="J140" s="37" t="n">
        <f aca="false">H140*CityRate</f>
        <v>0.0170651629379912</v>
      </c>
      <c r="K140" s="37" t="n">
        <f aca="false">I140*EduProp</f>
        <v>0.0084915216788521</v>
      </c>
      <c r="L140" s="29" t="n">
        <f aca="false">MAX(0,(G140-JongDeduct)*FairJong)</f>
        <v>4.98940209856512</v>
      </c>
      <c r="M140" s="37" t="n">
        <f aca="false">SUMPRODUCT((L140&gt;JLo)*(L140-JLo)*JD)</f>
        <v>0.0289258146899558</v>
      </c>
      <c r="N140" s="37" t="n">
        <f aca="false">M140*NongJong</f>
        <v>0.00578516293799117</v>
      </c>
      <c r="O140" s="38" t="n">
        <f aca="false">I140+J140+K140+M140+N140</f>
        <v>0.102725270639051</v>
      </c>
    </row>
    <row r="141" customFormat="false" ht="15" hidden="false" customHeight="false" outlineLevel="0" collapsed="false">
      <c r="A141" s="21" t="n">
        <v>5</v>
      </c>
      <c r="B141" s="36" t="str">
        <f aca="false">INDEX(C_Name,A141)</f>
        <v>본동 래미안트윈파크 (32평형)</v>
      </c>
      <c r="C141" s="21" t="n">
        <v>2</v>
      </c>
      <c r="D141" s="8" t="n">
        <f aca="false">CHOOSE(C141,G1,G2,G3)</f>
        <v>0.04</v>
      </c>
      <c r="E141" s="21" t="n">
        <v>7</v>
      </c>
      <c r="F141" s="29" t="n">
        <f aca="false">INDEX(C_Price,A141)*(1+D141)^(E141-1)</f>
        <v>30.6207202476032</v>
      </c>
      <c r="G141" s="29" t="n">
        <f aca="false">F141*Gongsi</f>
        <v>21.1282969708462</v>
      </c>
      <c r="H141" s="29" t="n">
        <f aca="false">G141*FairProp</f>
        <v>12.6769781825077</v>
      </c>
      <c r="I141" s="37" t="n">
        <f aca="false">IF(G141&lt;=SpcLimit,SUMPRODUCT((H141&gt;SLo)*(H141-SLo)*SD),SUMPRODUCT((H141&gt;GLo)*(H141-GLo)*GD))</f>
        <v>0.0444079127300309</v>
      </c>
      <c r="J141" s="37" t="n">
        <f aca="false">H141*CityRate</f>
        <v>0.0177477694555108</v>
      </c>
      <c r="K141" s="37" t="n">
        <f aca="false">I141*EduProp</f>
        <v>0.00888158254600618</v>
      </c>
      <c r="L141" s="29" t="n">
        <f aca="false">MAX(0,(G141-JongDeduct)*FairJong)</f>
        <v>5.47697818250773</v>
      </c>
      <c r="M141" s="37" t="n">
        <f aca="false">SUMPRODUCT((L141&gt;JLo)*(L141-JLo)*JD)</f>
        <v>0.0323388472775541</v>
      </c>
      <c r="N141" s="37" t="n">
        <f aca="false">M141*NongJong</f>
        <v>0.00646776945551082</v>
      </c>
      <c r="O141" s="38" t="n">
        <f aca="false">I141+J141+K141+M141+N141</f>
        <v>0.109843881464613</v>
      </c>
    </row>
    <row r="142" customFormat="false" ht="15" hidden="false" customHeight="false" outlineLevel="0" collapsed="false">
      <c r="A142" s="21" t="n">
        <v>5</v>
      </c>
      <c r="B142" s="36" t="str">
        <f aca="false">INDEX(C_Name,A142)</f>
        <v>본동 래미안트윈파크 (32평형)</v>
      </c>
      <c r="C142" s="21" t="n">
        <v>2</v>
      </c>
      <c r="D142" s="8" t="n">
        <f aca="false">CHOOSE(C142,G1,G2,G3)</f>
        <v>0.04</v>
      </c>
      <c r="E142" s="21" t="n">
        <v>8</v>
      </c>
      <c r="F142" s="29" t="n">
        <f aca="false">INDEX(C_Price,A142)*(1+D142)^(E142-1)</f>
        <v>31.8455490575073</v>
      </c>
      <c r="G142" s="29" t="n">
        <f aca="false">F142*Gongsi</f>
        <v>21.9734288496801</v>
      </c>
      <c r="H142" s="29" t="n">
        <f aca="false">G142*FairProp</f>
        <v>13.184057309808</v>
      </c>
      <c r="I142" s="37" t="n">
        <f aca="false">IF(G142&lt;=SpcLimit,SUMPRODUCT((H142&gt;SLo)*(H142-SLo)*SD),SUMPRODUCT((H142&gt;GLo)*(H142-GLo)*GD))</f>
        <v>0.0464362292392321</v>
      </c>
      <c r="J142" s="37" t="n">
        <f aca="false">H142*CityRate</f>
        <v>0.0184576802337312</v>
      </c>
      <c r="K142" s="37" t="n">
        <f aca="false">I142*EduProp</f>
        <v>0.00928724584784643</v>
      </c>
      <c r="L142" s="29" t="n">
        <f aca="false">MAX(0,(G142-JongDeduct)*FairJong)</f>
        <v>5.98405730980803</v>
      </c>
      <c r="M142" s="37" t="n">
        <f aca="false">SUMPRODUCT((L142&gt;JLo)*(L142-JLo)*JD)</f>
        <v>0.0358884011686562</v>
      </c>
      <c r="N142" s="37" t="n">
        <f aca="false">M142*NongJong</f>
        <v>0.00717768023373125</v>
      </c>
      <c r="O142" s="38" t="n">
        <f aca="false">I142+J142+K142+M142+N142</f>
        <v>0.117247236723197</v>
      </c>
    </row>
    <row r="143" customFormat="false" ht="15" hidden="false" customHeight="false" outlineLevel="0" collapsed="false">
      <c r="A143" s="21" t="n">
        <v>5</v>
      </c>
      <c r="B143" s="36" t="str">
        <f aca="false">INDEX(C_Name,A143)</f>
        <v>본동 래미안트윈파크 (32평형)</v>
      </c>
      <c r="C143" s="21" t="n">
        <v>2</v>
      </c>
      <c r="D143" s="8" t="n">
        <f aca="false">CHOOSE(C143,G1,G2,G3)</f>
        <v>0.04</v>
      </c>
      <c r="E143" s="21" t="n">
        <v>9</v>
      </c>
      <c r="F143" s="29" t="n">
        <f aca="false">INDEX(C_Price,A143)*(1+D143)^(E143-1)</f>
        <v>33.1193710198076</v>
      </c>
      <c r="G143" s="29" t="n">
        <f aca="false">F143*Gongsi</f>
        <v>22.8523660036673</v>
      </c>
      <c r="H143" s="29" t="n">
        <f aca="false">G143*FairProp</f>
        <v>13.7114196022004</v>
      </c>
      <c r="I143" s="37" t="n">
        <f aca="false">IF(G143&lt;=SpcLimit,SUMPRODUCT((H143&gt;SLo)*(H143-SLo)*SD),SUMPRODUCT((H143&gt;GLo)*(H143-GLo)*GD))</f>
        <v>0.0485456784088014</v>
      </c>
      <c r="J143" s="37" t="n">
        <f aca="false">H143*CityRate</f>
        <v>0.0191959874430805</v>
      </c>
      <c r="K143" s="37" t="n">
        <f aca="false">I143*EduProp</f>
        <v>0.00970913568176029</v>
      </c>
      <c r="L143" s="29" t="n">
        <f aca="false">MAX(0,(G143-JongDeduct)*FairJong)</f>
        <v>6.51141960220036</v>
      </c>
      <c r="M143" s="37" t="n">
        <f aca="false">SUMPRODUCT((L143&gt;JLo)*(L143-JLo)*JD)</f>
        <v>0.0411141960220036</v>
      </c>
      <c r="N143" s="37" t="n">
        <f aca="false">M143*NongJong</f>
        <v>0.00822283920440072</v>
      </c>
      <c r="O143" s="38" t="n">
        <f aca="false">I143+J143+K143+M143+N143</f>
        <v>0.126787836760047</v>
      </c>
    </row>
    <row r="144" customFormat="false" ht="15" hidden="false" customHeight="false" outlineLevel="0" collapsed="false">
      <c r="A144" s="21" t="n">
        <v>5</v>
      </c>
      <c r="B144" s="36" t="str">
        <f aca="false">INDEX(C_Name,A144)</f>
        <v>본동 래미안트윈파크 (32평형)</v>
      </c>
      <c r="C144" s="21" t="n">
        <v>2</v>
      </c>
      <c r="D144" s="8" t="n">
        <f aca="false">CHOOSE(C144,G1,G2,G3)</f>
        <v>0.04</v>
      </c>
      <c r="E144" s="21" t="n">
        <v>10</v>
      </c>
      <c r="F144" s="29" t="n">
        <f aca="false">INDEX(C_Price,A144)*(1+D144)^(E144-1)</f>
        <v>34.4441458605999</v>
      </c>
      <c r="G144" s="29" t="n">
        <f aca="false">F144*Gongsi</f>
        <v>23.766460643814</v>
      </c>
      <c r="H144" s="29" t="n">
        <f aca="false">G144*FairProp</f>
        <v>14.2598763862884</v>
      </c>
      <c r="I144" s="37" t="n">
        <f aca="false">IF(G144&lt;=SpcLimit,SUMPRODUCT((H144&gt;SLo)*(H144-SLo)*SD),SUMPRODUCT((H144&gt;GLo)*(H144-GLo)*GD))</f>
        <v>0.0507395055451535</v>
      </c>
      <c r="J144" s="37" t="n">
        <f aca="false">H144*CityRate</f>
        <v>0.0199638269408037</v>
      </c>
      <c r="K144" s="37" t="n">
        <f aca="false">I144*EduProp</f>
        <v>0.0101479011090307</v>
      </c>
      <c r="L144" s="29" t="n">
        <f aca="false">MAX(0,(G144-JongDeduct)*FairJong)</f>
        <v>7.05987638628837</v>
      </c>
      <c r="M144" s="37" t="n">
        <f aca="false">SUMPRODUCT((L144&gt;JLo)*(L144-JLo)*JD)</f>
        <v>0.0465987638628837</v>
      </c>
      <c r="N144" s="37" t="n">
        <f aca="false">M144*NongJong</f>
        <v>0.00931975277257675</v>
      </c>
      <c r="O144" s="38" t="n">
        <f aca="false">I144+J144+K144+M144+N144</f>
        <v>0.136769750230448</v>
      </c>
    </row>
    <row r="145" customFormat="false" ht="15" hidden="false" customHeight="false" outlineLevel="0" collapsed="false">
      <c r="A145" s="21" t="n">
        <v>5</v>
      </c>
      <c r="B145" s="36" t="str">
        <f aca="false">INDEX(C_Name,A145)</f>
        <v>본동 래미안트윈파크 (32평형)</v>
      </c>
      <c r="C145" s="21" t="n">
        <v>3</v>
      </c>
      <c r="D145" s="8" t="n">
        <f aca="false">CHOOSE(C145,G1,G2,G3)</f>
        <v>0.06</v>
      </c>
      <c r="E145" s="21" t="n">
        <v>1</v>
      </c>
      <c r="F145" s="29" t="n">
        <f aca="false">INDEX(C_Price,A145)*(1+D145)^(E145-1)</f>
        <v>24.2</v>
      </c>
      <c r="G145" s="29" t="n">
        <f aca="false">F145*Gongsi</f>
        <v>16.698</v>
      </c>
      <c r="H145" s="29" t="n">
        <f aca="false">G145*FairProp</f>
        <v>10.0188</v>
      </c>
      <c r="I145" s="37" t="n">
        <f aca="false">IF(G145&lt;=SpcLimit,SUMPRODUCT((H145&gt;SLo)*(H145-SLo)*SD),SUMPRODUCT((H145&gt;GLo)*(H145-GLo)*GD))</f>
        <v>0.0337752</v>
      </c>
      <c r="J145" s="37" t="n">
        <f aca="false">H145*CityRate</f>
        <v>0.01402632</v>
      </c>
      <c r="K145" s="37" t="n">
        <f aca="false">I145*EduProp</f>
        <v>0.00675504</v>
      </c>
      <c r="L145" s="29" t="n">
        <f aca="false">MAX(0,(G145-JongDeduct)*FairJong)</f>
        <v>2.8188</v>
      </c>
      <c r="M145" s="37" t="n">
        <f aca="false">SUMPRODUCT((L145&gt;JLo)*(L145-JLo)*JD)</f>
        <v>0.014094</v>
      </c>
      <c r="N145" s="37" t="n">
        <f aca="false">M145*NongJong</f>
        <v>0.0028188</v>
      </c>
      <c r="O145" s="38" t="n">
        <f aca="false">I145+J145+K145+M145+N145</f>
        <v>0.07146936</v>
      </c>
    </row>
    <row r="146" customFormat="false" ht="15" hidden="false" customHeight="false" outlineLevel="0" collapsed="false">
      <c r="A146" s="21" t="n">
        <v>5</v>
      </c>
      <c r="B146" s="36" t="str">
        <f aca="false">INDEX(C_Name,A146)</f>
        <v>본동 래미안트윈파크 (32평형)</v>
      </c>
      <c r="C146" s="21" t="n">
        <v>3</v>
      </c>
      <c r="D146" s="8" t="n">
        <f aca="false">CHOOSE(C146,G1,G2,G3)</f>
        <v>0.06</v>
      </c>
      <c r="E146" s="21" t="n">
        <v>2</v>
      </c>
      <c r="F146" s="29" t="n">
        <f aca="false">INDEX(C_Price,A146)*(1+D146)^(E146-1)</f>
        <v>25.652</v>
      </c>
      <c r="G146" s="29" t="n">
        <f aca="false">F146*Gongsi</f>
        <v>17.69988</v>
      </c>
      <c r="H146" s="29" t="n">
        <f aca="false">G146*FairProp</f>
        <v>10.619928</v>
      </c>
      <c r="I146" s="37" t="n">
        <f aca="false">IF(G146&lt;=SpcLimit,SUMPRODUCT((H146&gt;SLo)*(H146-SLo)*SD),SUMPRODUCT((H146&gt;GLo)*(H146-GLo)*GD))</f>
        <v>0.036179712</v>
      </c>
      <c r="J146" s="37" t="n">
        <f aca="false">H146*CityRate</f>
        <v>0.0148678992</v>
      </c>
      <c r="K146" s="37" t="n">
        <f aca="false">I146*EduProp</f>
        <v>0.0072359424</v>
      </c>
      <c r="L146" s="29" t="n">
        <f aca="false">MAX(0,(G146-JongDeduct)*FairJong)</f>
        <v>3.419928</v>
      </c>
      <c r="M146" s="37" t="n">
        <f aca="false">SUMPRODUCT((L146&gt;JLo)*(L146-JLo)*JD)</f>
        <v>0.017939496</v>
      </c>
      <c r="N146" s="37" t="n">
        <f aca="false">M146*NongJong</f>
        <v>0.0035878992</v>
      </c>
      <c r="O146" s="38" t="n">
        <f aca="false">I146+J146+K146+M146+N146</f>
        <v>0.0798109488</v>
      </c>
    </row>
    <row r="147" customFormat="false" ht="15" hidden="false" customHeight="false" outlineLevel="0" collapsed="false">
      <c r="A147" s="21" t="n">
        <v>5</v>
      </c>
      <c r="B147" s="36" t="str">
        <f aca="false">INDEX(C_Name,A147)</f>
        <v>본동 래미안트윈파크 (32평형)</v>
      </c>
      <c r="C147" s="21" t="n">
        <v>3</v>
      </c>
      <c r="D147" s="8" t="n">
        <f aca="false">CHOOSE(C147,G1,G2,G3)</f>
        <v>0.06</v>
      </c>
      <c r="E147" s="21" t="n">
        <v>3</v>
      </c>
      <c r="F147" s="29" t="n">
        <f aca="false">INDEX(C_Price,A147)*(1+D147)^(E147-1)</f>
        <v>27.19112</v>
      </c>
      <c r="G147" s="29" t="n">
        <f aca="false">F147*Gongsi</f>
        <v>18.7618728</v>
      </c>
      <c r="H147" s="29" t="n">
        <f aca="false">G147*FairProp</f>
        <v>11.25712368</v>
      </c>
      <c r="I147" s="37" t="n">
        <f aca="false">IF(G147&lt;=SpcLimit,SUMPRODUCT((H147&gt;SLo)*(H147-SLo)*SD),SUMPRODUCT((H147&gt;GLo)*(H147-GLo)*GD))</f>
        <v>0.03872849472</v>
      </c>
      <c r="J147" s="37" t="n">
        <f aca="false">H147*CityRate</f>
        <v>0.015759973152</v>
      </c>
      <c r="K147" s="37" t="n">
        <f aca="false">I147*EduProp</f>
        <v>0.007745698944</v>
      </c>
      <c r="L147" s="29" t="n">
        <f aca="false">MAX(0,(G147-JongDeduct)*FairJong)</f>
        <v>4.05712368</v>
      </c>
      <c r="M147" s="37" t="n">
        <f aca="false">SUMPRODUCT((L147&gt;JLo)*(L147-JLo)*JD)</f>
        <v>0.02239986576</v>
      </c>
      <c r="N147" s="37" t="n">
        <f aca="false">M147*NongJong</f>
        <v>0.004479973152</v>
      </c>
      <c r="O147" s="38" t="n">
        <f aca="false">I147+J147+K147+M147+N147</f>
        <v>0.089114005728</v>
      </c>
    </row>
    <row r="148" customFormat="false" ht="15" hidden="false" customHeight="false" outlineLevel="0" collapsed="false">
      <c r="A148" s="21" t="n">
        <v>5</v>
      </c>
      <c r="B148" s="36" t="str">
        <f aca="false">INDEX(C_Name,A148)</f>
        <v>본동 래미안트윈파크 (32평형)</v>
      </c>
      <c r="C148" s="21" t="n">
        <v>3</v>
      </c>
      <c r="D148" s="8" t="n">
        <f aca="false">CHOOSE(C148,G1,G2,G3)</f>
        <v>0.06</v>
      </c>
      <c r="E148" s="21" t="n">
        <v>4</v>
      </c>
      <c r="F148" s="29" t="n">
        <f aca="false">INDEX(C_Price,A148)*(1+D148)^(E148-1)</f>
        <v>28.8225872</v>
      </c>
      <c r="G148" s="29" t="n">
        <f aca="false">F148*Gongsi</f>
        <v>19.887585168</v>
      </c>
      <c r="H148" s="29" t="n">
        <f aca="false">G148*FairProp</f>
        <v>11.9325511008</v>
      </c>
      <c r="I148" s="37" t="n">
        <f aca="false">IF(G148&lt;=SpcLimit,SUMPRODUCT((H148&gt;SLo)*(H148-SLo)*SD),SUMPRODUCT((H148&gt;GLo)*(H148-GLo)*GD))</f>
        <v>0.0414302044032</v>
      </c>
      <c r="J148" s="37" t="n">
        <f aca="false">H148*CityRate</f>
        <v>0.01670557154112</v>
      </c>
      <c r="K148" s="37" t="n">
        <f aca="false">I148*EduProp</f>
        <v>0.00828604088064</v>
      </c>
      <c r="L148" s="29" t="n">
        <f aca="false">MAX(0,(G148-JongDeduct)*FairJong)</f>
        <v>4.7325511008</v>
      </c>
      <c r="M148" s="37" t="n">
        <f aca="false">SUMPRODUCT((L148&gt;JLo)*(L148-JLo)*JD)</f>
        <v>0.0271278577056</v>
      </c>
      <c r="N148" s="37" t="n">
        <f aca="false">M148*NongJong</f>
        <v>0.00542557154112</v>
      </c>
      <c r="O148" s="38" t="n">
        <f aca="false">I148+J148+K148+M148+N148</f>
        <v>0.09897524607168</v>
      </c>
    </row>
    <row r="149" customFormat="false" ht="15" hidden="false" customHeight="false" outlineLevel="0" collapsed="false">
      <c r="A149" s="21" t="n">
        <v>5</v>
      </c>
      <c r="B149" s="36" t="str">
        <f aca="false">INDEX(C_Name,A149)</f>
        <v>본동 래미안트윈파크 (32평형)</v>
      </c>
      <c r="C149" s="21" t="n">
        <v>3</v>
      </c>
      <c r="D149" s="8" t="n">
        <f aca="false">CHOOSE(C149,G1,G2,G3)</f>
        <v>0.06</v>
      </c>
      <c r="E149" s="21" t="n">
        <v>5</v>
      </c>
      <c r="F149" s="29" t="n">
        <f aca="false">INDEX(C_Price,A149)*(1+D149)^(E149-1)</f>
        <v>30.551942432</v>
      </c>
      <c r="G149" s="29" t="n">
        <f aca="false">F149*Gongsi</f>
        <v>21.08084027808</v>
      </c>
      <c r="H149" s="29" t="n">
        <f aca="false">G149*FairProp</f>
        <v>12.648504166848</v>
      </c>
      <c r="I149" s="37" t="n">
        <f aca="false">IF(G149&lt;=SpcLimit,SUMPRODUCT((H149&gt;SLo)*(H149-SLo)*SD),SUMPRODUCT((H149&gt;GLo)*(H149-GLo)*GD))</f>
        <v>0.044294016667392</v>
      </c>
      <c r="J149" s="37" t="n">
        <f aca="false">H149*CityRate</f>
        <v>0.0177079058335872</v>
      </c>
      <c r="K149" s="37" t="n">
        <f aca="false">I149*EduProp</f>
        <v>0.0088588033334784</v>
      </c>
      <c r="L149" s="29" t="n">
        <f aca="false">MAX(0,(G149-JongDeduct)*FairJong)</f>
        <v>5.448504166848</v>
      </c>
      <c r="M149" s="37" t="n">
        <f aca="false">SUMPRODUCT((L149&gt;JLo)*(L149-JLo)*JD)</f>
        <v>0.032139529167936</v>
      </c>
      <c r="N149" s="37" t="n">
        <f aca="false">M149*NongJong</f>
        <v>0.0064279058335872</v>
      </c>
      <c r="O149" s="38" t="n">
        <f aca="false">I149+J149+K149+M149+N149</f>
        <v>0.109428160835981</v>
      </c>
    </row>
    <row r="150" customFormat="false" ht="15" hidden="false" customHeight="false" outlineLevel="0" collapsed="false">
      <c r="A150" s="21" t="n">
        <v>5</v>
      </c>
      <c r="B150" s="36" t="str">
        <f aca="false">INDEX(C_Name,A150)</f>
        <v>본동 래미안트윈파크 (32평형)</v>
      </c>
      <c r="C150" s="21" t="n">
        <v>3</v>
      </c>
      <c r="D150" s="8" t="n">
        <f aca="false">CHOOSE(C150,G1,G2,G3)</f>
        <v>0.06</v>
      </c>
      <c r="E150" s="21" t="n">
        <v>6</v>
      </c>
      <c r="F150" s="29" t="n">
        <f aca="false">INDEX(C_Price,A150)*(1+D150)^(E150-1)</f>
        <v>32.38505897792</v>
      </c>
      <c r="G150" s="29" t="n">
        <f aca="false">F150*Gongsi</f>
        <v>22.3456906947648</v>
      </c>
      <c r="H150" s="29" t="n">
        <f aca="false">G150*FairProp</f>
        <v>13.4074144168589</v>
      </c>
      <c r="I150" s="37" t="n">
        <f aca="false">IF(G150&lt;=SpcLimit,SUMPRODUCT((H150&gt;SLo)*(H150-SLo)*SD),SUMPRODUCT((H150&gt;GLo)*(H150-GLo)*GD))</f>
        <v>0.0473296576674355</v>
      </c>
      <c r="J150" s="37" t="n">
        <f aca="false">H150*CityRate</f>
        <v>0.0187703801836024</v>
      </c>
      <c r="K150" s="37" t="n">
        <f aca="false">I150*EduProp</f>
        <v>0.00946593153348711</v>
      </c>
      <c r="L150" s="29" t="n">
        <f aca="false">MAX(0,(G150-JongDeduct)*FairJong)</f>
        <v>6.20741441685888</v>
      </c>
      <c r="M150" s="37" t="n">
        <f aca="false">SUMPRODUCT((L150&gt;JLo)*(L150-JLo)*JD)</f>
        <v>0.0380741441685888</v>
      </c>
      <c r="N150" s="37" t="n">
        <f aca="false">M150*NongJong</f>
        <v>0.00761482883371776</v>
      </c>
      <c r="O150" s="38" t="n">
        <f aca="false">I150+J150+K150+M150+N150</f>
        <v>0.121254942386832</v>
      </c>
    </row>
    <row r="151" customFormat="false" ht="15" hidden="false" customHeight="false" outlineLevel="0" collapsed="false">
      <c r="A151" s="21" t="n">
        <v>5</v>
      </c>
      <c r="B151" s="36" t="str">
        <f aca="false">INDEX(C_Name,A151)</f>
        <v>본동 래미안트윈파크 (32평형)</v>
      </c>
      <c r="C151" s="21" t="n">
        <v>3</v>
      </c>
      <c r="D151" s="8" t="n">
        <f aca="false">CHOOSE(C151,G1,G2,G3)</f>
        <v>0.06</v>
      </c>
      <c r="E151" s="21" t="n">
        <v>7</v>
      </c>
      <c r="F151" s="29" t="n">
        <f aca="false">INDEX(C_Price,A151)*(1+D151)^(E151-1)</f>
        <v>34.3281625165952</v>
      </c>
      <c r="G151" s="29" t="n">
        <f aca="false">F151*Gongsi</f>
        <v>23.6864321364507</v>
      </c>
      <c r="H151" s="29" t="n">
        <f aca="false">G151*FairProp</f>
        <v>14.2118592818704</v>
      </c>
      <c r="I151" s="37" t="n">
        <f aca="false">IF(G151&lt;=SpcLimit,SUMPRODUCT((H151&gt;SLo)*(H151-SLo)*SD),SUMPRODUCT((H151&gt;GLo)*(H151-GLo)*GD))</f>
        <v>0.0505474371274817</v>
      </c>
      <c r="J151" s="37" t="n">
        <f aca="false">H151*CityRate</f>
        <v>0.0198966029946186</v>
      </c>
      <c r="K151" s="37" t="n">
        <f aca="false">I151*EduProp</f>
        <v>0.0101094874254963</v>
      </c>
      <c r="L151" s="29" t="n">
        <f aca="false">MAX(0,(G151-JongDeduct)*FairJong)</f>
        <v>7.01185928187041</v>
      </c>
      <c r="M151" s="37" t="n">
        <f aca="false">SUMPRODUCT((L151&gt;JLo)*(L151-JLo)*JD)</f>
        <v>0.0461185928187041</v>
      </c>
      <c r="N151" s="37" t="n">
        <f aca="false">M151*NongJong</f>
        <v>0.00922371856374083</v>
      </c>
      <c r="O151" s="38" t="n">
        <f aca="false">I151+J151+K151+M151+N151</f>
        <v>0.135895838930042</v>
      </c>
    </row>
    <row r="152" customFormat="false" ht="15" hidden="false" customHeight="false" outlineLevel="0" collapsed="false">
      <c r="A152" s="21" t="n">
        <v>5</v>
      </c>
      <c r="B152" s="36" t="str">
        <f aca="false">INDEX(C_Name,A152)</f>
        <v>본동 래미안트윈파크 (32평형)</v>
      </c>
      <c r="C152" s="21" t="n">
        <v>3</v>
      </c>
      <c r="D152" s="8" t="n">
        <f aca="false">CHOOSE(C152,G1,G2,G3)</f>
        <v>0.06</v>
      </c>
      <c r="E152" s="21" t="n">
        <v>8</v>
      </c>
      <c r="F152" s="29" t="n">
        <f aca="false">INDEX(C_Price,A152)*(1+D152)^(E152-1)</f>
        <v>36.3878522675909</v>
      </c>
      <c r="G152" s="29" t="n">
        <f aca="false">F152*Gongsi</f>
        <v>25.1076180646377</v>
      </c>
      <c r="H152" s="29" t="n">
        <f aca="false">G152*FairProp</f>
        <v>15.0645708387826</v>
      </c>
      <c r="I152" s="37" t="n">
        <f aca="false">IF(G152&lt;=SpcLimit,SUMPRODUCT((H152&gt;SLo)*(H152-SLo)*SD),SUMPRODUCT((H152&gt;GLo)*(H152-GLo)*GD))</f>
        <v>0.0539582833551306</v>
      </c>
      <c r="J152" s="37" t="n">
        <f aca="false">H152*CityRate</f>
        <v>0.0210903991742957</v>
      </c>
      <c r="K152" s="37" t="n">
        <f aca="false">I152*EduProp</f>
        <v>0.0107916566710261</v>
      </c>
      <c r="L152" s="29" t="n">
        <f aca="false">MAX(0,(G152-JongDeduct)*FairJong)</f>
        <v>7.86457083878264</v>
      </c>
      <c r="M152" s="37" t="n">
        <f aca="false">SUMPRODUCT((L152&gt;JLo)*(L152-JLo)*JD)</f>
        <v>0.0546457083878264</v>
      </c>
      <c r="N152" s="37" t="n">
        <f aca="false">M152*NongJong</f>
        <v>0.0109291416775653</v>
      </c>
      <c r="O152" s="38" t="n">
        <f aca="false">I152+J152+K152+M152+N152</f>
        <v>0.151415189265844</v>
      </c>
    </row>
    <row r="153" customFormat="false" ht="15" hidden="false" customHeight="false" outlineLevel="0" collapsed="false">
      <c r="A153" s="21" t="n">
        <v>5</v>
      </c>
      <c r="B153" s="36" t="str">
        <f aca="false">INDEX(C_Name,A153)</f>
        <v>본동 래미안트윈파크 (32평형)</v>
      </c>
      <c r="C153" s="21" t="n">
        <v>3</v>
      </c>
      <c r="D153" s="8" t="n">
        <f aca="false">CHOOSE(C153,G1,G2,G3)</f>
        <v>0.06</v>
      </c>
      <c r="E153" s="21" t="n">
        <v>9</v>
      </c>
      <c r="F153" s="29" t="n">
        <f aca="false">INDEX(C_Price,A153)*(1+D153)^(E153-1)</f>
        <v>38.5711234036464</v>
      </c>
      <c r="G153" s="29" t="n">
        <f aca="false">F153*Gongsi</f>
        <v>26.614075148516</v>
      </c>
      <c r="H153" s="29" t="n">
        <f aca="false">G153*FairProp</f>
        <v>15.9684450891096</v>
      </c>
      <c r="I153" s="37" t="n">
        <f aca="false">IF(G153&lt;=SpcLimit,SUMPRODUCT((H153&gt;SLo)*(H153-SLo)*SD),SUMPRODUCT((H153&gt;GLo)*(H153-GLo)*GD))</f>
        <v>0.0575737803564384</v>
      </c>
      <c r="J153" s="37" t="n">
        <f aca="false">H153*CityRate</f>
        <v>0.0223558231247534</v>
      </c>
      <c r="K153" s="37" t="n">
        <f aca="false">I153*EduProp</f>
        <v>0.0115147560712877</v>
      </c>
      <c r="L153" s="29" t="n">
        <f aca="false">MAX(0,(G153-JongDeduct)*FairJong)</f>
        <v>8.7684450891096</v>
      </c>
      <c r="M153" s="37" t="n">
        <f aca="false">SUMPRODUCT((L153&gt;JLo)*(L153-JLo)*JD)</f>
        <v>0.063684450891096</v>
      </c>
      <c r="N153" s="37" t="n">
        <f aca="false">M153*NongJong</f>
        <v>0.0127368901782192</v>
      </c>
      <c r="O153" s="38" t="n">
        <f aca="false">I153+J153+K153+M153+N153</f>
        <v>0.167865700621795</v>
      </c>
    </row>
    <row r="154" customFormat="false" ht="15" hidden="false" customHeight="false" outlineLevel="0" collapsed="false">
      <c r="A154" s="21" t="n">
        <v>5</v>
      </c>
      <c r="B154" s="36" t="str">
        <f aca="false">INDEX(C_Name,A154)</f>
        <v>본동 래미안트윈파크 (32평형)</v>
      </c>
      <c r="C154" s="21" t="n">
        <v>3</v>
      </c>
      <c r="D154" s="8" t="n">
        <f aca="false">CHOOSE(C154,G1,G2,G3)</f>
        <v>0.06</v>
      </c>
      <c r="E154" s="21" t="n">
        <v>10</v>
      </c>
      <c r="F154" s="29" t="n">
        <f aca="false">INDEX(C_Price,A154)*(1+D154)^(E154-1)</f>
        <v>40.8853908078652</v>
      </c>
      <c r="G154" s="29" t="n">
        <f aca="false">F154*Gongsi</f>
        <v>28.210919657427</v>
      </c>
      <c r="H154" s="29" t="n">
        <f aca="false">G154*FairProp</f>
        <v>16.9265517944562</v>
      </c>
      <c r="I154" s="37" t="n">
        <f aca="false">IF(G154&lt;=SpcLimit,SUMPRODUCT((H154&gt;SLo)*(H154-SLo)*SD),SUMPRODUCT((H154&gt;GLo)*(H154-GLo)*GD))</f>
        <v>0.0614062071778247</v>
      </c>
      <c r="J154" s="37" t="n">
        <f aca="false">H154*CityRate</f>
        <v>0.0236971725122386</v>
      </c>
      <c r="K154" s="37" t="n">
        <f aca="false">I154*EduProp</f>
        <v>0.0122812414355649</v>
      </c>
      <c r="L154" s="29" t="n">
        <f aca="false">MAX(0,(G154-JongDeduct)*FairJong)</f>
        <v>9.72655179445618</v>
      </c>
      <c r="M154" s="37" t="n">
        <f aca="false">SUMPRODUCT((L154&gt;JLo)*(L154-JLo)*JD)</f>
        <v>0.0732655179445618</v>
      </c>
      <c r="N154" s="37" t="n">
        <f aca="false">M154*NongJong</f>
        <v>0.0146531035889124</v>
      </c>
      <c r="O154" s="38" t="n">
        <f aca="false">I154+J154+K154+M154+N154</f>
        <v>0.185303242659102</v>
      </c>
    </row>
    <row r="155" customFormat="false" ht="15" hidden="false" customHeight="false" outlineLevel="0" collapsed="false">
      <c r="A155" s="21" t="n">
        <v>6</v>
      </c>
      <c r="B155" s="36" t="str">
        <f aca="false">INDEX(C_Name,A155)</f>
        <v>흑석 아크로리버하임 84.75㎡</v>
      </c>
      <c r="C155" s="21" t="n">
        <v>1</v>
      </c>
      <c r="D155" s="8" t="n">
        <f aca="false">CHOOSE(C155,G1,G2,G3)</f>
        <v>0.02</v>
      </c>
      <c r="E155" s="21" t="n">
        <v>1</v>
      </c>
      <c r="F155" s="29" t="n">
        <f aca="false">INDEX(C_Price,A155)*(1+D155)^(E155-1)</f>
        <v>28.75</v>
      </c>
      <c r="G155" s="29" t="n">
        <f aca="false">F155*Gongsi</f>
        <v>19.8375</v>
      </c>
      <c r="H155" s="29" t="n">
        <f aca="false">G155*FairProp</f>
        <v>11.9025</v>
      </c>
      <c r="I155" s="37" t="n">
        <f aca="false">IF(G155&lt;=SpcLimit,SUMPRODUCT((H155&gt;SLo)*(H155-SLo)*SD),SUMPRODUCT((H155&gt;GLo)*(H155-GLo)*GD))</f>
        <v>0.04131</v>
      </c>
      <c r="J155" s="37" t="n">
        <f aca="false">H155*CityRate</f>
        <v>0.0166635</v>
      </c>
      <c r="K155" s="37" t="n">
        <f aca="false">I155*EduProp</f>
        <v>0.008262</v>
      </c>
      <c r="L155" s="29" t="n">
        <f aca="false">MAX(0,(G155-JongDeduct)*FairJong)</f>
        <v>4.7025</v>
      </c>
      <c r="M155" s="37" t="n">
        <f aca="false">SUMPRODUCT((L155&gt;JLo)*(L155-JLo)*JD)</f>
        <v>0.0269175</v>
      </c>
      <c r="N155" s="37" t="n">
        <f aca="false">M155*NongJong</f>
        <v>0.0053835</v>
      </c>
      <c r="O155" s="38" t="n">
        <f aca="false">I155+J155+K155+M155+N155</f>
        <v>0.0985365</v>
      </c>
    </row>
    <row r="156" customFormat="false" ht="15" hidden="false" customHeight="false" outlineLevel="0" collapsed="false">
      <c r="A156" s="21" t="n">
        <v>6</v>
      </c>
      <c r="B156" s="36" t="str">
        <f aca="false">INDEX(C_Name,A156)</f>
        <v>흑석 아크로리버하임 84.75㎡</v>
      </c>
      <c r="C156" s="21" t="n">
        <v>1</v>
      </c>
      <c r="D156" s="8" t="n">
        <f aca="false">CHOOSE(C156,G1,G2,G3)</f>
        <v>0.02</v>
      </c>
      <c r="E156" s="21" t="n">
        <v>2</v>
      </c>
      <c r="F156" s="29" t="n">
        <f aca="false">INDEX(C_Price,A156)*(1+D156)^(E156-1)</f>
        <v>29.325</v>
      </c>
      <c r="G156" s="29" t="n">
        <f aca="false">F156*Gongsi</f>
        <v>20.23425</v>
      </c>
      <c r="H156" s="29" t="n">
        <f aca="false">G156*FairProp</f>
        <v>12.14055</v>
      </c>
      <c r="I156" s="37" t="n">
        <f aca="false">IF(G156&lt;=SpcLimit,SUMPRODUCT((H156&gt;SLo)*(H156-SLo)*SD),SUMPRODUCT((H156&gt;GLo)*(H156-GLo)*GD))</f>
        <v>0.0422622</v>
      </c>
      <c r="J156" s="37" t="n">
        <f aca="false">H156*CityRate</f>
        <v>0.01699677</v>
      </c>
      <c r="K156" s="37" t="n">
        <f aca="false">I156*EduProp</f>
        <v>0.00845244</v>
      </c>
      <c r="L156" s="29" t="n">
        <f aca="false">MAX(0,(G156-JongDeduct)*FairJong)</f>
        <v>4.94055</v>
      </c>
      <c r="M156" s="37" t="n">
        <f aca="false">SUMPRODUCT((L156&gt;JLo)*(L156-JLo)*JD)</f>
        <v>0.02858385</v>
      </c>
      <c r="N156" s="37" t="n">
        <f aca="false">M156*NongJong</f>
        <v>0.00571677</v>
      </c>
      <c r="O156" s="38" t="n">
        <f aca="false">I156+J156+K156+M156+N156</f>
        <v>0.10201203</v>
      </c>
    </row>
    <row r="157" customFormat="false" ht="15" hidden="false" customHeight="false" outlineLevel="0" collapsed="false">
      <c r="A157" s="21" t="n">
        <v>6</v>
      </c>
      <c r="B157" s="36" t="str">
        <f aca="false">INDEX(C_Name,A157)</f>
        <v>흑석 아크로리버하임 84.75㎡</v>
      </c>
      <c r="C157" s="21" t="n">
        <v>1</v>
      </c>
      <c r="D157" s="8" t="n">
        <f aca="false">CHOOSE(C157,G1,G2,G3)</f>
        <v>0.02</v>
      </c>
      <c r="E157" s="21" t="n">
        <v>3</v>
      </c>
      <c r="F157" s="29" t="n">
        <f aca="false">INDEX(C_Price,A157)*(1+D157)^(E157-1)</f>
        <v>29.9115</v>
      </c>
      <c r="G157" s="29" t="n">
        <f aca="false">F157*Gongsi</f>
        <v>20.638935</v>
      </c>
      <c r="H157" s="29" t="n">
        <f aca="false">G157*FairProp</f>
        <v>12.383361</v>
      </c>
      <c r="I157" s="37" t="n">
        <f aca="false">IF(G157&lt;=SpcLimit,SUMPRODUCT((H157&gt;SLo)*(H157-SLo)*SD),SUMPRODUCT((H157&gt;GLo)*(H157-GLo)*GD))</f>
        <v>0.043233444</v>
      </c>
      <c r="J157" s="37" t="n">
        <f aca="false">H157*CityRate</f>
        <v>0.0173367054</v>
      </c>
      <c r="K157" s="37" t="n">
        <f aca="false">I157*EduProp</f>
        <v>0.0086466888</v>
      </c>
      <c r="L157" s="29" t="n">
        <f aca="false">MAX(0,(G157-JongDeduct)*FairJong)</f>
        <v>5.183361</v>
      </c>
      <c r="M157" s="37" t="n">
        <f aca="false">SUMPRODUCT((L157&gt;JLo)*(L157-JLo)*JD)</f>
        <v>0.030283527</v>
      </c>
      <c r="N157" s="37" t="n">
        <f aca="false">M157*NongJong</f>
        <v>0.0060567054</v>
      </c>
      <c r="O157" s="38" t="n">
        <f aca="false">I157+J157+K157+M157+N157</f>
        <v>0.1055570706</v>
      </c>
    </row>
    <row r="158" customFormat="false" ht="15" hidden="false" customHeight="false" outlineLevel="0" collapsed="false">
      <c r="A158" s="21" t="n">
        <v>6</v>
      </c>
      <c r="B158" s="36" t="str">
        <f aca="false">INDEX(C_Name,A158)</f>
        <v>흑석 아크로리버하임 84.75㎡</v>
      </c>
      <c r="C158" s="21" t="n">
        <v>1</v>
      </c>
      <c r="D158" s="8" t="n">
        <f aca="false">CHOOSE(C158,G1,G2,G3)</f>
        <v>0.02</v>
      </c>
      <c r="E158" s="21" t="n">
        <v>4</v>
      </c>
      <c r="F158" s="29" t="n">
        <f aca="false">INDEX(C_Price,A158)*(1+D158)^(E158-1)</f>
        <v>30.50973</v>
      </c>
      <c r="G158" s="29" t="n">
        <f aca="false">F158*Gongsi</f>
        <v>21.0517137</v>
      </c>
      <c r="H158" s="29" t="n">
        <f aca="false">G158*FairProp</f>
        <v>12.63102822</v>
      </c>
      <c r="I158" s="37" t="n">
        <f aca="false">IF(G158&lt;=SpcLimit,SUMPRODUCT((H158&gt;SLo)*(H158-SLo)*SD),SUMPRODUCT((H158&gt;GLo)*(H158-GLo)*GD))</f>
        <v>0.04422411288</v>
      </c>
      <c r="J158" s="37" t="n">
        <f aca="false">H158*CityRate</f>
        <v>0.017683439508</v>
      </c>
      <c r="K158" s="37" t="n">
        <f aca="false">I158*EduProp</f>
        <v>0.008844822576</v>
      </c>
      <c r="L158" s="29" t="n">
        <f aca="false">MAX(0,(G158-JongDeduct)*FairJong)</f>
        <v>5.43102822</v>
      </c>
      <c r="M158" s="37" t="n">
        <f aca="false">SUMPRODUCT((L158&gt;JLo)*(L158-JLo)*JD)</f>
        <v>0.03201719754</v>
      </c>
      <c r="N158" s="37" t="n">
        <f aca="false">M158*NongJong</f>
        <v>0.006403439508</v>
      </c>
      <c r="O158" s="38" t="n">
        <f aca="false">I158+J158+K158+M158+N158</f>
        <v>0.109173012012</v>
      </c>
    </row>
    <row r="159" customFormat="false" ht="15" hidden="false" customHeight="false" outlineLevel="0" collapsed="false">
      <c r="A159" s="21" t="n">
        <v>6</v>
      </c>
      <c r="B159" s="36" t="str">
        <f aca="false">INDEX(C_Name,A159)</f>
        <v>흑석 아크로리버하임 84.75㎡</v>
      </c>
      <c r="C159" s="21" t="n">
        <v>1</v>
      </c>
      <c r="D159" s="8" t="n">
        <f aca="false">CHOOSE(C159,G1,G2,G3)</f>
        <v>0.02</v>
      </c>
      <c r="E159" s="21" t="n">
        <v>5</v>
      </c>
      <c r="F159" s="29" t="n">
        <f aca="false">INDEX(C_Price,A159)*(1+D159)^(E159-1)</f>
        <v>31.1199246</v>
      </c>
      <c r="G159" s="29" t="n">
        <f aca="false">F159*Gongsi</f>
        <v>21.472747974</v>
      </c>
      <c r="H159" s="29" t="n">
        <f aca="false">G159*FairProp</f>
        <v>12.8836487844</v>
      </c>
      <c r="I159" s="37" t="n">
        <f aca="false">IF(G159&lt;=SpcLimit,SUMPRODUCT((H159&gt;SLo)*(H159-SLo)*SD),SUMPRODUCT((H159&gt;GLo)*(H159-GLo)*GD))</f>
        <v>0.0452345951376</v>
      </c>
      <c r="J159" s="37" t="n">
        <f aca="false">H159*CityRate</f>
        <v>0.01803710829816</v>
      </c>
      <c r="K159" s="37" t="n">
        <f aca="false">I159*EduProp</f>
        <v>0.00904691902752</v>
      </c>
      <c r="L159" s="29" t="n">
        <f aca="false">MAX(0,(G159-JongDeduct)*FairJong)</f>
        <v>5.6836487844</v>
      </c>
      <c r="M159" s="37" t="n">
        <f aca="false">SUMPRODUCT((L159&gt;JLo)*(L159-JLo)*JD)</f>
        <v>0.0337855414908</v>
      </c>
      <c r="N159" s="37" t="n">
        <f aca="false">M159*NongJong</f>
        <v>0.00675710829816</v>
      </c>
      <c r="O159" s="38" t="n">
        <f aca="false">I159+J159+K159+M159+N159</f>
        <v>0.11286127225224</v>
      </c>
    </row>
    <row r="160" customFormat="false" ht="15" hidden="false" customHeight="false" outlineLevel="0" collapsed="false">
      <c r="A160" s="21" t="n">
        <v>6</v>
      </c>
      <c r="B160" s="36" t="str">
        <f aca="false">INDEX(C_Name,A160)</f>
        <v>흑석 아크로리버하임 84.75㎡</v>
      </c>
      <c r="C160" s="21" t="n">
        <v>1</v>
      </c>
      <c r="D160" s="8" t="n">
        <f aca="false">CHOOSE(C160,G1,G2,G3)</f>
        <v>0.02</v>
      </c>
      <c r="E160" s="21" t="n">
        <v>6</v>
      </c>
      <c r="F160" s="29" t="n">
        <f aca="false">INDEX(C_Price,A160)*(1+D160)^(E160-1)</f>
        <v>31.742323092</v>
      </c>
      <c r="G160" s="29" t="n">
        <f aca="false">F160*Gongsi</f>
        <v>21.90220293348</v>
      </c>
      <c r="H160" s="29" t="n">
        <f aca="false">G160*FairProp</f>
        <v>13.141321760088</v>
      </c>
      <c r="I160" s="37" t="n">
        <f aca="false">IF(G160&lt;=SpcLimit,SUMPRODUCT((H160&gt;SLo)*(H160-SLo)*SD),SUMPRODUCT((H160&gt;GLo)*(H160-GLo)*GD))</f>
        <v>0.046265287040352</v>
      </c>
      <c r="J160" s="37" t="n">
        <f aca="false">H160*CityRate</f>
        <v>0.0183978504641232</v>
      </c>
      <c r="K160" s="37" t="n">
        <f aca="false">I160*EduProp</f>
        <v>0.0092530574080704</v>
      </c>
      <c r="L160" s="29" t="n">
        <f aca="false">MAX(0,(G160-JongDeduct)*FairJong)</f>
        <v>5.941321760088</v>
      </c>
      <c r="M160" s="37" t="n">
        <f aca="false">SUMPRODUCT((L160&gt;JLo)*(L160-JLo)*JD)</f>
        <v>0.035589252320616</v>
      </c>
      <c r="N160" s="37" t="n">
        <f aca="false">M160*NongJong</f>
        <v>0.0071178504641232</v>
      </c>
      <c r="O160" s="38" t="n">
        <f aca="false">I160+J160+K160+M160+N160</f>
        <v>0.116623297697285</v>
      </c>
    </row>
    <row r="161" customFormat="false" ht="15" hidden="false" customHeight="false" outlineLevel="0" collapsed="false">
      <c r="A161" s="21" t="n">
        <v>6</v>
      </c>
      <c r="B161" s="36" t="str">
        <f aca="false">INDEX(C_Name,A161)</f>
        <v>흑석 아크로리버하임 84.75㎡</v>
      </c>
      <c r="C161" s="21" t="n">
        <v>1</v>
      </c>
      <c r="D161" s="8" t="n">
        <f aca="false">CHOOSE(C161,G1,G2,G3)</f>
        <v>0.02</v>
      </c>
      <c r="E161" s="21" t="n">
        <v>7</v>
      </c>
      <c r="F161" s="29" t="n">
        <f aca="false">INDEX(C_Price,A161)*(1+D161)^(E161-1)</f>
        <v>32.37716955384</v>
      </c>
      <c r="G161" s="29" t="n">
        <f aca="false">F161*Gongsi</f>
        <v>22.3402469921496</v>
      </c>
      <c r="H161" s="29" t="n">
        <f aca="false">G161*FairProp</f>
        <v>13.4041481952898</v>
      </c>
      <c r="I161" s="37" t="n">
        <f aca="false">IF(G161&lt;=SpcLimit,SUMPRODUCT((H161&gt;SLo)*(H161-SLo)*SD),SUMPRODUCT((H161&gt;GLo)*(H161-GLo)*GD))</f>
        <v>0.047316592781159</v>
      </c>
      <c r="J161" s="37" t="n">
        <f aca="false">H161*CityRate</f>
        <v>0.0187658074734057</v>
      </c>
      <c r="K161" s="37" t="n">
        <f aca="false">I161*EduProp</f>
        <v>0.00946331855623181</v>
      </c>
      <c r="L161" s="29" t="n">
        <f aca="false">MAX(0,(G161-JongDeduct)*FairJong)</f>
        <v>6.20414819528976</v>
      </c>
      <c r="M161" s="37" t="n">
        <f aca="false">SUMPRODUCT((L161&gt;JLo)*(L161-JLo)*JD)</f>
        <v>0.0380414819528976</v>
      </c>
      <c r="N161" s="37" t="n">
        <f aca="false">M161*NongJong</f>
        <v>0.00760829639057952</v>
      </c>
      <c r="O161" s="38" t="n">
        <f aca="false">I161+J161+K161+M161+N161</f>
        <v>0.121195497154274</v>
      </c>
    </row>
    <row r="162" customFormat="false" ht="15" hidden="false" customHeight="false" outlineLevel="0" collapsed="false">
      <c r="A162" s="21" t="n">
        <v>6</v>
      </c>
      <c r="B162" s="36" t="str">
        <f aca="false">INDEX(C_Name,A162)</f>
        <v>흑석 아크로리버하임 84.75㎡</v>
      </c>
      <c r="C162" s="21" t="n">
        <v>1</v>
      </c>
      <c r="D162" s="8" t="n">
        <f aca="false">CHOOSE(C162,G1,G2,G3)</f>
        <v>0.02</v>
      </c>
      <c r="E162" s="21" t="n">
        <v>8</v>
      </c>
      <c r="F162" s="29" t="n">
        <f aca="false">INDEX(C_Price,A162)*(1+D162)^(E162-1)</f>
        <v>33.0247129449168</v>
      </c>
      <c r="G162" s="29" t="n">
        <f aca="false">F162*Gongsi</f>
        <v>22.7870519319926</v>
      </c>
      <c r="H162" s="29" t="n">
        <f aca="false">G162*FairProp</f>
        <v>13.6722311591956</v>
      </c>
      <c r="I162" s="37" t="n">
        <f aca="false">IF(G162&lt;=SpcLimit,SUMPRODUCT((H162&gt;SLo)*(H162-SLo)*SD),SUMPRODUCT((H162&gt;GLo)*(H162-GLo)*GD))</f>
        <v>0.0483889246367822</v>
      </c>
      <c r="J162" s="37" t="n">
        <f aca="false">H162*CityRate</f>
        <v>0.0191411236228738</v>
      </c>
      <c r="K162" s="37" t="n">
        <f aca="false">I162*EduProp</f>
        <v>0.00967778492735644</v>
      </c>
      <c r="L162" s="29" t="n">
        <f aca="false">MAX(0,(G162-JongDeduct)*FairJong)</f>
        <v>6.47223115919555</v>
      </c>
      <c r="M162" s="37" t="n">
        <f aca="false">SUMPRODUCT((L162&gt;JLo)*(L162-JLo)*JD)</f>
        <v>0.0407223115919555</v>
      </c>
      <c r="N162" s="37" t="n">
        <f aca="false">M162*NongJong</f>
        <v>0.00814446231839111</v>
      </c>
      <c r="O162" s="38" t="n">
        <f aca="false">I162+J162+K162+M162+N162</f>
        <v>0.126074607097359</v>
      </c>
    </row>
    <row r="163" customFormat="false" ht="15" hidden="false" customHeight="false" outlineLevel="0" collapsed="false">
      <c r="A163" s="21" t="n">
        <v>6</v>
      </c>
      <c r="B163" s="36" t="str">
        <f aca="false">INDEX(C_Name,A163)</f>
        <v>흑석 아크로리버하임 84.75㎡</v>
      </c>
      <c r="C163" s="21" t="n">
        <v>1</v>
      </c>
      <c r="D163" s="8" t="n">
        <f aca="false">CHOOSE(C163,G1,G2,G3)</f>
        <v>0.02</v>
      </c>
      <c r="E163" s="21" t="n">
        <v>9</v>
      </c>
      <c r="F163" s="29" t="n">
        <f aca="false">INDEX(C_Price,A163)*(1+D163)^(E163-1)</f>
        <v>33.6852072038151</v>
      </c>
      <c r="G163" s="29" t="n">
        <f aca="false">F163*Gongsi</f>
        <v>23.2427929706324</v>
      </c>
      <c r="H163" s="29" t="n">
        <f aca="false">G163*FairProp</f>
        <v>13.9456757823795</v>
      </c>
      <c r="I163" s="37" t="n">
        <f aca="false">IF(G163&lt;=SpcLimit,SUMPRODUCT((H163&gt;SLo)*(H163-SLo)*SD),SUMPRODUCT((H163&gt;GLo)*(H163-GLo)*GD))</f>
        <v>0.0494827031295179</v>
      </c>
      <c r="J163" s="37" t="n">
        <f aca="false">H163*CityRate</f>
        <v>0.0195239460953313</v>
      </c>
      <c r="K163" s="37" t="n">
        <f aca="false">I163*EduProp</f>
        <v>0.00989654062590357</v>
      </c>
      <c r="L163" s="29" t="n">
        <f aca="false">MAX(0,(G163-JongDeduct)*FairJong)</f>
        <v>6.74567578237947</v>
      </c>
      <c r="M163" s="37" t="n">
        <f aca="false">SUMPRODUCT((L163&gt;JLo)*(L163-JLo)*JD)</f>
        <v>0.0434567578237947</v>
      </c>
      <c r="N163" s="37" t="n">
        <f aca="false">M163*NongJong</f>
        <v>0.00869135156475893</v>
      </c>
      <c r="O163" s="38" t="n">
        <f aca="false">I163+J163+K163+M163+N163</f>
        <v>0.131051299239306</v>
      </c>
    </row>
    <row r="164" customFormat="false" ht="15" hidden="false" customHeight="false" outlineLevel="0" collapsed="false">
      <c r="A164" s="21" t="n">
        <v>6</v>
      </c>
      <c r="B164" s="36" t="str">
        <f aca="false">INDEX(C_Name,A164)</f>
        <v>흑석 아크로리버하임 84.75㎡</v>
      </c>
      <c r="C164" s="21" t="n">
        <v>1</v>
      </c>
      <c r="D164" s="8" t="n">
        <f aca="false">CHOOSE(C164,G1,G2,G3)</f>
        <v>0.02</v>
      </c>
      <c r="E164" s="21" t="n">
        <v>10</v>
      </c>
      <c r="F164" s="29" t="n">
        <f aca="false">INDEX(C_Price,A164)*(1+D164)^(E164-1)</f>
        <v>34.3589113478914</v>
      </c>
      <c r="G164" s="29" t="n">
        <f aca="false">F164*Gongsi</f>
        <v>23.7076488300451</v>
      </c>
      <c r="H164" s="29" t="n">
        <f aca="false">G164*FairProp</f>
        <v>14.2245892980271</v>
      </c>
      <c r="I164" s="37" t="n">
        <f aca="false">IF(G164&lt;=SpcLimit,SUMPRODUCT((H164&gt;SLo)*(H164-SLo)*SD),SUMPRODUCT((H164&gt;GLo)*(H164-GLo)*GD))</f>
        <v>0.0505983571921082</v>
      </c>
      <c r="J164" s="37" t="n">
        <f aca="false">H164*CityRate</f>
        <v>0.0199144250172379</v>
      </c>
      <c r="K164" s="37" t="n">
        <f aca="false">I164*EduProp</f>
        <v>0.0101196714384216</v>
      </c>
      <c r="L164" s="29" t="n">
        <f aca="false">MAX(0,(G164-JongDeduct)*FairJong)</f>
        <v>7.02458929802706</v>
      </c>
      <c r="M164" s="37" t="n">
        <f aca="false">SUMPRODUCT((L164&gt;JLo)*(L164-JLo)*JD)</f>
        <v>0.0462458929802706</v>
      </c>
      <c r="N164" s="37" t="n">
        <f aca="false">M164*NongJong</f>
        <v>0.00924917859605412</v>
      </c>
      <c r="O164" s="38" t="n">
        <f aca="false">I164+J164+K164+M164+N164</f>
        <v>0.136127525224092</v>
      </c>
    </row>
    <row r="165" customFormat="false" ht="15" hidden="false" customHeight="false" outlineLevel="0" collapsed="false">
      <c r="A165" s="21" t="n">
        <v>6</v>
      </c>
      <c r="B165" s="36" t="str">
        <f aca="false">INDEX(C_Name,A165)</f>
        <v>흑석 아크로리버하임 84.75㎡</v>
      </c>
      <c r="C165" s="21" t="n">
        <v>2</v>
      </c>
      <c r="D165" s="8" t="n">
        <f aca="false">CHOOSE(C165,G1,G2,G3)</f>
        <v>0.04</v>
      </c>
      <c r="E165" s="21" t="n">
        <v>1</v>
      </c>
      <c r="F165" s="29" t="n">
        <f aca="false">INDEX(C_Price,A165)*(1+D165)^(E165-1)</f>
        <v>28.75</v>
      </c>
      <c r="G165" s="29" t="n">
        <f aca="false">F165*Gongsi</f>
        <v>19.8375</v>
      </c>
      <c r="H165" s="29" t="n">
        <f aca="false">G165*FairProp</f>
        <v>11.9025</v>
      </c>
      <c r="I165" s="37" t="n">
        <f aca="false">IF(G165&lt;=SpcLimit,SUMPRODUCT((H165&gt;SLo)*(H165-SLo)*SD),SUMPRODUCT((H165&gt;GLo)*(H165-GLo)*GD))</f>
        <v>0.04131</v>
      </c>
      <c r="J165" s="37" t="n">
        <f aca="false">H165*CityRate</f>
        <v>0.0166635</v>
      </c>
      <c r="K165" s="37" t="n">
        <f aca="false">I165*EduProp</f>
        <v>0.008262</v>
      </c>
      <c r="L165" s="29" t="n">
        <f aca="false">MAX(0,(G165-JongDeduct)*FairJong)</f>
        <v>4.7025</v>
      </c>
      <c r="M165" s="37" t="n">
        <f aca="false">SUMPRODUCT((L165&gt;JLo)*(L165-JLo)*JD)</f>
        <v>0.0269175</v>
      </c>
      <c r="N165" s="37" t="n">
        <f aca="false">M165*NongJong</f>
        <v>0.0053835</v>
      </c>
      <c r="O165" s="38" t="n">
        <f aca="false">I165+J165+K165+M165+N165</f>
        <v>0.0985365</v>
      </c>
    </row>
    <row r="166" customFormat="false" ht="15" hidden="false" customHeight="false" outlineLevel="0" collapsed="false">
      <c r="A166" s="21" t="n">
        <v>6</v>
      </c>
      <c r="B166" s="36" t="str">
        <f aca="false">INDEX(C_Name,A166)</f>
        <v>흑석 아크로리버하임 84.75㎡</v>
      </c>
      <c r="C166" s="21" t="n">
        <v>2</v>
      </c>
      <c r="D166" s="8" t="n">
        <f aca="false">CHOOSE(C166,G1,G2,G3)</f>
        <v>0.04</v>
      </c>
      <c r="E166" s="21" t="n">
        <v>2</v>
      </c>
      <c r="F166" s="29" t="n">
        <f aca="false">INDEX(C_Price,A166)*(1+D166)^(E166-1)</f>
        <v>29.9</v>
      </c>
      <c r="G166" s="29" t="n">
        <f aca="false">F166*Gongsi</f>
        <v>20.631</v>
      </c>
      <c r="H166" s="29" t="n">
        <f aca="false">G166*FairProp</f>
        <v>12.3786</v>
      </c>
      <c r="I166" s="37" t="n">
        <f aca="false">IF(G166&lt;=SpcLimit,SUMPRODUCT((H166&gt;SLo)*(H166-SLo)*SD),SUMPRODUCT((H166&gt;GLo)*(H166-GLo)*GD))</f>
        <v>0.0432144</v>
      </c>
      <c r="J166" s="37" t="n">
        <f aca="false">H166*CityRate</f>
        <v>0.01733004</v>
      </c>
      <c r="K166" s="37" t="n">
        <f aca="false">I166*EduProp</f>
        <v>0.00864288</v>
      </c>
      <c r="L166" s="29" t="n">
        <f aca="false">MAX(0,(G166-JongDeduct)*FairJong)</f>
        <v>5.1786</v>
      </c>
      <c r="M166" s="37" t="n">
        <f aca="false">SUMPRODUCT((L166&gt;JLo)*(L166-JLo)*JD)</f>
        <v>0.0302502</v>
      </c>
      <c r="N166" s="37" t="n">
        <f aca="false">M166*NongJong</f>
        <v>0.00605004</v>
      </c>
      <c r="O166" s="38" t="n">
        <f aca="false">I166+J166+K166+M166+N166</f>
        <v>0.10548756</v>
      </c>
    </row>
    <row r="167" customFormat="false" ht="15" hidden="false" customHeight="false" outlineLevel="0" collapsed="false">
      <c r="A167" s="21" t="n">
        <v>6</v>
      </c>
      <c r="B167" s="36" t="str">
        <f aca="false">INDEX(C_Name,A167)</f>
        <v>흑석 아크로리버하임 84.75㎡</v>
      </c>
      <c r="C167" s="21" t="n">
        <v>2</v>
      </c>
      <c r="D167" s="8" t="n">
        <f aca="false">CHOOSE(C167,G1,G2,G3)</f>
        <v>0.04</v>
      </c>
      <c r="E167" s="21" t="n">
        <v>3</v>
      </c>
      <c r="F167" s="29" t="n">
        <f aca="false">INDEX(C_Price,A167)*(1+D167)^(E167-1)</f>
        <v>31.096</v>
      </c>
      <c r="G167" s="29" t="n">
        <f aca="false">F167*Gongsi</f>
        <v>21.45624</v>
      </c>
      <c r="H167" s="29" t="n">
        <f aca="false">G167*FairProp</f>
        <v>12.873744</v>
      </c>
      <c r="I167" s="37" t="n">
        <f aca="false">IF(G167&lt;=SpcLimit,SUMPRODUCT((H167&gt;SLo)*(H167-SLo)*SD),SUMPRODUCT((H167&gt;GLo)*(H167-GLo)*GD))</f>
        <v>0.045194976</v>
      </c>
      <c r="J167" s="37" t="n">
        <f aca="false">H167*CityRate</f>
        <v>0.0180232416</v>
      </c>
      <c r="K167" s="37" t="n">
        <f aca="false">I167*EduProp</f>
        <v>0.0090389952</v>
      </c>
      <c r="L167" s="29" t="n">
        <f aca="false">MAX(0,(G167-JongDeduct)*FairJong)</f>
        <v>5.673744</v>
      </c>
      <c r="M167" s="37" t="n">
        <f aca="false">SUMPRODUCT((L167&gt;JLo)*(L167-JLo)*JD)</f>
        <v>0.033716208</v>
      </c>
      <c r="N167" s="37" t="n">
        <f aca="false">M167*NongJong</f>
        <v>0.0067432416</v>
      </c>
      <c r="O167" s="38" t="n">
        <f aca="false">I167+J167+K167+M167+N167</f>
        <v>0.1127166624</v>
      </c>
    </row>
    <row r="168" customFormat="false" ht="15" hidden="false" customHeight="false" outlineLevel="0" collapsed="false">
      <c r="A168" s="21" t="n">
        <v>6</v>
      </c>
      <c r="B168" s="36" t="str">
        <f aca="false">INDEX(C_Name,A168)</f>
        <v>흑석 아크로리버하임 84.75㎡</v>
      </c>
      <c r="C168" s="21" t="n">
        <v>2</v>
      </c>
      <c r="D168" s="8" t="n">
        <f aca="false">CHOOSE(C168,G1,G2,G3)</f>
        <v>0.04</v>
      </c>
      <c r="E168" s="21" t="n">
        <v>4</v>
      </c>
      <c r="F168" s="29" t="n">
        <f aca="false">INDEX(C_Price,A168)*(1+D168)^(E168-1)</f>
        <v>32.33984</v>
      </c>
      <c r="G168" s="29" t="n">
        <f aca="false">F168*Gongsi</f>
        <v>22.3144896</v>
      </c>
      <c r="H168" s="29" t="n">
        <f aca="false">G168*FairProp</f>
        <v>13.38869376</v>
      </c>
      <c r="I168" s="37" t="n">
        <f aca="false">IF(G168&lt;=SpcLimit,SUMPRODUCT((H168&gt;SLo)*(H168-SLo)*SD),SUMPRODUCT((H168&gt;GLo)*(H168-GLo)*GD))</f>
        <v>0.04725477504</v>
      </c>
      <c r="J168" s="37" t="n">
        <f aca="false">H168*CityRate</f>
        <v>0.018744171264</v>
      </c>
      <c r="K168" s="37" t="n">
        <f aca="false">I168*EduProp</f>
        <v>0.009450955008</v>
      </c>
      <c r="L168" s="29" t="n">
        <f aca="false">MAX(0,(G168-JongDeduct)*FairJong)</f>
        <v>6.18869376</v>
      </c>
      <c r="M168" s="37" t="n">
        <f aca="false">SUMPRODUCT((L168&gt;JLo)*(L168-JLo)*JD)</f>
        <v>0.0378869376</v>
      </c>
      <c r="N168" s="37" t="n">
        <f aca="false">M168*NongJong</f>
        <v>0.00757738752</v>
      </c>
      <c r="O168" s="38" t="n">
        <f aca="false">I168+J168+K168+M168+N168</f>
        <v>0.120914226432</v>
      </c>
    </row>
    <row r="169" customFormat="false" ht="15" hidden="false" customHeight="false" outlineLevel="0" collapsed="false">
      <c r="A169" s="21" t="n">
        <v>6</v>
      </c>
      <c r="B169" s="36" t="str">
        <f aca="false">INDEX(C_Name,A169)</f>
        <v>흑석 아크로리버하임 84.75㎡</v>
      </c>
      <c r="C169" s="21" t="n">
        <v>2</v>
      </c>
      <c r="D169" s="8" t="n">
        <f aca="false">CHOOSE(C169,G1,G2,G3)</f>
        <v>0.04</v>
      </c>
      <c r="E169" s="21" t="n">
        <v>5</v>
      </c>
      <c r="F169" s="29" t="n">
        <f aca="false">INDEX(C_Price,A169)*(1+D169)^(E169-1)</f>
        <v>33.6334336</v>
      </c>
      <c r="G169" s="29" t="n">
        <f aca="false">F169*Gongsi</f>
        <v>23.207069184</v>
      </c>
      <c r="H169" s="29" t="n">
        <f aca="false">G169*FairProp</f>
        <v>13.9242415104</v>
      </c>
      <c r="I169" s="37" t="n">
        <f aca="false">IF(G169&lt;=SpcLimit,SUMPRODUCT((H169&gt;SLo)*(H169-SLo)*SD),SUMPRODUCT((H169&gt;GLo)*(H169-GLo)*GD))</f>
        <v>0.0493969660416</v>
      </c>
      <c r="J169" s="37" t="n">
        <f aca="false">H169*CityRate</f>
        <v>0.01949393811456</v>
      </c>
      <c r="K169" s="37" t="n">
        <f aca="false">I169*EduProp</f>
        <v>0.00987939320832</v>
      </c>
      <c r="L169" s="29" t="n">
        <f aca="false">MAX(0,(G169-JongDeduct)*FairJong)</f>
        <v>6.7242415104</v>
      </c>
      <c r="M169" s="37" t="n">
        <f aca="false">SUMPRODUCT((L169&gt;JLo)*(L169-JLo)*JD)</f>
        <v>0.043242415104</v>
      </c>
      <c r="N169" s="37" t="n">
        <f aca="false">M169*NongJong</f>
        <v>0.0086484830208</v>
      </c>
      <c r="O169" s="38" t="n">
        <f aca="false">I169+J169+K169+M169+N169</f>
        <v>0.13066119548928</v>
      </c>
    </row>
    <row r="170" customFormat="false" ht="15" hidden="false" customHeight="false" outlineLevel="0" collapsed="false">
      <c r="A170" s="21" t="n">
        <v>6</v>
      </c>
      <c r="B170" s="36" t="str">
        <f aca="false">INDEX(C_Name,A170)</f>
        <v>흑석 아크로리버하임 84.75㎡</v>
      </c>
      <c r="C170" s="21" t="n">
        <v>2</v>
      </c>
      <c r="D170" s="8" t="n">
        <f aca="false">CHOOSE(C170,G1,G2,G3)</f>
        <v>0.04</v>
      </c>
      <c r="E170" s="21" t="n">
        <v>6</v>
      </c>
      <c r="F170" s="29" t="n">
        <f aca="false">INDEX(C_Price,A170)*(1+D170)^(E170-1)</f>
        <v>34.978770944</v>
      </c>
      <c r="G170" s="29" t="n">
        <f aca="false">F170*Gongsi</f>
        <v>24.13535195136</v>
      </c>
      <c r="H170" s="29" t="n">
        <f aca="false">G170*FairProp</f>
        <v>14.481211170816</v>
      </c>
      <c r="I170" s="37" t="n">
        <f aca="false">IF(G170&lt;=SpcLimit,SUMPRODUCT((H170&gt;SLo)*(H170-SLo)*SD),SUMPRODUCT((H170&gt;GLo)*(H170-GLo)*GD))</f>
        <v>0.051624844683264</v>
      </c>
      <c r="J170" s="37" t="n">
        <f aca="false">H170*CityRate</f>
        <v>0.0202736956391424</v>
      </c>
      <c r="K170" s="37" t="n">
        <f aca="false">I170*EduProp</f>
        <v>0.0103249689366528</v>
      </c>
      <c r="L170" s="29" t="n">
        <f aca="false">MAX(0,(G170-JongDeduct)*FairJong)</f>
        <v>7.281211170816</v>
      </c>
      <c r="M170" s="37" t="n">
        <f aca="false">SUMPRODUCT((L170&gt;JLo)*(L170-JLo)*JD)</f>
        <v>0.04881211170816</v>
      </c>
      <c r="N170" s="37" t="n">
        <f aca="false">M170*NongJong</f>
        <v>0.009762422341632</v>
      </c>
      <c r="O170" s="38" t="n">
        <f aca="false">I170+J170+K170+M170+N170</f>
        <v>0.140798043308851</v>
      </c>
    </row>
    <row r="171" customFormat="false" ht="15" hidden="false" customHeight="false" outlineLevel="0" collapsed="false">
      <c r="A171" s="21" t="n">
        <v>6</v>
      </c>
      <c r="B171" s="36" t="str">
        <f aca="false">INDEX(C_Name,A171)</f>
        <v>흑석 아크로리버하임 84.75㎡</v>
      </c>
      <c r="C171" s="21" t="n">
        <v>2</v>
      </c>
      <c r="D171" s="8" t="n">
        <f aca="false">CHOOSE(C171,G1,G2,G3)</f>
        <v>0.04</v>
      </c>
      <c r="E171" s="21" t="n">
        <v>7</v>
      </c>
      <c r="F171" s="29" t="n">
        <f aca="false">INDEX(C_Price,A171)*(1+D171)^(E171-1)</f>
        <v>36.37792178176</v>
      </c>
      <c r="G171" s="29" t="n">
        <f aca="false">F171*Gongsi</f>
        <v>25.1007660294144</v>
      </c>
      <c r="H171" s="29" t="n">
        <f aca="false">G171*FairProp</f>
        <v>15.0604596176486</v>
      </c>
      <c r="I171" s="37" t="n">
        <f aca="false">IF(G171&lt;=SpcLimit,SUMPRODUCT((H171&gt;SLo)*(H171-SLo)*SD),SUMPRODUCT((H171&gt;GLo)*(H171-GLo)*GD))</f>
        <v>0.0539418384705946</v>
      </c>
      <c r="J171" s="37" t="n">
        <f aca="false">H171*CityRate</f>
        <v>0.0210846434647081</v>
      </c>
      <c r="K171" s="37" t="n">
        <f aca="false">I171*EduProp</f>
        <v>0.0107883676941189</v>
      </c>
      <c r="L171" s="29" t="n">
        <f aca="false">MAX(0,(G171-JongDeduct)*FairJong)</f>
        <v>7.86045961764864</v>
      </c>
      <c r="M171" s="37" t="n">
        <f aca="false">SUMPRODUCT((L171&gt;JLo)*(L171-JLo)*JD)</f>
        <v>0.0546045961764864</v>
      </c>
      <c r="N171" s="37" t="n">
        <f aca="false">M171*NongJong</f>
        <v>0.0109209192352973</v>
      </c>
      <c r="O171" s="38" t="n">
        <f aca="false">I171+J171+K171+M171+N171</f>
        <v>0.151340365041205</v>
      </c>
    </row>
    <row r="172" customFormat="false" ht="15" hidden="false" customHeight="false" outlineLevel="0" collapsed="false">
      <c r="A172" s="21" t="n">
        <v>6</v>
      </c>
      <c r="B172" s="36" t="str">
        <f aca="false">INDEX(C_Name,A172)</f>
        <v>흑석 아크로리버하임 84.75㎡</v>
      </c>
      <c r="C172" s="21" t="n">
        <v>2</v>
      </c>
      <c r="D172" s="8" t="n">
        <f aca="false">CHOOSE(C172,G1,G2,G3)</f>
        <v>0.04</v>
      </c>
      <c r="E172" s="21" t="n">
        <v>8</v>
      </c>
      <c r="F172" s="29" t="n">
        <f aca="false">INDEX(C_Price,A172)*(1+D172)^(E172-1)</f>
        <v>37.8330386530304</v>
      </c>
      <c r="G172" s="29" t="n">
        <f aca="false">F172*Gongsi</f>
        <v>26.104796670591</v>
      </c>
      <c r="H172" s="29" t="n">
        <f aca="false">G172*FairProp</f>
        <v>15.6628780023546</v>
      </c>
      <c r="I172" s="37" t="n">
        <f aca="false">IF(G172&lt;=SpcLimit,SUMPRODUCT((H172&gt;SLo)*(H172-SLo)*SD),SUMPRODUCT((H172&gt;GLo)*(H172-GLo)*GD))</f>
        <v>0.0563515120094184</v>
      </c>
      <c r="J172" s="37" t="n">
        <f aca="false">H172*CityRate</f>
        <v>0.0219280292032964</v>
      </c>
      <c r="K172" s="37" t="n">
        <f aca="false">I172*EduProp</f>
        <v>0.0112703024018837</v>
      </c>
      <c r="L172" s="29" t="n">
        <f aca="false">MAX(0,(G172-JongDeduct)*FairJong)</f>
        <v>8.46287800235459</v>
      </c>
      <c r="M172" s="37" t="n">
        <f aca="false">SUMPRODUCT((L172&gt;JLo)*(L172-JLo)*JD)</f>
        <v>0.0606287800235459</v>
      </c>
      <c r="N172" s="37" t="n">
        <f aca="false">M172*NongJong</f>
        <v>0.0121257560047092</v>
      </c>
      <c r="O172" s="38" t="n">
        <f aca="false">I172+J172+K172+M172+N172</f>
        <v>0.162304379642854</v>
      </c>
    </row>
    <row r="173" customFormat="false" ht="15" hidden="false" customHeight="false" outlineLevel="0" collapsed="false">
      <c r="A173" s="21" t="n">
        <v>6</v>
      </c>
      <c r="B173" s="36" t="str">
        <f aca="false">INDEX(C_Name,A173)</f>
        <v>흑석 아크로리버하임 84.75㎡</v>
      </c>
      <c r="C173" s="21" t="n">
        <v>2</v>
      </c>
      <c r="D173" s="8" t="n">
        <f aca="false">CHOOSE(C173,G1,G2,G3)</f>
        <v>0.04</v>
      </c>
      <c r="E173" s="21" t="n">
        <v>9</v>
      </c>
      <c r="F173" s="29" t="n">
        <f aca="false">INDEX(C_Price,A173)*(1+D173)^(E173-1)</f>
        <v>39.3463601991516</v>
      </c>
      <c r="G173" s="29" t="n">
        <f aca="false">F173*Gongsi</f>
        <v>27.1489885374146</v>
      </c>
      <c r="H173" s="29" t="n">
        <f aca="false">G173*FairProp</f>
        <v>16.2893931224488</v>
      </c>
      <c r="I173" s="37" t="n">
        <f aca="false">IF(G173&lt;=SpcLimit,SUMPRODUCT((H173&gt;SLo)*(H173-SLo)*SD),SUMPRODUCT((H173&gt;GLo)*(H173-GLo)*GD))</f>
        <v>0.0588575724897951</v>
      </c>
      <c r="J173" s="37" t="n">
        <f aca="false">H173*CityRate</f>
        <v>0.0228051503714283</v>
      </c>
      <c r="K173" s="37" t="n">
        <f aca="false">I173*EduProp</f>
        <v>0.011771514497959</v>
      </c>
      <c r="L173" s="29" t="n">
        <f aca="false">MAX(0,(G173-JongDeduct)*FairJong)</f>
        <v>9.08939312244877</v>
      </c>
      <c r="M173" s="37" t="n">
        <f aca="false">SUMPRODUCT((L173&gt;JLo)*(L173-JLo)*JD)</f>
        <v>0.0668939312244877</v>
      </c>
      <c r="N173" s="37" t="n">
        <f aca="false">M173*NongJong</f>
        <v>0.0133787862448975</v>
      </c>
      <c r="O173" s="38" t="n">
        <f aca="false">I173+J173+K173+M173+N173</f>
        <v>0.173706954828568</v>
      </c>
    </row>
    <row r="174" customFormat="false" ht="15" hidden="false" customHeight="false" outlineLevel="0" collapsed="false">
      <c r="A174" s="21" t="n">
        <v>6</v>
      </c>
      <c r="B174" s="36" t="str">
        <f aca="false">INDEX(C_Name,A174)</f>
        <v>흑석 아크로리버하임 84.75㎡</v>
      </c>
      <c r="C174" s="21" t="n">
        <v>2</v>
      </c>
      <c r="D174" s="8" t="n">
        <f aca="false">CHOOSE(C174,G1,G2,G3)</f>
        <v>0.04</v>
      </c>
      <c r="E174" s="21" t="n">
        <v>10</v>
      </c>
      <c r="F174" s="29" t="n">
        <f aca="false">INDEX(C_Price,A174)*(1+D174)^(E174-1)</f>
        <v>40.9202146071177</v>
      </c>
      <c r="G174" s="29" t="n">
        <f aca="false">F174*Gongsi</f>
        <v>28.2349480789112</v>
      </c>
      <c r="H174" s="29" t="n">
        <f aca="false">G174*FairProp</f>
        <v>16.9409688473467</v>
      </c>
      <c r="I174" s="37" t="n">
        <f aca="false">IF(G174&lt;=SpcLimit,SUMPRODUCT((H174&gt;SLo)*(H174-SLo)*SD),SUMPRODUCT((H174&gt;GLo)*(H174-GLo)*GD))</f>
        <v>0.0614638753893869</v>
      </c>
      <c r="J174" s="37" t="n">
        <f aca="false">H174*CityRate</f>
        <v>0.0237173563862854</v>
      </c>
      <c r="K174" s="37" t="n">
        <f aca="false">I174*EduProp</f>
        <v>0.0122927750778774</v>
      </c>
      <c r="L174" s="29" t="n">
        <f aca="false">MAX(0,(G174-JongDeduct)*FairJong)</f>
        <v>9.74096884734672</v>
      </c>
      <c r="M174" s="37" t="n">
        <f aca="false">SUMPRODUCT((L174&gt;JLo)*(L174-JLo)*JD)</f>
        <v>0.0734096884734672</v>
      </c>
      <c r="N174" s="37" t="n">
        <f aca="false">M174*NongJong</f>
        <v>0.0146819376946934</v>
      </c>
      <c r="O174" s="38" t="n">
        <f aca="false">I174+J174+K174+M174+N174</f>
        <v>0.18556563302171</v>
      </c>
    </row>
    <row r="175" customFormat="false" ht="15" hidden="false" customHeight="false" outlineLevel="0" collapsed="false">
      <c r="A175" s="21" t="n">
        <v>6</v>
      </c>
      <c r="B175" s="36" t="str">
        <f aca="false">INDEX(C_Name,A175)</f>
        <v>흑석 아크로리버하임 84.75㎡</v>
      </c>
      <c r="C175" s="21" t="n">
        <v>3</v>
      </c>
      <c r="D175" s="8" t="n">
        <f aca="false">CHOOSE(C175,G1,G2,G3)</f>
        <v>0.06</v>
      </c>
      <c r="E175" s="21" t="n">
        <v>1</v>
      </c>
      <c r="F175" s="29" t="n">
        <f aca="false">INDEX(C_Price,A175)*(1+D175)^(E175-1)</f>
        <v>28.75</v>
      </c>
      <c r="G175" s="29" t="n">
        <f aca="false">F175*Gongsi</f>
        <v>19.8375</v>
      </c>
      <c r="H175" s="29" t="n">
        <f aca="false">G175*FairProp</f>
        <v>11.9025</v>
      </c>
      <c r="I175" s="37" t="n">
        <f aca="false">IF(G175&lt;=SpcLimit,SUMPRODUCT((H175&gt;SLo)*(H175-SLo)*SD),SUMPRODUCT((H175&gt;GLo)*(H175-GLo)*GD))</f>
        <v>0.04131</v>
      </c>
      <c r="J175" s="37" t="n">
        <f aca="false">H175*CityRate</f>
        <v>0.0166635</v>
      </c>
      <c r="K175" s="37" t="n">
        <f aca="false">I175*EduProp</f>
        <v>0.008262</v>
      </c>
      <c r="L175" s="29" t="n">
        <f aca="false">MAX(0,(G175-JongDeduct)*FairJong)</f>
        <v>4.7025</v>
      </c>
      <c r="M175" s="37" t="n">
        <f aca="false">SUMPRODUCT((L175&gt;JLo)*(L175-JLo)*JD)</f>
        <v>0.0269175</v>
      </c>
      <c r="N175" s="37" t="n">
        <f aca="false">M175*NongJong</f>
        <v>0.0053835</v>
      </c>
      <c r="O175" s="38" t="n">
        <f aca="false">I175+J175+K175+M175+N175</f>
        <v>0.0985365</v>
      </c>
    </row>
    <row r="176" customFormat="false" ht="15" hidden="false" customHeight="false" outlineLevel="0" collapsed="false">
      <c r="A176" s="21" t="n">
        <v>6</v>
      </c>
      <c r="B176" s="36" t="str">
        <f aca="false">INDEX(C_Name,A176)</f>
        <v>흑석 아크로리버하임 84.75㎡</v>
      </c>
      <c r="C176" s="21" t="n">
        <v>3</v>
      </c>
      <c r="D176" s="8" t="n">
        <f aca="false">CHOOSE(C176,G1,G2,G3)</f>
        <v>0.06</v>
      </c>
      <c r="E176" s="21" t="n">
        <v>2</v>
      </c>
      <c r="F176" s="29" t="n">
        <f aca="false">INDEX(C_Price,A176)*(1+D176)^(E176-1)</f>
        <v>30.475</v>
      </c>
      <c r="G176" s="29" t="n">
        <f aca="false">F176*Gongsi</f>
        <v>21.02775</v>
      </c>
      <c r="H176" s="29" t="n">
        <f aca="false">G176*FairProp</f>
        <v>12.61665</v>
      </c>
      <c r="I176" s="37" t="n">
        <f aca="false">IF(G176&lt;=SpcLimit,SUMPRODUCT((H176&gt;SLo)*(H176-SLo)*SD),SUMPRODUCT((H176&gt;GLo)*(H176-GLo)*GD))</f>
        <v>0.0441666</v>
      </c>
      <c r="J176" s="37" t="n">
        <f aca="false">H176*CityRate</f>
        <v>0.01766331</v>
      </c>
      <c r="K176" s="37" t="n">
        <f aca="false">I176*EduProp</f>
        <v>0.00883332</v>
      </c>
      <c r="L176" s="29" t="n">
        <f aca="false">MAX(0,(G176-JongDeduct)*FairJong)</f>
        <v>5.41665</v>
      </c>
      <c r="M176" s="37" t="n">
        <f aca="false">SUMPRODUCT((L176&gt;JLo)*(L176-JLo)*JD)</f>
        <v>0.03191655</v>
      </c>
      <c r="N176" s="37" t="n">
        <f aca="false">M176*NongJong</f>
        <v>0.00638331</v>
      </c>
      <c r="O176" s="38" t="n">
        <f aca="false">I176+J176+K176+M176+N176</f>
        <v>0.10896309</v>
      </c>
    </row>
    <row r="177" customFormat="false" ht="15" hidden="false" customHeight="false" outlineLevel="0" collapsed="false">
      <c r="A177" s="21" t="n">
        <v>6</v>
      </c>
      <c r="B177" s="36" t="str">
        <f aca="false">INDEX(C_Name,A177)</f>
        <v>흑석 아크로리버하임 84.75㎡</v>
      </c>
      <c r="C177" s="21" t="n">
        <v>3</v>
      </c>
      <c r="D177" s="8" t="n">
        <f aca="false">CHOOSE(C177,G1,G2,G3)</f>
        <v>0.06</v>
      </c>
      <c r="E177" s="21" t="n">
        <v>3</v>
      </c>
      <c r="F177" s="29" t="n">
        <f aca="false">INDEX(C_Price,A177)*(1+D177)^(E177-1)</f>
        <v>32.3035</v>
      </c>
      <c r="G177" s="29" t="n">
        <f aca="false">F177*Gongsi</f>
        <v>22.289415</v>
      </c>
      <c r="H177" s="29" t="n">
        <f aca="false">G177*FairProp</f>
        <v>13.373649</v>
      </c>
      <c r="I177" s="37" t="n">
        <f aca="false">IF(G177&lt;=SpcLimit,SUMPRODUCT((H177&gt;SLo)*(H177-SLo)*SD),SUMPRODUCT((H177&gt;GLo)*(H177-GLo)*GD))</f>
        <v>0.047194596</v>
      </c>
      <c r="J177" s="37" t="n">
        <f aca="false">H177*CityRate</f>
        <v>0.0187231086</v>
      </c>
      <c r="K177" s="37" t="n">
        <f aca="false">I177*EduProp</f>
        <v>0.0094389192</v>
      </c>
      <c r="L177" s="29" t="n">
        <f aca="false">MAX(0,(G177-JongDeduct)*FairJong)</f>
        <v>6.173649</v>
      </c>
      <c r="M177" s="37" t="n">
        <f aca="false">SUMPRODUCT((L177&gt;JLo)*(L177-JLo)*JD)</f>
        <v>0.03773649</v>
      </c>
      <c r="N177" s="37" t="n">
        <f aca="false">M177*NongJong</f>
        <v>0.007547298</v>
      </c>
      <c r="O177" s="38" t="n">
        <f aca="false">I177+J177+K177+M177+N177</f>
        <v>0.1206404118</v>
      </c>
    </row>
    <row r="178" customFormat="false" ht="15" hidden="false" customHeight="false" outlineLevel="0" collapsed="false">
      <c r="A178" s="21" t="n">
        <v>6</v>
      </c>
      <c r="B178" s="36" t="str">
        <f aca="false">INDEX(C_Name,A178)</f>
        <v>흑석 아크로리버하임 84.75㎡</v>
      </c>
      <c r="C178" s="21" t="n">
        <v>3</v>
      </c>
      <c r="D178" s="8" t="n">
        <f aca="false">CHOOSE(C178,G1,G2,G3)</f>
        <v>0.06</v>
      </c>
      <c r="E178" s="21" t="n">
        <v>4</v>
      </c>
      <c r="F178" s="29" t="n">
        <f aca="false">INDEX(C_Price,A178)*(1+D178)^(E178-1)</f>
        <v>34.24171</v>
      </c>
      <c r="G178" s="29" t="n">
        <f aca="false">F178*Gongsi</f>
        <v>23.6267799</v>
      </c>
      <c r="H178" s="29" t="n">
        <f aca="false">G178*FairProp</f>
        <v>14.17606794</v>
      </c>
      <c r="I178" s="37" t="n">
        <f aca="false">IF(G178&lt;=SpcLimit,SUMPRODUCT((H178&gt;SLo)*(H178-SLo)*SD),SUMPRODUCT((H178&gt;GLo)*(H178-GLo)*GD))</f>
        <v>0.05040427176</v>
      </c>
      <c r="J178" s="37" t="n">
        <f aca="false">H178*CityRate</f>
        <v>0.019846495116</v>
      </c>
      <c r="K178" s="37" t="n">
        <f aca="false">I178*EduProp</f>
        <v>0.010080854352</v>
      </c>
      <c r="L178" s="29" t="n">
        <f aca="false">MAX(0,(G178-JongDeduct)*FairJong)</f>
        <v>6.97606794</v>
      </c>
      <c r="M178" s="37" t="n">
        <f aca="false">SUMPRODUCT((L178&gt;JLo)*(L178-JLo)*JD)</f>
        <v>0.0457606794</v>
      </c>
      <c r="N178" s="37" t="n">
        <f aca="false">M178*NongJong</f>
        <v>0.00915213588</v>
      </c>
      <c r="O178" s="38" t="n">
        <f aca="false">I178+J178+K178+M178+N178</f>
        <v>0.135244436508</v>
      </c>
    </row>
    <row r="179" customFormat="false" ht="15" hidden="false" customHeight="false" outlineLevel="0" collapsed="false">
      <c r="A179" s="21" t="n">
        <v>6</v>
      </c>
      <c r="B179" s="36" t="str">
        <f aca="false">INDEX(C_Name,A179)</f>
        <v>흑석 아크로리버하임 84.75㎡</v>
      </c>
      <c r="C179" s="21" t="n">
        <v>3</v>
      </c>
      <c r="D179" s="8" t="n">
        <f aca="false">CHOOSE(C179,G1,G2,G3)</f>
        <v>0.06</v>
      </c>
      <c r="E179" s="21" t="n">
        <v>5</v>
      </c>
      <c r="F179" s="29" t="n">
        <f aca="false">INDEX(C_Price,A179)*(1+D179)^(E179-1)</f>
        <v>36.2962126</v>
      </c>
      <c r="G179" s="29" t="n">
        <f aca="false">F179*Gongsi</f>
        <v>25.044386694</v>
      </c>
      <c r="H179" s="29" t="n">
        <f aca="false">G179*FairProp</f>
        <v>15.0266320164</v>
      </c>
      <c r="I179" s="37" t="n">
        <f aca="false">IF(G179&lt;=SpcLimit,SUMPRODUCT((H179&gt;SLo)*(H179-SLo)*SD),SUMPRODUCT((H179&gt;GLo)*(H179-GLo)*GD))</f>
        <v>0.0538065280656</v>
      </c>
      <c r="J179" s="37" t="n">
        <f aca="false">H179*CityRate</f>
        <v>0.02103728482296</v>
      </c>
      <c r="K179" s="37" t="n">
        <f aca="false">I179*EduProp</f>
        <v>0.01076130561312</v>
      </c>
      <c r="L179" s="29" t="n">
        <f aca="false">MAX(0,(G179-JongDeduct)*FairJong)</f>
        <v>7.8266320164</v>
      </c>
      <c r="M179" s="37" t="n">
        <f aca="false">SUMPRODUCT((L179&gt;JLo)*(L179-JLo)*JD)</f>
        <v>0.054266320164</v>
      </c>
      <c r="N179" s="37" t="n">
        <f aca="false">M179*NongJong</f>
        <v>0.0108532640328</v>
      </c>
      <c r="O179" s="38" t="n">
        <f aca="false">I179+J179+K179+M179+N179</f>
        <v>0.15072470269848</v>
      </c>
    </row>
    <row r="180" customFormat="false" ht="15" hidden="false" customHeight="false" outlineLevel="0" collapsed="false">
      <c r="A180" s="21" t="n">
        <v>6</v>
      </c>
      <c r="B180" s="36" t="str">
        <f aca="false">INDEX(C_Name,A180)</f>
        <v>흑석 아크로리버하임 84.75㎡</v>
      </c>
      <c r="C180" s="21" t="n">
        <v>3</v>
      </c>
      <c r="D180" s="8" t="n">
        <f aca="false">CHOOSE(C180,G1,G2,G3)</f>
        <v>0.06</v>
      </c>
      <c r="E180" s="21" t="n">
        <v>6</v>
      </c>
      <c r="F180" s="29" t="n">
        <f aca="false">INDEX(C_Price,A180)*(1+D180)^(E180-1)</f>
        <v>38.473985356</v>
      </c>
      <c r="G180" s="29" t="n">
        <f aca="false">F180*Gongsi</f>
        <v>26.54704989564</v>
      </c>
      <c r="H180" s="29" t="n">
        <f aca="false">G180*FairProp</f>
        <v>15.928229937384</v>
      </c>
      <c r="I180" s="37" t="n">
        <f aca="false">IF(G180&lt;=SpcLimit,SUMPRODUCT((H180&gt;SLo)*(H180-SLo)*SD),SUMPRODUCT((H180&gt;GLo)*(H180-GLo)*GD))</f>
        <v>0.057412919749536</v>
      </c>
      <c r="J180" s="37" t="n">
        <f aca="false">H180*CityRate</f>
        <v>0.0222995219123376</v>
      </c>
      <c r="K180" s="37" t="n">
        <f aca="false">I180*EduProp</f>
        <v>0.0114825839499072</v>
      </c>
      <c r="L180" s="29" t="n">
        <f aca="false">MAX(0,(G180-JongDeduct)*FairJong)</f>
        <v>8.728229937384</v>
      </c>
      <c r="M180" s="37" t="n">
        <f aca="false">SUMPRODUCT((L180&gt;JLo)*(L180-JLo)*JD)</f>
        <v>0.06328229937384</v>
      </c>
      <c r="N180" s="37" t="n">
        <f aca="false">M180*NongJong</f>
        <v>0.012656459874768</v>
      </c>
      <c r="O180" s="38" t="n">
        <f aca="false">I180+J180+K180+M180+N180</f>
        <v>0.167133784860389</v>
      </c>
    </row>
    <row r="181" customFormat="false" ht="15" hidden="false" customHeight="false" outlineLevel="0" collapsed="false">
      <c r="A181" s="21" t="n">
        <v>6</v>
      </c>
      <c r="B181" s="36" t="str">
        <f aca="false">INDEX(C_Name,A181)</f>
        <v>흑석 아크로리버하임 84.75㎡</v>
      </c>
      <c r="C181" s="21" t="n">
        <v>3</v>
      </c>
      <c r="D181" s="8" t="n">
        <f aca="false">CHOOSE(C181,G1,G2,G3)</f>
        <v>0.06</v>
      </c>
      <c r="E181" s="21" t="n">
        <v>7</v>
      </c>
      <c r="F181" s="29" t="n">
        <f aca="false">INDEX(C_Price,A181)*(1+D181)^(E181-1)</f>
        <v>40.78242447736</v>
      </c>
      <c r="G181" s="29" t="n">
        <f aca="false">F181*Gongsi</f>
        <v>28.1398728893784</v>
      </c>
      <c r="H181" s="29" t="n">
        <f aca="false">G181*FairProp</f>
        <v>16.883923733627</v>
      </c>
      <c r="I181" s="37" t="n">
        <f aca="false">IF(G181&lt;=SpcLimit,SUMPRODUCT((H181&gt;SLo)*(H181-SLo)*SD),SUMPRODUCT((H181&gt;GLo)*(H181-GLo)*GD))</f>
        <v>0.0612356949345082</v>
      </c>
      <c r="J181" s="37" t="n">
        <f aca="false">H181*CityRate</f>
        <v>0.0236374932270779</v>
      </c>
      <c r="K181" s="37" t="n">
        <f aca="false">I181*EduProp</f>
        <v>0.0122471389869016</v>
      </c>
      <c r="L181" s="29" t="n">
        <f aca="false">MAX(0,(G181-JongDeduct)*FairJong)</f>
        <v>9.68392373362704</v>
      </c>
      <c r="M181" s="37" t="n">
        <f aca="false">SUMPRODUCT((L181&gt;JLo)*(L181-JLo)*JD)</f>
        <v>0.0728392373362704</v>
      </c>
      <c r="N181" s="37" t="n">
        <f aca="false">M181*NongJong</f>
        <v>0.0145678474672541</v>
      </c>
      <c r="O181" s="38" t="n">
        <f aca="false">I181+J181+K181+M181+N181</f>
        <v>0.184527411952012</v>
      </c>
    </row>
    <row r="182" customFormat="false" ht="15" hidden="false" customHeight="false" outlineLevel="0" collapsed="false">
      <c r="A182" s="21" t="n">
        <v>6</v>
      </c>
      <c r="B182" s="36" t="str">
        <f aca="false">INDEX(C_Name,A182)</f>
        <v>흑석 아크로리버하임 84.75㎡</v>
      </c>
      <c r="C182" s="21" t="n">
        <v>3</v>
      </c>
      <c r="D182" s="8" t="n">
        <f aca="false">CHOOSE(C182,G1,G2,G3)</f>
        <v>0.06</v>
      </c>
      <c r="E182" s="21" t="n">
        <v>8</v>
      </c>
      <c r="F182" s="29" t="n">
        <f aca="false">INDEX(C_Price,A182)*(1+D182)^(E182-1)</f>
        <v>43.2293699460016</v>
      </c>
      <c r="G182" s="29" t="n">
        <f aca="false">F182*Gongsi</f>
        <v>29.8282652627411</v>
      </c>
      <c r="H182" s="29" t="n">
        <f aca="false">G182*FairProp</f>
        <v>17.8969591576447</v>
      </c>
      <c r="I182" s="37" t="n">
        <f aca="false">IF(G182&lt;=SpcLimit,SUMPRODUCT((H182&gt;SLo)*(H182-SLo)*SD),SUMPRODUCT((H182&gt;GLo)*(H182-GLo)*GD))</f>
        <v>0.0652878366305787</v>
      </c>
      <c r="J182" s="37" t="n">
        <f aca="false">H182*CityRate</f>
        <v>0.0250557428207025</v>
      </c>
      <c r="K182" s="37" t="n">
        <f aca="false">I182*EduProp</f>
        <v>0.0130575673261157</v>
      </c>
      <c r="L182" s="29" t="n">
        <f aca="false">MAX(0,(G182-JongDeduct)*FairJong)</f>
        <v>10.6969591576447</v>
      </c>
      <c r="M182" s="37" t="n">
        <f aca="false">SUMPRODUCT((L182&gt;JLo)*(L182-JLo)*JD)</f>
        <v>0.0829695915764467</v>
      </c>
      <c r="N182" s="37" t="n">
        <f aca="false">M182*NongJong</f>
        <v>0.0165939183152893</v>
      </c>
      <c r="O182" s="38" t="n">
        <f aca="false">I182+J182+K182+M182+N182</f>
        <v>0.202964656669133</v>
      </c>
    </row>
    <row r="183" customFormat="false" ht="15" hidden="false" customHeight="false" outlineLevel="0" collapsed="false">
      <c r="A183" s="21" t="n">
        <v>6</v>
      </c>
      <c r="B183" s="36" t="str">
        <f aca="false">INDEX(C_Name,A183)</f>
        <v>흑석 아크로리버하임 84.75㎡</v>
      </c>
      <c r="C183" s="21" t="n">
        <v>3</v>
      </c>
      <c r="D183" s="8" t="n">
        <f aca="false">CHOOSE(C183,G1,G2,G3)</f>
        <v>0.06</v>
      </c>
      <c r="E183" s="21" t="n">
        <v>9</v>
      </c>
      <c r="F183" s="29" t="n">
        <f aca="false">INDEX(C_Price,A183)*(1+D183)^(E183-1)</f>
        <v>45.8231321427617</v>
      </c>
      <c r="G183" s="29" t="n">
        <f aca="false">F183*Gongsi</f>
        <v>31.6179611785056</v>
      </c>
      <c r="H183" s="29" t="n">
        <f aca="false">G183*FairProp</f>
        <v>18.9707767071033</v>
      </c>
      <c r="I183" s="37" t="n">
        <f aca="false">IF(G183&lt;=SpcLimit,SUMPRODUCT((H183&gt;SLo)*(H183-SLo)*SD),SUMPRODUCT((H183&gt;GLo)*(H183-GLo)*GD))</f>
        <v>0.0695831068284134</v>
      </c>
      <c r="J183" s="37" t="n">
        <f aca="false">H183*CityRate</f>
        <v>0.0265590873899447</v>
      </c>
      <c r="K183" s="37" t="n">
        <f aca="false">I183*EduProp</f>
        <v>0.0139166213656827</v>
      </c>
      <c r="L183" s="29" t="n">
        <f aca="false">MAX(0,(G183-JongDeduct)*FairJong)</f>
        <v>11.7707767071033</v>
      </c>
      <c r="M183" s="37" t="n">
        <f aca="false">SUMPRODUCT((L183&gt;JLo)*(L183-JLo)*JD)</f>
        <v>0.0937077670710335</v>
      </c>
      <c r="N183" s="37" t="n">
        <f aca="false">M183*NongJong</f>
        <v>0.0187415534142067</v>
      </c>
      <c r="O183" s="38" t="n">
        <f aca="false">I183+J183+K183+M183+N183</f>
        <v>0.222508136069281</v>
      </c>
    </row>
    <row r="184" customFormat="false" ht="15" hidden="false" customHeight="false" outlineLevel="0" collapsed="false">
      <c r="A184" s="21" t="n">
        <v>6</v>
      </c>
      <c r="B184" s="36" t="str">
        <f aca="false">INDEX(C_Name,A184)</f>
        <v>흑석 아크로리버하임 84.75㎡</v>
      </c>
      <c r="C184" s="21" t="n">
        <v>3</v>
      </c>
      <c r="D184" s="8" t="n">
        <f aca="false">CHOOSE(C184,G1,G2,G3)</f>
        <v>0.06</v>
      </c>
      <c r="E184" s="21" t="n">
        <v>10</v>
      </c>
      <c r="F184" s="29" t="n">
        <f aca="false">INDEX(C_Price,A184)*(1+D184)^(E184-1)</f>
        <v>48.5725200713274</v>
      </c>
      <c r="G184" s="29" t="n">
        <f aca="false">F184*Gongsi</f>
        <v>33.5150388492159</v>
      </c>
      <c r="H184" s="29" t="n">
        <f aca="false">G184*FairProp</f>
        <v>20.1090233095295</v>
      </c>
      <c r="I184" s="37" t="n">
        <f aca="false">IF(G184&lt;=SpcLimit,SUMPRODUCT((H184&gt;SLo)*(H184-SLo)*SD),SUMPRODUCT((H184&gt;GLo)*(H184-GLo)*GD))</f>
        <v>0.0741360932381182</v>
      </c>
      <c r="J184" s="37" t="n">
        <f aca="false">H184*CityRate</f>
        <v>0.0281526326333414</v>
      </c>
      <c r="K184" s="37" t="n">
        <f aca="false">I184*EduProp</f>
        <v>0.0148272186476236</v>
      </c>
      <c r="L184" s="29" t="n">
        <f aca="false">MAX(0,(G184-JongDeduct)*FairJong)</f>
        <v>12.9090233095295</v>
      </c>
      <c r="M184" s="37" t="n">
        <f aca="false">SUMPRODUCT((L184&gt;JLo)*(L184-JLo)*JD)</f>
        <v>0.107817303023884</v>
      </c>
      <c r="N184" s="37" t="n">
        <f aca="false">M184*NongJong</f>
        <v>0.0215634606047768</v>
      </c>
      <c r="O184" s="38" t="n">
        <f aca="false">I184+J184+K184+M184+N184</f>
        <v>0.246496708147744</v>
      </c>
    </row>
    <row r="185" customFormat="false" ht="15" hidden="false" customHeight="false" outlineLevel="0" collapsed="false">
      <c r="A185" s="21" t="n">
        <v>7</v>
      </c>
      <c r="B185" s="36" t="str">
        <f aca="false">INDEX(C_Name,A185)</f>
        <v>예시 행: 직접 입력</v>
      </c>
      <c r="C185" s="21" t="n">
        <v>1</v>
      </c>
      <c r="D185" s="8" t="n">
        <f aca="false">CHOOSE(C185,G1,G2,G3)</f>
        <v>0.02</v>
      </c>
      <c r="E185" s="21" t="n">
        <v>1</v>
      </c>
      <c r="F185" s="29" t="n">
        <f aca="false">INDEX(C_Price,A185)*(1+D185)^(E185-1)</f>
        <v>14</v>
      </c>
      <c r="G185" s="29" t="n">
        <f aca="false">F185*Gongsi</f>
        <v>9.66</v>
      </c>
      <c r="H185" s="29" t="n">
        <f aca="false">G185*FairProp</f>
        <v>5.796</v>
      </c>
      <c r="I185" s="37" t="n">
        <f aca="false">IF(G185&lt;=SpcLimit,SUMPRODUCT((H185&gt;SLo)*(H185-SLo)*SD),SUMPRODUCT((H185&gt;GLo)*(H185-GLo)*GD))</f>
        <v>0.016884</v>
      </c>
      <c r="J185" s="37" t="n">
        <f aca="false">H185*CityRate</f>
        <v>0.0081144</v>
      </c>
      <c r="K185" s="37" t="n">
        <f aca="false">I185*EduProp</f>
        <v>0.0033768</v>
      </c>
      <c r="L185" s="29" t="n">
        <f aca="false">MAX(0,(G185-JongDeduct)*FairJong)</f>
        <v>0</v>
      </c>
      <c r="M185" s="37" t="n">
        <f aca="false">SUMPRODUCT((L185&gt;JLo)*(L185-JLo)*JD)</f>
        <v>0</v>
      </c>
      <c r="N185" s="37" t="n">
        <f aca="false">M185*NongJong</f>
        <v>0</v>
      </c>
      <c r="O185" s="38" t="n">
        <f aca="false">I185+J185+K185+M185+N185</f>
        <v>0.0283752</v>
      </c>
    </row>
    <row r="186" customFormat="false" ht="15" hidden="false" customHeight="false" outlineLevel="0" collapsed="false">
      <c r="A186" s="21" t="n">
        <v>7</v>
      </c>
      <c r="B186" s="36" t="str">
        <f aca="false">INDEX(C_Name,A186)</f>
        <v>예시 행: 직접 입력</v>
      </c>
      <c r="C186" s="21" t="n">
        <v>1</v>
      </c>
      <c r="D186" s="8" t="n">
        <f aca="false">CHOOSE(C186,G1,G2,G3)</f>
        <v>0.02</v>
      </c>
      <c r="E186" s="21" t="n">
        <v>2</v>
      </c>
      <c r="F186" s="29" t="n">
        <f aca="false">INDEX(C_Price,A186)*(1+D186)^(E186-1)</f>
        <v>14.28</v>
      </c>
      <c r="G186" s="29" t="n">
        <f aca="false">F186*Gongsi</f>
        <v>9.8532</v>
      </c>
      <c r="H186" s="29" t="n">
        <f aca="false">G186*FairProp</f>
        <v>5.91192</v>
      </c>
      <c r="I186" s="37" t="n">
        <f aca="false">IF(G186&lt;=SpcLimit,SUMPRODUCT((H186&gt;SLo)*(H186-SLo)*SD),SUMPRODUCT((H186&gt;GLo)*(H186-GLo)*GD))</f>
        <v>0.01734768</v>
      </c>
      <c r="J186" s="37" t="n">
        <f aca="false">H186*CityRate</f>
        <v>0.008276688</v>
      </c>
      <c r="K186" s="37" t="n">
        <f aca="false">I186*EduProp</f>
        <v>0.003469536</v>
      </c>
      <c r="L186" s="29" t="n">
        <f aca="false">MAX(0,(G186-JongDeduct)*FairJong)</f>
        <v>0</v>
      </c>
      <c r="M186" s="37" t="n">
        <f aca="false">SUMPRODUCT((L186&gt;JLo)*(L186-JLo)*JD)</f>
        <v>0</v>
      </c>
      <c r="N186" s="37" t="n">
        <f aca="false">M186*NongJong</f>
        <v>0</v>
      </c>
      <c r="O186" s="38" t="n">
        <f aca="false">I186+J186+K186+M186+N186</f>
        <v>0.029093904</v>
      </c>
    </row>
    <row r="187" customFormat="false" ht="15" hidden="false" customHeight="false" outlineLevel="0" collapsed="false">
      <c r="A187" s="21" t="n">
        <v>7</v>
      </c>
      <c r="B187" s="36" t="str">
        <f aca="false">INDEX(C_Name,A187)</f>
        <v>예시 행: 직접 입력</v>
      </c>
      <c r="C187" s="21" t="n">
        <v>1</v>
      </c>
      <c r="D187" s="8" t="n">
        <f aca="false">CHOOSE(C187,G1,G2,G3)</f>
        <v>0.02</v>
      </c>
      <c r="E187" s="21" t="n">
        <v>3</v>
      </c>
      <c r="F187" s="29" t="n">
        <f aca="false">INDEX(C_Price,A187)*(1+D187)^(E187-1)</f>
        <v>14.5656</v>
      </c>
      <c r="G187" s="29" t="n">
        <f aca="false">F187*Gongsi</f>
        <v>10.050264</v>
      </c>
      <c r="H187" s="29" t="n">
        <f aca="false">G187*FairProp</f>
        <v>6.0301584</v>
      </c>
      <c r="I187" s="37" t="n">
        <f aca="false">IF(G187&lt;=SpcLimit,SUMPRODUCT((H187&gt;SLo)*(H187-SLo)*SD),SUMPRODUCT((H187&gt;GLo)*(H187-GLo)*GD))</f>
        <v>0.0178206336</v>
      </c>
      <c r="J187" s="37" t="n">
        <f aca="false">H187*CityRate</f>
        <v>0.00844222176</v>
      </c>
      <c r="K187" s="37" t="n">
        <f aca="false">I187*EduProp</f>
        <v>0.00356412672</v>
      </c>
      <c r="L187" s="29" t="n">
        <f aca="false">MAX(0,(G187-JongDeduct)*FairJong)</f>
        <v>0</v>
      </c>
      <c r="M187" s="37" t="n">
        <f aca="false">SUMPRODUCT((L187&gt;JLo)*(L187-JLo)*JD)</f>
        <v>0</v>
      </c>
      <c r="N187" s="37" t="n">
        <f aca="false">M187*NongJong</f>
        <v>0</v>
      </c>
      <c r="O187" s="38" t="n">
        <f aca="false">I187+J187+K187+M187+N187</f>
        <v>0.02982698208</v>
      </c>
    </row>
    <row r="188" customFormat="false" ht="15" hidden="false" customHeight="false" outlineLevel="0" collapsed="false">
      <c r="A188" s="21" t="n">
        <v>7</v>
      </c>
      <c r="B188" s="36" t="str">
        <f aca="false">INDEX(C_Name,A188)</f>
        <v>예시 행: 직접 입력</v>
      </c>
      <c r="C188" s="21" t="n">
        <v>1</v>
      </c>
      <c r="D188" s="8" t="n">
        <f aca="false">CHOOSE(C188,G1,G2,G3)</f>
        <v>0.02</v>
      </c>
      <c r="E188" s="21" t="n">
        <v>4</v>
      </c>
      <c r="F188" s="29" t="n">
        <f aca="false">INDEX(C_Price,A188)*(1+D188)^(E188-1)</f>
        <v>14.856912</v>
      </c>
      <c r="G188" s="29" t="n">
        <f aca="false">F188*Gongsi</f>
        <v>10.25126928</v>
      </c>
      <c r="H188" s="29" t="n">
        <f aca="false">G188*FairProp</f>
        <v>6.150761568</v>
      </c>
      <c r="I188" s="37" t="n">
        <f aca="false">IF(G188&lt;=SpcLimit,SUMPRODUCT((H188&gt;SLo)*(H188-SLo)*SD),SUMPRODUCT((H188&gt;GLo)*(H188-GLo)*GD))</f>
        <v>0.018303046272</v>
      </c>
      <c r="J188" s="37" t="n">
        <f aca="false">H188*CityRate</f>
        <v>0.0086110661952</v>
      </c>
      <c r="K188" s="37" t="n">
        <f aca="false">I188*EduProp</f>
        <v>0.0036606092544</v>
      </c>
      <c r="L188" s="29" t="n">
        <f aca="false">MAX(0,(G188-JongDeduct)*FairJong)</f>
        <v>0</v>
      </c>
      <c r="M188" s="37" t="n">
        <f aca="false">SUMPRODUCT((L188&gt;JLo)*(L188-JLo)*JD)</f>
        <v>0</v>
      </c>
      <c r="N188" s="37" t="n">
        <f aca="false">M188*NongJong</f>
        <v>0</v>
      </c>
      <c r="O188" s="38" t="n">
        <f aca="false">I188+J188+K188+M188+N188</f>
        <v>0.0305747217216</v>
      </c>
    </row>
    <row r="189" customFormat="false" ht="15" hidden="false" customHeight="false" outlineLevel="0" collapsed="false">
      <c r="A189" s="21" t="n">
        <v>7</v>
      </c>
      <c r="B189" s="36" t="str">
        <f aca="false">INDEX(C_Name,A189)</f>
        <v>예시 행: 직접 입력</v>
      </c>
      <c r="C189" s="21" t="n">
        <v>1</v>
      </c>
      <c r="D189" s="8" t="n">
        <f aca="false">CHOOSE(C189,G1,G2,G3)</f>
        <v>0.02</v>
      </c>
      <c r="E189" s="21" t="n">
        <v>5</v>
      </c>
      <c r="F189" s="29" t="n">
        <f aca="false">INDEX(C_Price,A189)*(1+D189)^(E189-1)</f>
        <v>15.15405024</v>
      </c>
      <c r="G189" s="29" t="n">
        <f aca="false">F189*Gongsi</f>
        <v>10.4562946656</v>
      </c>
      <c r="H189" s="29" t="n">
        <f aca="false">G189*FairProp</f>
        <v>6.27377679936</v>
      </c>
      <c r="I189" s="37" t="n">
        <f aca="false">IF(G189&lt;=SpcLimit,SUMPRODUCT((H189&gt;SLo)*(H189-SLo)*SD),SUMPRODUCT((H189&gt;GLo)*(H189-GLo)*GD))</f>
        <v>0.01879510719744</v>
      </c>
      <c r="J189" s="37" t="n">
        <f aca="false">H189*CityRate</f>
        <v>0.008783287519104</v>
      </c>
      <c r="K189" s="37" t="n">
        <f aca="false">I189*EduProp</f>
        <v>0.003759021439488</v>
      </c>
      <c r="L189" s="29" t="n">
        <f aca="false">MAX(0,(G189-JongDeduct)*FairJong)</f>
        <v>0</v>
      </c>
      <c r="M189" s="37" t="n">
        <f aca="false">SUMPRODUCT((L189&gt;JLo)*(L189-JLo)*JD)</f>
        <v>0</v>
      </c>
      <c r="N189" s="37" t="n">
        <f aca="false">M189*NongJong</f>
        <v>0</v>
      </c>
      <c r="O189" s="38" t="n">
        <f aca="false">I189+J189+K189+M189+N189</f>
        <v>0.031337416156032</v>
      </c>
    </row>
    <row r="190" customFormat="false" ht="15" hidden="false" customHeight="false" outlineLevel="0" collapsed="false">
      <c r="A190" s="21" t="n">
        <v>7</v>
      </c>
      <c r="B190" s="36" t="str">
        <f aca="false">INDEX(C_Name,A190)</f>
        <v>예시 행: 직접 입력</v>
      </c>
      <c r="C190" s="21" t="n">
        <v>1</v>
      </c>
      <c r="D190" s="8" t="n">
        <f aca="false">CHOOSE(C190,G1,G2,G3)</f>
        <v>0.02</v>
      </c>
      <c r="E190" s="21" t="n">
        <v>6</v>
      </c>
      <c r="F190" s="29" t="n">
        <f aca="false">INDEX(C_Price,A190)*(1+D190)^(E190-1)</f>
        <v>15.4571312448</v>
      </c>
      <c r="G190" s="29" t="n">
        <f aca="false">F190*Gongsi</f>
        <v>10.665420558912</v>
      </c>
      <c r="H190" s="29" t="n">
        <f aca="false">G190*FairProp</f>
        <v>6.3992523353472</v>
      </c>
      <c r="I190" s="37" t="n">
        <f aca="false">IF(G190&lt;=SpcLimit,SUMPRODUCT((H190&gt;SLo)*(H190-SLo)*SD),SUMPRODUCT((H190&gt;GLo)*(H190-GLo)*GD))</f>
        <v>0.0192970093413888</v>
      </c>
      <c r="J190" s="37" t="n">
        <f aca="false">H190*CityRate</f>
        <v>0.00895895326948608</v>
      </c>
      <c r="K190" s="37" t="n">
        <f aca="false">I190*EduProp</f>
        <v>0.00385940186827776</v>
      </c>
      <c r="L190" s="29" t="n">
        <f aca="false">MAX(0,(G190-JongDeduct)*FairJong)</f>
        <v>0</v>
      </c>
      <c r="M190" s="37" t="n">
        <f aca="false">SUMPRODUCT((L190&gt;JLo)*(L190-JLo)*JD)</f>
        <v>0</v>
      </c>
      <c r="N190" s="37" t="n">
        <f aca="false">M190*NongJong</f>
        <v>0</v>
      </c>
      <c r="O190" s="38" t="n">
        <f aca="false">I190+J190+K190+M190+N190</f>
        <v>0.0321153644791526</v>
      </c>
    </row>
    <row r="191" customFormat="false" ht="15" hidden="false" customHeight="false" outlineLevel="0" collapsed="false">
      <c r="A191" s="21" t="n">
        <v>7</v>
      </c>
      <c r="B191" s="36" t="str">
        <f aca="false">INDEX(C_Name,A191)</f>
        <v>예시 행: 직접 입력</v>
      </c>
      <c r="C191" s="21" t="n">
        <v>1</v>
      </c>
      <c r="D191" s="8" t="n">
        <f aca="false">CHOOSE(C191,G1,G2,G3)</f>
        <v>0.02</v>
      </c>
      <c r="E191" s="21" t="n">
        <v>7</v>
      </c>
      <c r="F191" s="29" t="n">
        <f aca="false">INDEX(C_Price,A191)*(1+D191)^(E191-1)</f>
        <v>15.766273869696</v>
      </c>
      <c r="G191" s="29" t="n">
        <f aca="false">F191*Gongsi</f>
        <v>10.8787289700902</v>
      </c>
      <c r="H191" s="29" t="n">
        <f aca="false">G191*FairProp</f>
        <v>6.52723738205414</v>
      </c>
      <c r="I191" s="37" t="n">
        <f aca="false">IF(G191&lt;=SpcLimit,SUMPRODUCT((H191&gt;SLo)*(H191-SLo)*SD),SUMPRODUCT((H191&gt;GLo)*(H191-GLo)*GD))</f>
        <v>0.0198089495282166</v>
      </c>
      <c r="J191" s="37" t="n">
        <f aca="false">H191*CityRate</f>
        <v>0.0091381323348758</v>
      </c>
      <c r="K191" s="37" t="n">
        <f aca="false">I191*EduProp</f>
        <v>0.00396178990564332</v>
      </c>
      <c r="L191" s="29" t="n">
        <f aca="false">MAX(0,(G191-JongDeduct)*FairJong)</f>
        <v>0</v>
      </c>
      <c r="M191" s="37" t="n">
        <f aca="false">SUMPRODUCT((L191&gt;JLo)*(L191-JLo)*JD)</f>
        <v>0</v>
      </c>
      <c r="N191" s="37" t="n">
        <f aca="false">M191*NongJong</f>
        <v>0</v>
      </c>
      <c r="O191" s="38" t="n">
        <f aca="false">I191+J191+K191+M191+N191</f>
        <v>0.0329088717687357</v>
      </c>
    </row>
    <row r="192" customFormat="false" ht="15" hidden="false" customHeight="false" outlineLevel="0" collapsed="false">
      <c r="A192" s="21" t="n">
        <v>7</v>
      </c>
      <c r="B192" s="36" t="str">
        <f aca="false">INDEX(C_Name,A192)</f>
        <v>예시 행: 직접 입력</v>
      </c>
      <c r="C192" s="21" t="n">
        <v>1</v>
      </c>
      <c r="D192" s="8" t="n">
        <f aca="false">CHOOSE(C192,G1,G2,G3)</f>
        <v>0.02</v>
      </c>
      <c r="E192" s="21" t="n">
        <v>8</v>
      </c>
      <c r="F192" s="29" t="n">
        <f aca="false">INDEX(C_Price,A192)*(1+D192)^(E192-1)</f>
        <v>16.0815993470899</v>
      </c>
      <c r="G192" s="29" t="n">
        <f aca="false">F192*Gongsi</f>
        <v>11.096303549492</v>
      </c>
      <c r="H192" s="29" t="n">
        <f aca="false">G192*FairProp</f>
        <v>6.65778212969523</v>
      </c>
      <c r="I192" s="37" t="n">
        <f aca="false">IF(G192&lt;=SpcLimit,SUMPRODUCT((H192&gt;SLo)*(H192-SLo)*SD),SUMPRODUCT((H192&gt;GLo)*(H192-GLo)*GD))</f>
        <v>0.0203311285187809</v>
      </c>
      <c r="J192" s="37" t="n">
        <f aca="false">H192*CityRate</f>
        <v>0.00932089498157332</v>
      </c>
      <c r="K192" s="37" t="n">
        <f aca="false">I192*EduProp</f>
        <v>0.00406622570375618</v>
      </c>
      <c r="L192" s="29" t="n">
        <f aca="false">MAX(0,(G192-JongDeduct)*FairJong)</f>
        <v>0</v>
      </c>
      <c r="M192" s="37" t="n">
        <f aca="false">SUMPRODUCT((L192&gt;JLo)*(L192-JLo)*JD)</f>
        <v>0</v>
      </c>
      <c r="N192" s="37" t="n">
        <f aca="false">M192*NongJong</f>
        <v>0</v>
      </c>
      <c r="O192" s="38" t="n">
        <f aca="false">I192+J192+K192+M192+N192</f>
        <v>0.0337182492041104</v>
      </c>
    </row>
    <row r="193" customFormat="false" ht="15" hidden="false" customHeight="false" outlineLevel="0" collapsed="false">
      <c r="A193" s="21" t="n">
        <v>7</v>
      </c>
      <c r="B193" s="36" t="str">
        <f aca="false">INDEX(C_Name,A193)</f>
        <v>예시 행: 직접 입력</v>
      </c>
      <c r="C193" s="21" t="n">
        <v>1</v>
      </c>
      <c r="D193" s="8" t="n">
        <f aca="false">CHOOSE(C193,G1,G2,G3)</f>
        <v>0.02</v>
      </c>
      <c r="E193" s="21" t="n">
        <v>9</v>
      </c>
      <c r="F193" s="29" t="n">
        <f aca="false">INDEX(C_Price,A193)*(1+D193)^(E193-1)</f>
        <v>16.4032313340317</v>
      </c>
      <c r="G193" s="29" t="n">
        <f aca="false">F193*Gongsi</f>
        <v>11.3182296204819</v>
      </c>
      <c r="H193" s="29" t="n">
        <f aca="false">G193*FairProp</f>
        <v>6.79093777228913</v>
      </c>
      <c r="I193" s="37" t="n">
        <f aca="false">IF(G193&lt;=SpcLimit,SUMPRODUCT((H193&gt;SLo)*(H193-SLo)*SD),SUMPRODUCT((H193&gt;GLo)*(H193-GLo)*GD))</f>
        <v>0.0208637510891565</v>
      </c>
      <c r="J193" s="37" t="n">
        <f aca="false">H193*CityRate</f>
        <v>0.00950731288120478</v>
      </c>
      <c r="K193" s="37" t="n">
        <f aca="false">I193*EduProp</f>
        <v>0.0041727502178313</v>
      </c>
      <c r="L193" s="29" t="n">
        <f aca="false">MAX(0,(G193-JongDeduct)*FairJong)</f>
        <v>0</v>
      </c>
      <c r="M193" s="37" t="n">
        <f aca="false">SUMPRODUCT((L193&gt;JLo)*(L193-JLo)*JD)</f>
        <v>0</v>
      </c>
      <c r="N193" s="37" t="n">
        <f aca="false">M193*NongJong</f>
        <v>0</v>
      </c>
      <c r="O193" s="38" t="n">
        <f aca="false">I193+J193+K193+M193+N193</f>
        <v>0.0345438141881926</v>
      </c>
    </row>
    <row r="194" customFormat="false" ht="15" hidden="false" customHeight="false" outlineLevel="0" collapsed="false">
      <c r="A194" s="21" t="n">
        <v>7</v>
      </c>
      <c r="B194" s="36" t="str">
        <f aca="false">INDEX(C_Name,A194)</f>
        <v>예시 행: 직접 입력</v>
      </c>
      <c r="C194" s="21" t="n">
        <v>1</v>
      </c>
      <c r="D194" s="8" t="n">
        <f aca="false">CHOOSE(C194,G1,G2,G3)</f>
        <v>0.02</v>
      </c>
      <c r="E194" s="21" t="n">
        <v>10</v>
      </c>
      <c r="F194" s="29" t="n">
        <f aca="false">INDEX(C_Price,A194)*(1+D194)^(E194-1)</f>
        <v>16.7312959607124</v>
      </c>
      <c r="G194" s="29" t="n">
        <f aca="false">F194*Gongsi</f>
        <v>11.5445942128915</v>
      </c>
      <c r="H194" s="29" t="n">
        <f aca="false">G194*FairProp</f>
        <v>6.92675652773492</v>
      </c>
      <c r="I194" s="37" t="n">
        <f aca="false">IF(G194&lt;=SpcLimit,SUMPRODUCT((H194&gt;SLo)*(H194-SLo)*SD),SUMPRODUCT((H194&gt;GLo)*(H194-GLo)*GD))</f>
        <v>0.0214070261109397</v>
      </c>
      <c r="J194" s="37" t="n">
        <f aca="false">H194*CityRate</f>
        <v>0.00969745913882888</v>
      </c>
      <c r="K194" s="37" t="n">
        <f aca="false">I194*EduProp</f>
        <v>0.00428140522218793</v>
      </c>
      <c r="L194" s="29" t="n">
        <f aca="false">MAX(0,(G194-JongDeduct)*FairJong)</f>
        <v>0</v>
      </c>
      <c r="M194" s="37" t="n">
        <f aca="false">SUMPRODUCT((L194&gt;JLo)*(L194-JLo)*JD)</f>
        <v>0</v>
      </c>
      <c r="N194" s="37" t="n">
        <f aca="false">M194*NongJong</f>
        <v>0</v>
      </c>
      <c r="O194" s="38" t="n">
        <f aca="false">I194+J194+K194+M194+N194</f>
        <v>0.0353858904719565</v>
      </c>
    </row>
    <row r="195" customFormat="false" ht="15" hidden="false" customHeight="false" outlineLevel="0" collapsed="false">
      <c r="A195" s="21" t="n">
        <v>7</v>
      </c>
      <c r="B195" s="36" t="str">
        <f aca="false">INDEX(C_Name,A195)</f>
        <v>예시 행: 직접 입력</v>
      </c>
      <c r="C195" s="21" t="n">
        <v>2</v>
      </c>
      <c r="D195" s="8" t="n">
        <f aca="false">CHOOSE(C195,G1,G2,G3)</f>
        <v>0.04</v>
      </c>
      <c r="E195" s="21" t="n">
        <v>1</v>
      </c>
      <c r="F195" s="29" t="n">
        <f aca="false">INDEX(C_Price,A195)*(1+D195)^(E195-1)</f>
        <v>14</v>
      </c>
      <c r="G195" s="29" t="n">
        <f aca="false">F195*Gongsi</f>
        <v>9.66</v>
      </c>
      <c r="H195" s="29" t="n">
        <f aca="false">G195*FairProp</f>
        <v>5.796</v>
      </c>
      <c r="I195" s="37" t="n">
        <f aca="false">IF(G195&lt;=SpcLimit,SUMPRODUCT((H195&gt;SLo)*(H195-SLo)*SD),SUMPRODUCT((H195&gt;GLo)*(H195-GLo)*GD))</f>
        <v>0.016884</v>
      </c>
      <c r="J195" s="37" t="n">
        <f aca="false">H195*CityRate</f>
        <v>0.0081144</v>
      </c>
      <c r="K195" s="37" t="n">
        <f aca="false">I195*EduProp</f>
        <v>0.0033768</v>
      </c>
      <c r="L195" s="29" t="n">
        <f aca="false">MAX(0,(G195-JongDeduct)*FairJong)</f>
        <v>0</v>
      </c>
      <c r="M195" s="37" t="n">
        <f aca="false">SUMPRODUCT((L195&gt;JLo)*(L195-JLo)*JD)</f>
        <v>0</v>
      </c>
      <c r="N195" s="37" t="n">
        <f aca="false">M195*NongJong</f>
        <v>0</v>
      </c>
      <c r="O195" s="38" t="n">
        <f aca="false">I195+J195+K195+M195+N195</f>
        <v>0.0283752</v>
      </c>
    </row>
    <row r="196" customFormat="false" ht="15" hidden="false" customHeight="false" outlineLevel="0" collapsed="false">
      <c r="A196" s="21" t="n">
        <v>7</v>
      </c>
      <c r="B196" s="36" t="str">
        <f aca="false">INDEX(C_Name,A196)</f>
        <v>예시 행: 직접 입력</v>
      </c>
      <c r="C196" s="21" t="n">
        <v>2</v>
      </c>
      <c r="D196" s="8" t="n">
        <f aca="false">CHOOSE(C196,G1,G2,G3)</f>
        <v>0.04</v>
      </c>
      <c r="E196" s="21" t="n">
        <v>2</v>
      </c>
      <c r="F196" s="29" t="n">
        <f aca="false">INDEX(C_Price,A196)*(1+D196)^(E196-1)</f>
        <v>14.56</v>
      </c>
      <c r="G196" s="29" t="n">
        <f aca="false">F196*Gongsi</f>
        <v>10.0464</v>
      </c>
      <c r="H196" s="29" t="n">
        <f aca="false">G196*FairProp</f>
        <v>6.02784</v>
      </c>
      <c r="I196" s="37" t="n">
        <f aca="false">IF(G196&lt;=SpcLimit,SUMPRODUCT((H196&gt;SLo)*(H196-SLo)*SD),SUMPRODUCT((H196&gt;GLo)*(H196-GLo)*GD))</f>
        <v>0.01781136</v>
      </c>
      <c r="J196" s="37" t="n">
        <f aca="false">H196*CityRate</f>
        <v>0.008438976</v>
      </c>
      <c r="K196" s="37" t="n">
        <f aca="false">I196*EduProp</f>
        <v>0.003562272</v>
      </c>
      <c r="L196" s="29" t="n">
        <f aca="false">MAX(0,(G196-JongDeduct)*FairJong)</f>
        <v>0</v>
      </c>
      <c r="M196" s="37" t="n">
        <f aca="false">SUMPRODUCT((L196&gt;JLo)*(L196-JLo)*JD)</f>
        <v>0</v>
      </c>
      <c r="N196" s="37" t="n">
        <f aca="false">M196*NongJong</f>
        <v>0</v>
      </c>
      <c r="O196" s="38" t="n">
        <f aca="false">I196+J196+K196+M196+N196</f>
        <v>0.029812608</v>
      </c>
    </row>
    <row r="197" customFormat="false" ht="15" hidden="false" customHeight="false" outlineLevel="0" collapsed="false">
      <c r="A197" s="21" t="n">
        <v>7</v>
      </c>
      <c r="B197" s="36" t="str">
        <f aca="false">INDEX(C_Name,A197)</f>
        <v>예시 행: 직접 입력</v>
      </c>
      <c r="C197" s="21" t="n">
        <v>2</v>
      </c>
      <c r="D197" s="8" t="n">
        <f aca="false">CHOOSE(C197,G1,G2,G3)</f>
        <v>0.04</v>
      </c>
      <c r="E197" s="21" t="n">
        <v>3</v>
      </c>
      <c r="F197" s="29" t="n">
        <f aca="false">INDEX(C_Price,A197)*(1+D197)^(E197-1)</f>
        <v>15.1424</v>
      </c>
      <c r="G197" s="29" t="n">
        <f aca="false">F197*Gongsi</f>
        <v>10.448256</v>
      </c>
      <c r="H197" s="29" t="n">
        <f aca="false">G197*FairProp</f>
        <v>6.2689536</v>
      </c>
      <c r="I197" s="37" t="n">
        <f aca="false">IF(G197&lt;=SpcLimit,SUMPRODUCT((H197&gt;SLo)*(H197-SLo)*SD),SUMPRODUCT((H197&gt;GLo)*(H197-GLo)*GD))</f>
        <v>0.0187758144</v>
      </c>
      <c r="J197" s="37" t="n">
        <f aca="false">H197*CityRate</f>
        <v>0.00877653504</v>
      </c>
      <c r="K197" s="37" t="n">
        <f aca="false">I197*EduProp</f>
        <v>0.00375516288</v>
      </c>
      <c r="L197" s="29" t="n">
        <f aca="false">MAX(0,(G197-JongDeduct)*FairJong)</f>
        <v>0</v>
      </c>
      <c r="M197" s="37" t="n">
        <f aca="false">SUMPRODUCT((L197&gt;JLo)*(L197-JLo)*JD)</f>
        <v>0</v>
      </c>
      <c r="N197" s="37" t="n">
        <f aca="false">M197*NongJong</f>
        <v>0</v>
      </c>
      <c r="O197" s="38" t="n">
        <f aca="false">I197+J197+K197+M197+N197</f>
        <v>0.03130751232</v>
      </c>
    </row>
    <row r="198" customFormat="false" ht="15" hidden="false" customHeight="false" outlineLevel="0" collapsed="false">
      <c r="A198" s="21" t="n">
        <v>7</v>
      </c>
      <c r="B198" s="36" t="str">
        <f aca="false">INDEX(C_Name,A198)</f>
        <v>예시 행: 직접 입력</v>
      </c>
      <c r="C198" s="21" t="n">
        <v>2</v>
      </c>
      <c r="D198" s="8" t="n">
        <f aca="false">CHOOSE(C198,G1,G2,G3)</f>
        <v>0.04</v>
      </c>
      <c r="E198" s="21" t="n">
        <v>4</v>
      </c>
      <c r="F198" s="29" t="n">
        <f aca="false">INDEX(C_Price,A198)*(1+D198)^(E198-1)</f>
        <v>15.748096</v>
      </c>
      <c r="G198" s="29" t="n">
        <f aca="false">F198*Gongsi</f>
        <v>10.86618624</v>
      </c>
      <c r="H198" s="29" t="n">
        <f aca="false">G198*FairProp</f>
        <v>6.519711744</v>
      </c>
      <c r="I198" s="37" t="n">
        <f aca="false">IF(G198&lt;=SpcLimit,SUMPRODUCT((H198&gt;SLo)*(H198-SLo)*SD),SUMPRODUCT((H198&gt;GLo)*(H198-GLo)*GD))</f>
        <v>0.019778846976</v>
      </c>
      <c r="J198" s="37" t="n">
        <f aca="false">H198*CityRate</f>
        <v>0.0091275964416</v>
      </c>
      <c r="K198" s="37" t="n">
        <f aca="false">I198*EduProp</f>
        <v>0.0039557693952</v>
      </c>
      <c r="L198" s="29" t="n">
        <f aca="false">MAX(0,(G198-JongDeduct)*FairJong)</f>
        <v>0</v>
      </c>
      <c r="M198" s="37" t="n">
        <f aca="false">SUMPRODUCT((L198&gt;JLo)*(L198-JLo)*JD)</f>
        <v>0</v>
      </c>
      <c r="N198" s="37" t="n">
        <f aca="false">M198*NongJong</f>
        <v>0</v>
      </c>
      <c r="O198" s="38" t="n">
        <f aca="false">I198+J198+K198+M198+N198</f>
        <v>0.0328622128128</v>
      </c>
    </row>
    <row r="199" customFormat="false" ht="15" hidden="false" customHeight="false" outlineLevel="0" collapsed="false">
      <c r="A199" s="21" t="n">
        <v>7</v>
      </c>
      <c r="B199" s="36" t="str">
        <f aca="false">INDEX(C_Name,A199)</f>
        <v>예시 행: 직접 입력</v>
      </c>
      <c r="C199" s="21" t="n">
        <v>2</v>
      </c>
      <c r="D199" s="8" t="n">
        <f aca="false">CHOOSE(C199,G1,G2,G3)</f>
        <v>0.04</v>
      </c>
      <c r="E199" s="21" t="n">
        <v>5</v>
      </c>
      <c r="F199" s="29" t="n">
        <f aca="false">INDEX(C_Price,A199)*(1+D199)^(E199-1)</f>
        <v>16.37801984</v>
      </c>
      <c r="G199" s="29" t="n">
        <f aca="false">F199*Gongsi</f>
        <v>11.3008336896</v>
      </c>
      <c r="H199" s="29" t="n">
        <f aca="false">G199*FairProp</f>
        <v>6.78050021376</v>
      </c>
      <c r="I199" s="37" t="n">
        <f aca="false">IF(G199&lt;=SpcLimit,SUMPRODUCT((H199&gt;SLo)*(H199-SLo)*SD),SUMPRODUCT((H199&gt;GLo)*(H199-GLo)*GD))</f>
        <v>0.02082200085504</v>
      </c>
      <c r="J199" s="37" t="n">
        <f aca="false">H199*CityRate</f>
        <v>0.009492700299264</v>
      </c>
      <c r="K199" s="37" t="n">
        <f aca="false">I199*EduProp</f>
        <v>0.004164400171008</v>
      </c>
      <c r="L199" s="29" t="n">
        <f aca="false">MAX(0,(G199-JongDeduct)*FairJong)</f>
        <v>0</v>
      </c>
      <c r="M199" s="37" t="n">
        <f aca="false">SUMPRODUCT((L199&gt;JLo)*(L199-JLo)*JD)</f>
        <v>0</v>
      </c>
      <c r="N199" s="37" t="n">
        <f aca="false">M199*NongJong</f>
        <v>0</v>
      </c>
      <c r="O199" s="38" t="n">
        <f aca="false">I199+J199+K199+M199+N199</f>
        <v>0.034479101325312</v>
      </c>
    </row>
    <row r="200" customFormat="false" ht="15" hidden="false" customHeight="false" outlineLevel="0" collapsed="false">
      <c r="A200" s="21" t="n">
        <v>7</v>
      </c>
      <c r="B200" s="36" t="str">
        <f aca="false">INDEX(C_Name,A200)</f>
        <v>예시 행: 직접 입력</v>
      </c>
      <c r="C200" s="21" t="n">
        <v>2</v>
      </c>
      <c r="D200" s="8" t="n">
        <f aca="false">CHOOSE(C200,G1,G2,G3)</f>
        <v>0.04</v>
      </c>
      <c r="E200" s="21" t="n">
        <v>6</v>
      </c>
      <c r="F200" s="29" t="n">
        <f aca="false">INDEX(C_Price,A200)*(1+D200)^(E200-1)</f>
        <v>17.0331406336</v>
      </c>
      <c r="G200" s="29" t="n">
        <f aca="false">F200*Gongsi</f>
        <v>11.752867037184</v>
      </c>
      <c r="H200" s="29" t="n">
        <f aca="false">G200*FairProp</f>
        <v>7.0517202223104</v>
      </c>
      <c r="I200" s="37" t="n">
        <f aca="false">IF(G200&lt;=SpcLimit,SUMPRODUCT((H200&gt;SLo)*(H200-SLo)*SD),SUMPRODUCT((H200&gt;GLo)*(H200-GLo)*GD))</f>
        <v>0.0219068808892416</v>
      </c>
      <c r="J200" s="37" t="n">
        <f aca="false">H200*CityRate</f>
        <v>0.00987240831123456</v>
      </c>
      <c r="K200" s="37" t="n">
        <f aca="false">I200*EduProp</f>
        <v>0.00438137617784832</v>
      </c>
      <c r="L200" s="29" t="n">
        <f aca="false">MAX(0,(G200-JongDeduct)*FairJong)</f>
        <v>0</v>
      </c>
      <c r="M200" s="37" t="n">
        <f aca="false">SUMPRODUCT((L200&gt;JLo)*(L200-JLo)*JD)</f>
        <v>0</v>
      </c>
      <c r="N200" s="37" t="n">
        <f aca="false">M200*NongJong</f>
        <v>0</v>
      </c>
      <c r="O200" s="38" t="n">
        <f aca="false">I200+J200+K200+M200+N200</f>
        <v>0.0361606653783245</v>
      </c>
    </row>
    <row r="201" customFormat="false" ht="15" hidden="false" customHeight="false" outlineLevel="0" collapsed="false">
      <c r="A201" s="21" t="n">
        <v>7</v>
      </c>
      <c r="B201" s="36" t="str">
        <f aca="false">INDEX(C_Name,A201)</f>
        <v>예시 행: 직접 입력</v>
      </c>
      <c r="C201" s="21" t="n">
        <v>2</v>
      </c>
      <c r="D201" s="8" t="n">
        <f aca="false">CHOOSE(C201,G1,G2,G3)</f>
        <v>0.04</v>
      </c>
      <c r="E201" s="21" t="n">
        <v>7</v>
      </c>
      <c r="F201" s="29" t="n">
        <f aca="false">INDEX(C_Price,A201)*(1+D201)^(E201-1)</f>
        <v>17.714466258944</v>
      </c>
      <c r="G201" s="29" t="n">
        <f aca="false">F201*Gongsi</f>
        <v>12.2229817186714</v>
      </c>
      <c r="H201" s="29" t="n">
        <f aca="false">G201*FairProp</f>
        <v>7.33378903120282</v>
      </c>
      <c r="I201" s="37" t="n">
        <f aca="false">IF(G201&lt;=SpcLimit,SUMPRODUCT((H201&gt;SLo)*(H201-SLo)*SD),SUMPRODUCT((H201&gt;GLo)*(H201-GLo)*GD))</f>
        <v>0.0230351561248113</v>
      </c>
      <c r="J201" s="37" t="n">
        <f aca="false">H201*CityRate</f>
        <v>0.0102673046436839</v>
      </c>
      <c r="K201" s="37" t="n">
        <f aca="false">I201*EduProp</f>
        <v>0.00460703122496225</v>
      </c>
      <c r="L201" s="29" t="n">
        <f aca="false">MAX(0,(G201-JongDeduct)*FairJong)</f>
        <v>0.133789031202817</v>
      </c>
      <c r="M201" s="37" t="n">
        <f aca="false">SUMPRODUCT((L201&gt;JLo)*(L201-JLo)*JD)</f>
        <v>0.000668945156014084</v>
      </c>
      <c r="N201" s="37" t="n">
        <f aca="false">M201*NongJong</f>
        <v>0.000133789031202817</v>
      </c>
      <c r="O201" s="38" t="n">
        <f aca="false">I201+J201+K201+M201+N201</f>
        <v>0.0387122261806744</v>
      </c>
    </row>
    <row r="202" customFormat="false" ht="15" hidden="false" customHeight="false" outlineLevel="0" collapsed="false">
      <c r="A202" s="21" t="n">
        <v>7</v>
      </c>
      <c r="B202" s="36" t="str">
        <f aca="false">INDEX(C_Name,A202)</f>
        <v>예시 행: 직접 입력</v>
      </c>
      <c r="C202" s="21" t="n">
        <v>2</v>
      </c>
      <c r="D202" s="8" t="n">
        <f aca="false">CHOOSE(C202,G1,G2,G3)</f>
        <v>0.04</v>
      </c>
      <c r="E202" s="21" t="n">
        <v>8</v>
      </c>
      <c r="F202" s="29" t="n">
        <f aca="false">INDEX(C_Price,A202)*(1+D202)^(E202-1)</f>
        <v>18.4230449093018</v>
      </c>
      <c r="G202" s="29" t="n">
        <f aca="false">F202*Gongsi</f>
        <v>12.7119009874182</v>
      </c>
      <c r="H202" s="29" t="n">
        <f aca="false">G202*FairProp</f>
        <v>7.62714059245093</v>
      </c>
      <c r="I202" s="37" t="n">
        <f aca="false">IF(G202&lt;=SpcLimit,SUMPRODUCT((H202&gt;SLo)*(H202-SLo)*SD),SUMPRODUCT((H202&gt;GLo)*(H202-GLo)*GD))</f>
        <v>0.0242085623698037</v>
      </c>
      <c r="J202" s="37" t="n">
        <f aca="false">H202*CityRate</f>
        <v>0.0106779968294313</v>
      </c>
      <c r="K202" s="37" t="n">
        <f aca="false">I202*EduProp</f>
        <v>0.00484171247396074</v>
      </c>
      <c r="L202" s="29" t="n">
        <f aca="false">MAX(0,(G202-JongDeduct)*FairJong)</f>
        <v>0.42714059245093</v>
      </c>
      <c r="M202" s="37" t="n">
        <f aca="false">SUMPRODUCT((L202&gt;JLo)*(L202-JLo)*JD)</f>
        <v>0.00213570296225465</v>
      </c>
      <c r="N202" s="37" t="n">
        <f aca="false">M202*NongJong</f>
        <v>0.00042714059245093</v>
      </c>
      <c r="O202" s="38" t="n">
        <f aca="false">I202+J202+K202+M202+N202</f>
        <v>0.0422911152279013</v>
      </c>
    </row>
    <row r="203" customFormat="false" ht="15" hidden="false" customHeight="false" outlineLevel="0" collapsed="false">
      <c r="A203" s="21" t="n">
        <v>7</v>
      </c>
      <c r="B203" s="36" t="str">
        <f aca="false">INDEX(C_Name,A203)</f>
        <v>예시 행: 직접 입력</v>
      </c>
      <c r="C203" s="21" t="n">
        <v>2</v>
      </c>
      <c r="D203" s="8" t="n">
        <f aca="false">CHOOSE(C203,G1,G2,G3)</f>
        <v>0.04</v>
      </c>
      <c r="E203" s="21" t="n">
        <v>9</v>
      </c>
      <c r="F203" s="29" t="n">
        <f aca="false">INDEX(C_Price,A203)*(1+D203)^(E203-1)</f>
        <v>19.1599667056738</v>
      </c>
      <c r="G203" s="29" t="n">
        <f aca="false">F203*Gongsi</f>
        <v>13.2203770269149</v>
      </c>
      <c r="H203" s="29" t="n">
        <f aca="false">G203*FairProp</f>
        <v>7.93222621614897</v>
      </c>
      <c r="I203" s="37" t="n">
        <f aca="false">IF(G203&lt;=SpcLimit,SUMPRODUCT((H203&gt;SLo)*(H203-SLo)*SD),SUMPRODUCT((H203&gt;GLo)*(H203-GLo)*GD))</f>
        <v>0.0254289048645959</v>
      </c>
      <c r="J203" s="37" t="n">
        <f aca="false">H203*CityRate</f>
        <v>0.0111051167026086</v>
      </c>
      <c r="K203" s="37" t="n">
        <f aca="false">I203*EduProp</f>
        <v>0.00508578097291917</v>
      </c>
      <c r="L203" s="29" t="n">
        <f aca="false">MAX(0,(G203-JongDeduct)*FairJong)</f>
        <v>0.732226216148966</v>
      </c>
      <c r="M203" s="37" t="n">
        <f aca="false">SUMPRODUCT((L203&gt;JLo)*(L203-JLo)*JD)</f>
        <v>0.00366113108074483</v>
      </c>
      <c r="N203" s="37" t="n">
        <f aca="false">M203*NongJong</f>
        <v>0.000732226216148967</v>
      </c>
      <c r="O203" s="38" t="n">
        <f aca="false">I203+J203+K203+M203+N203</f>
        <v>0.0460131598370174</v>
      </c>
    </row>
    <row r="204" customFormat="false" ht="15" hidden="false" customHeight="false" outlineLevel="0" collapsed="false">
      <c r="A204" s="21" t="n">
        <v>7</v>
      </c>
      <c r="B204" s="36" t="str">
        <f aca="false">INDEX(C_Name,A204)</f>
        <v>예시 행: 직접 입력</v>
      </c>
      <c r="C204" s="21" t="n">
        <v>2</v>
      </c>
      <c r="D204" s="8" t="n">
        <f aca="false">CHOOSE(C204,G1,G2,G3)</f>
        <v>0.04</v>
      </c>
      <c r="E204" s="21" t="n">
        <v>10</v>
      </c>
      <c r="F204" s="29" t="n">
        <f aca="false">INDEX(C_Price,A204)*(1+D204)^(E204-1)</f>
        <v>19.9263653739008</v>
      </c>
      <c r="G204" s="29" t="n">
        <f aca="false">F204*Gongsi</f>
        <v>13.7491921079915</v>
      </c>
      <c r="H204" s="29" t="n">
        <f aca="false">G204*FairProp</f>
        <v>8.24951526479493</v>
      </c>
      <c r="I204" s="37" t="n">
        <f aca="false">IF(G204&lt;=SpcLimit,SUMPRODUCT((H204&gt;SLo)*(H204-SLo)*SD),SUMPRODUCT((H204&gt;GLo)*(H204-GLo)*GD))</f>
        <v>0.0266980610591797</v>
      </c>
      <c r="J204" s="37" t="n">
        <f aca="false">H204*CityRate</f>
        <v>0.0115493213707129</v>
      </c>
      <c r="K204" s="37" t="n">
        <f aca="false">I204*EduProp</f>
        <v>0.00533961221183594</v>
      </c>
      <c r="L204" s="29" t="n">
        <f aca="false">MAX(0,(G204-JongDeduct)*FairJong)</f>
        <v>1.04951526479493</v>
      </c>
      <c r="M204" s="37" t="n">
        <f aca="false">SUMPRODUCT((L204&gt;JLo)*(L204-JLo)*JD)</f>
        <v>0.00524757632397463</v>
      </c>
      <c r="N204" s="37" t="n">
        <f aca="false">M204*NongJong</f>
        <v>0.00104951526479493</v>
      </c>
      <c r="O204" s="38" t="n">
        <f aca="false">I204+J204+K204+M204+N204</f>
        <v>0.0498840862304981</v>
      </c>
    </row>
    <row r="205" customFormat="false" ht="15" hidden="false" customHeight="false" outlineLevel="0" collapsed="false">
      <c r="A205" s="21" t="n">
        <v>7</v>
      </c>
      <c r="B205" s="36" t="str">
        <f aca="false">INDEX(C_Name,A205)</f>
        <v>예시 행: 직접 입력</v>
      </c>
      <c r="C205" s="21" t="n">
        <v>3</v>
      </c>
      <c r="D205" s="8" t="n">
        <f aca="false">CHOOSE(C205,G1,G2,G3)</f>
        <v>0.06</v>
      </c>
      <c r="E205" s="21" t="n">
        <v>1</v>
      </c>
      <c r="F205" s="29" t="n">
        <f aca="false">INDEX(C_Price,A205)*(1+D205)^(E205-1)</f>
        <v>14</v>
      </c>
      <c r="G205" s="29" t="n">
        <f aca="false">F205*Gongsi</f>
        <v>9.66</v>
      </c>
      <c r="H205" s="29" t="n">
        <f aca="false">G205*FairProp</f>
        <v>5.796</v>
      </c>
      <c r="I205" s="37" t="n">
        <f aca="false">IF(G205&lt;=SpcLimit,SUMPRODUCT((H205&gt;SLo)*(H205-SLo)*SD),SUMPRODUCT((H205&gt;GLo)*(H205-GLo)*GD))</f>
        <v>0.016884</v>
      </c>
      <c r="J205" s="37" t="n">
        <f aca="false">H205*CityRate</f>
        <v>0.0081144</v>
      </c>
      <c r="K205" s="37" t="n">
        <f aca="false">I205*EduProp</f>
        <v>0.0033768</v>
      </c>
      <c r="L205" s="29" t="n">
        <f aca="false">MAX(0,(G205-JongDeduct)*FairJong)</f>
        <v>0</v>
      </c>
      <c r="M205" s="37" t="n">
        <f aca="false">SUMPRODUCT((L205&gt;JLo)*(L205-JLo)*JD)</f>
        <v>0</v>
      </c>
      <c r="N205" s="37" t="n">
        <f aca="false">M205*NongJong</f>
        <v>0</v>
      </c>
      <c r="O205" s="38" t="n">
        <f aca="false">I205+J205+K205+M205+N205</f>
        <v>0.0283752</v>
      </c>
    </row>
    <row r="206" customFormat="false" ht="15" hidden="false" customHeight="false" outlineLevel="0" collapsed="false">
      <c r="A206" s="21" t="n">
        <v>7</v>
      </c>
      <c r="B206" s="36" t="str">
        <f aca="false">INDEX(C_Name,A206)</f>
        <v>예시 행: 직접 입력</v>
      </c>
      <c r="C206" s="21" t="n">
        <v>3</v>
      </c>
      <c r="D206" s="8" t="n">
        <f aca="false">CHOOSE(C206,G1,G2,G3)</f>
        <v>0.06</v>
      </c>
      <c r="E206" s="21" t="n">
        <v>2</v>
      </c>
      <c r="F206" s="29" t="n">
        <f aca="false">INDEX(C_Price,A206)*(1+D206)^(E206-1)</f>
        <v>14.84</v>
      </c>
      <c r="G206" s="29" t="n">
        <f aca="false">F206*Gongsi</f>
        <v>10.2396</v>
      </c>
      <c r="H206" s="29" t="n">
        <f aca="false">G206*FairProp</f>
        <v>6.14376</v>
      </c>
      <c r="I206" s="37" t="n">
        <f aca="false">IF(G206&lt;=SpcLimit,SUMPRODUCT((H206&gt;SLo)*(H206-SLo)*SD),SUMPRODUCT((H206&gt;GLo)*(H206-GLo)*GD))</f>
        <v>0.01827504</v>
      </c>
      <c r="J206" s="37" t="n">
        <f aca="false">H206*CityRate</f>
        <v>0.008601264</v>
      </c>
      <c r="K206" s="37" t="n">
        <f aca="false">I206*EduProp</f>
        <v>0.003655008</v>
      </c>
      <c r="L206" s="29" t="n">
        <f aca="false">MAX(0,(G206-JongDeduct)*FairJong)</f>
        <v>0</v>
      </c>
      <c r="M206" s="37" t="n">
        <f aca="false">SUMPRODUCT((L206&gt;JLo)*(L206-JLo)*JD)</f>
        <v>0</v>
      </c>
      <c r="N206" s="37" t="n">
        <f aca="false">M206*NongJong</f>
        <v>0</v>
      </c>
      <c r="O206" s="38" t="n">
        <f aca="false">I206+J206+K206+M206+N206</f>
        <v>0.030531312</v>
      </c>
    </row>
    <row r="207" customFormat="false" ht="15" hidden="false" customHeight="false" outlineLevel="0" collapsed="false">
      <c r="A207" s="21" t="n">
        <v>7</v>
      </c>
      <c r="B207" s="36" t="str">
        <f aca="false">INDEX(C_Name,A207)</f>
        <v>예시 행: 직접 입력</v>
      </c>
      <c r="C207" s="21" t="n">
        <v>3</v>
      </c>
      <c r="D207" s="8" t="n">
        <f aca="false">CHOOSE(C207,G1,G2,G3)</f>
        <v>0.06</v>
      </c>
      <c r="E207" s="21" t="n">
        <v>3</v>
      </c>
      <c r="F207" s="29" t="n">
        <f aca="false">INDEX(C_Price,A207)*(1+D207)^(E207-1)</f>
        <v>15.7304</v>
      </c>
      <c r="G207" s="29" t="n">
        <f aca="false">F207*Gongsi</f>
        <v>10.853976</v>
      </c>
      <c r="H207" s="29" t="n">
        <f aca="false">G207*FairProp</f>
        <v>6.5123856</v>
      </c>
      <c r="I207" s="37" t="n">
        <f aca="false">IF(G207&lt;=SpcLimit,SUMPRODUCT((H207&gt;SLo)*(H207-SLo)*SD),SUMPRODUCT((H207&gt;GLo)*(H207-GLo)*GD))</f>
        <v>0.0197495424</v>
      </c>
      <c r="J207" s="37" t="n">
        <f aca="false">H207*CityRate</f>
        <v>0.00911733984</v>
      </c>
      <c r="K207" s="37" t="n">
        <f aca="false">I207*EduProp</f>
        <v>0.00394990848</v>
      </c>
      <c r="L207" s="29" t="n">
        <f aca="false">MAX(0,(G207-JongDeduct)*FairJong)</f>
        <v>0</v>
      </c>
      <c r="M207" s="37" t="n">
        <f aca="false">SUMPRODUCT((L207&gt;JLo)*(L207-JLo)*JD)</f>
        <v>0</v>
      </c>
      <c r="N207" s="37" t="n">
        <f aca="false">M207*NongJong</f>
        <v>0</v>
      </c>
      <c r="O207" s="38" t="n">
        <f aca="false">I207+J207+K207+M207+N207</f>
        <v>0.03281679072</v>
      </c>
    </row>
    <row r="208" customFormat="false" ht="15" hidden="false" customHeight="false" outlineLevel="0" collapsed="false">
      <c r="A208" s="21" t="n">
        <v>7</v>
      </c>
      <c r="B208" s="36" t="str">
        <f aca="false">INDEX(C_Name,A208)</f>
        <v>예시 행: 직접 입력</v>
      </c>
      <c r="C208" s="21" t="n">
        <v>3</v>
      </c>
      <c r="D208" s="8" t="n">
        <f aca="false">CHOOSE(C208,G1,G2,G3)</f>
        <v>0.06</v>
      </c>
      <c r="E208" s="21" t="n">
        <v>4</v>
      </c>
      <c r="F208" s="29" t="n">
        <f aca="false">INDEX(C_Price,A208)*(1+D208)^(E208-1)</f>
        <v>16.674224</v>
      </c>
      <c r="G208" s="29" t="n">
        <f aca="false">F208*Gongsi</f>
        <v>11.50521456</v>
      </c>
      <c r="H208" s="29" t="n">
        <f aca="false">G208*FairProp</f>
        <v>6.903128736</v>
      </c>
      <c r="I208" s="37" t="n">
        <f aca="false">IF(G208&lt;=SpcLimit,SUMPRODUCT((H208&gt;SLo)*(H208-SLo)*SD),SUMPRODUCT((H208&gt;GLo)*(H208-GLo)*GD))</f>
        <v>0.021312514944</v>
      </c>
      <c r="J208" s="37" t="n">
        <f aca="false">H208*CityRate</f>
        <v>0.0096643802304</v>
      </c>
      <c r="K208" s="37" t="n">
        <f aca="false">I208*EduProp</f>
        <v>0.0042625029888</v>
      </c>
      <c r="L208" s="29" t="n">
        <f aca="false">MAX(0,(G208-JongDeduct)*FairJong)</f>
        <v>0</v>
      </c>
      <c r="M208" s="37" t="n">
        <f aca="false">SUMPRODUCT((L208&gt;JLo)*(L208-JLo)*JD)</f>
        <v>0</v>
      </c>
      <c r="N208" s="37" t="n">
        <f aca="false">M208*NongJong</f>
        <v>0</v>
      </c>
      <c r="O208" s="38" t="n">
        <f aca="false">I208+J208+K208+M208+N208</f>
        <v>0.0352393981632</v>
      </c>
    </row>
    <row r="209" customFormat="false" ht="15" hidden="false" customHeight="false" outlineLevel="0" collapsed="false">
      <c r="A209" s="21" t="n">
        <v>7</v>
      </c>
      <c r="B209" s="36" t="str">
        <f aca="false">INDEX(C_Name,A209)</f>
        <v>예시 행: 직접 입력</v>
      </c>
      <c r="C209" s="21" t="n">
        <v>3</v>
      </c>
      <c r="D209" s="8" t="n">
        <f aca="false">CHOOSE(C209,G1,G2,G3)</f>
        <v>0.06</v>
      </c>
      <c r="E209" s="21" t="n">
        <v>5</v>
      </c>
      <c r="F209" s="29" t="n">
        <f aca="false">INDEX(C_Price,A209)*(1+D209)^(E209-1)</f>
        <v>17.67467744</v>
      </c>
      <c r="G209" s="29" t="n">
        <f aca="false">F209*Gongsi</f>
        <v>12.1955274336</v>
      </c>
      <c r="H209" s="29" t="n">
        <f aca="false">G209*FairProp</f>
        <v>7.31731646016</v>
      </c>
      <c r="I209" s="37" t="n">
        <f aca="false">IF(G209&lt;=SpcLimit,SUMPRODUCT((H209&gt;SLo)*(H209-SLo)*SD),SUMPRODUCT((H209&gt;GLo)*(H209-GLo)*GD))</f>
        <v>0.02296926584064</v>
      </c>
      <c r="J209" s="37" t="n">
        <f aca="false">H209*CityRate</f>
        <v>0.010244243044224</v>
      </c>
      <c r="K209" s="37" t="n">
        <f aca="false">I209*EduProp</f>
        <v>0.004593853168128</v>
      </c>
      <c r="L209" s="29" t="n">
        <f aca="false">MAX(0,(G209-JongDeduct)*FairJong)</f>
        <v>0.117316460160001</v>
      </c>
      <c r="M209" s="37" t="n">
        <f aca="false">SUMPRODUCT((L209&gt;JLo)*(L209-JLo)*JD)</f>
        <v>0.000586582300800007</v>
      </c>
      <c r="N209" s="37" t="n">
        <f aca="false">M209*NongJong</f>
        <v>0.000117316460160001</v>
      </c>
      <c r="O209" s="38" t="n">
        <f aca="false">I209+J209+K209+M209+N209</f>
        <v>0.038511260813952</v>
      </c>
    </row>
    <row r="210" customFormat="false" ht="15" hidden="false" customHeight="false" outlineLevel="0" collapsed="false">
      <c r="A210" s="21" t="n">
        <v>7</v>
      </c>
      <c r="B210" s="36" t="str">
        <f aca="false">INDEX(C_Name,A210)</f>
        <v>예시 행: 직접 입력</v>
      </c>
      <c r="C210" s="21" t="n">
        <v>3</v>
      </c>
      <c r="D210" s="8" t="n">
        <f aca="false">CHOOSE(C210,G1,G2,G3)</f>
        <v>0.06</v>
      </c>
      <c r="E210" s="21" t="n">
        <v>6</v>
      </c>
      <c r="F210" s="29" t="n">
        <f aca="false">INDEX(C_Price,A210)*(1+D210)^(E210-1)</f>
        <v>18.7351580864</v>
      </c>
      <c r="G210" s="29" t="n">
        <f aca="false">F210*Gongsi</f>
        <v>12.927259079616</v>
      </c>
      <c r="H210" s="29" t="n">
        <f aca="false">G210*FairProp</f>
        <v>7.7563554477696</v>
      </c>
      <c r="I210" s="37" t="n">
        <f aca="false">IF(G210&lt;=SpcLimit,SUMPRODUCT((H210&gt;SLo)*(H210-SLo)*SD),SUMPRODUCT((H210&gt;GLo)*(H210-GLo)*GD))</f>
        <v>0.0247254217910784</v>
      </c>
      <c r="J210" s="37" t="n">
        <f aca="false">H210*CityRate</f>
        <v>0.0108588976268774</v>
      </c>
      <c r="K210" s="37" t="n">
        <f aca="false">I210*EduProp</f>
        <v>0.00494508435821568</v>
      </c>
      <c r="L210" s="29" t="n">
        <f aca="false">MAX(0,(G210-JongDeduct)*FairJong)</f>
        <v>0.556355447769601</v>
      </c>
      <c r="M210" s="37" t="n">
        <f aca="false">SUMPRODUCT((L210&gt;JLo)*(L210-JLo)*JD)</f>
        <v>0.00278177723884801</v>
      </c>
      <c r="N210" s="37" t="n">
        <f aca="false">M210*NongJong</f>
        <v>0.000556355447769601</v>
      </c>
      <c r="O210" s="38" t="n">
        <f aca="false">I210+J210+K210+M210+N210</f>
        <v>0.0438675364627891</v>
      </c>
    </row>
    <row r="211" customFormat="false" ht="15" hidden="false" customHeight="false" outlineLevel="0" collapsed="false">
      <c r="A211" s="21" t="n">
        <v>7</v>
      </c>
      <c r="B211" s="36" t="str">
        <f aca="false">INDEX(C_Name,A211)</f>
        <v>예시 행: 직접 입력</v>
      </c>
      <c r="C211" s="21" t="n">
        <v>3</v>
      </c>
      <c r="D211" s="8" t="n">
        <f aca="false">CHOOSE(C211,G1,G2,G3)</f>
        <v>0.06</v>
      </c>
      <c r="E211" s="21" t="n">
        <v>7</v>
      </c>
      <c r="F211" s="29" t="n">
        <f aca="false">INDEX(C_Price,A211)*(1+D211)^(E211-1)</f>
        <v>19.859267571584</v>
      </c>
      <c r="G211" s="29" t="n">
        <f aca="false">F211*Gongsi</f>
        <v>13.702894624393</v>
      </c>
      <c r="H211" s="29" t="n">
        <f aca="false">G211*FairProp</f>
        <v>8.22173677463578</v>
      </c>
      <c r="I211" s="37" t="n">
        <f aca="false">IF(G211&lt;=SpcLimit,SUMPRODUCT((H211&gt;SLo)*(H211-SLo)*SD),SUMPRODUCT((H211&gt;GLo)*(H211-GLo)*GD))</f>
        <v>0.0265869470985431</v>
      </c>
      <c r="J211" s="37" t="n">
        <f aca="false">H211*CityRate</f>
        <v>0.0115104314844901</v>
      </c>
      <c r="K211" s="37" t="n">
        <f aca="false">I211*EduProp</f>
        <v>0.00531738941970862</v>
      </c>
      <c r="L211" s="29" t="n">
        <f aca="false">MAX(0,(G211-JongDeduct)*FairJong)</f>
        <v>1.02173677463578</v>
      </c>
      <c r="M211" s="37" t="n">
        <f aca="false">SUMPRODUCT((L211&gt;JLo)*(L211-JLo)*JD)</f>
        <v>0.00510868387317889</v>
      </c>
      <c r="N211" s="37" t="n">
        <f aca="false">M211*NongJong</f>
        <v>0.00102173677463578</v>
      </c>
      <c r="O211" s="38" t="n">
        <f aca="false">I211+J211+K211+M211+N211</f>
        <v>0.0495451886505565</v>
      </c>
    </row>
    <row r="212" customFormat="false" ht="15" hidden="false" customHeight="false" outlineLevel="0" collapsed="false">
      <c r="A212" s="21" t="n">
        <v>7</v>
      </c>
      <c r="B212" s="36" t="str">
        <f aca="false">INDEX(C_Name,A212)</f>
        <v>예시 행: 직접 입력</v>
      </c>
      <c r="C212" s="21" t="n">
        <v>3</v>
      </c>
      <c r="D212" s="8" t="n">
        <f aca="false">CHOOSE(C212,G1,G2,G3)</f>
        <v>0.06</v>
      </c>
      <c r="E212" s="21" t="n">
        <v>8</v>
      </c>
      <c r="F212" s="29" t="n">
        <f aca="false">INDEX(C_Price,A212)*(1+D212)^(E212-1)</f>
        <v>21.050823625879</v>
      </c>
      <c r="G212" s="29" t="n">
        <f aca="false">F212*Gongsi</f>
        <v>14.5250683018565</v>
      </c>
      <c r="H212" s="29" t="n">
        <f aca="false">G212*FairProp</f>
        <v>8.71504098111392</v>
      </c>
      <c r="I212" s="37" t="n">
        <f aca="false">IF(G212&lt;=SpcLimit,SUMPRODUCT((H212&gt;SLo)*(H212-SLo)*SD),SUMPRODUCT((H212&gt;GLo)*(H212-GLo)*GD))</f>
        <v>0.0285601639244557</v>
      </c>
      <c r="J212" s="37" t="n">
        <f aca="false">H212*CityRate</f>
        <v>0.0122010573735595</v>
      </c>
      <c r="K212" s="37" t="n">
        <f aca="false">I212*EduProp</f>
        <v>0.00571203278489114</v>
      </c>
      <c r="L212" s="29" t="n">
        <f aca="false">MAX(0,(G212-JongDeduct)*FairJong)</f>
        <v>1.51504098111393</v>
      </c>
      <c r="M212" s="37" t="n">
        <f aca="false">SUMPRODUCT((L212&gt;JLo)*(L212-JLo)*JD)</f>
        <v>0.00757520490556963</v>
      </c>
      <c r="N212" s="37" t="n">
        <f aca="false">M212*NongJong</f>
        <v>0.00151504098111393</v>
      </c>
      <c r="O212" s="38" t="n">
        <f aca="false">I212+J212+K212+M212+N212</f>
        <v>0.0555634999695899</v>
      </c>
    </row>
    <row r="213" customFormat="false" ht="15" hidden="false" customHeight="false" outlineLevel="0" collapsed="false">
      <c r="A213" s="21" t="n">
        <v>7</v>
      </c>
      <c r="B213" s="36" t="str">
        <f aca="false">INDEX(C_Name,A213)</f>
        <v>예시 행: 직접 입력</v>
      </c>
      <c r="C213" s="21" t="n">
        <v>3</v>
      </c>
      <c r="D213" s="8" t="n">
        <f aca="false">CHOOSE(C213,G1,G2,G3)</f>
        <v>0.06</v>
      </c>
      <c r="E213" s="21" t="n">
        <v>9</v>
      </c>
      <c r="F213" s="29" t="n">
        <f aca="false">INDEX(C_Price,A213)*(1+D213)^(E213-1)</f>
        <v>22.3138730434318</v>
      </c>
      <c r="G213" s="29" t="n">
        <f aca="false">F213*Gongsi</f>
        <v>15.3965723999679</v>
      </c>
      <c r="H213" s="29" t="n">
        <f aca="false">G213*FairProp</f>
        <v>9.23794343998076</v>
      </c>
      <c r="I213" s="37" t="n">
        <f aca="false">IF(G213&lt;=SpcLimit,SUMPRODUCT((H213&gt;SLo)*(H213-SLo)*SD),SUMPRODUCT((H213&gt;GLo)*(H213-GLo)*GD))</f>
        <v>0.030651773759923</v>
      </c>
      <c r="J213" s="37" t="n">
        <f aca="false">H213*CityRate</f>
        <v>0.0129331208159731</v>
      </c>
      <c r="K213" s="37" t="n">
        <f aca="false">I213*EduProp</f>
        <v>0.00613035475198461</v>
      </c>
      <c r="L213" s="29" t="n">
        <f aca="false">MAX(0,(G213-JongDeduct)*FairJong)</f>
        <v>2.03794343998076</v>
      </c>
      <c r="M213" s="37" t="n">
        <f aca="false">SUMPRODUCT((L213&gt;JLo)*(L213-JLo)*JD)</f>
        <v>0.0101897171999038</v>
      </c>
      <c r="N213" s="37" t="n">
        <f aca="false">M213*NongJong</f>
        <v>0.00203794343998076</v>
      </c>
      <c r="O213" s="38" t="n">
        <f aca="false">I213+J213+K213+M213+N213</f>
        <v>0.0619429099677653</v>
      </c>
    </row>
    <row r="214" customFormat="false" ht="15" hidden="false" customHeight="false" outlineLevel="0" collapsed="false">
      <c r="A214" s="21" t="n">
        <v>7</v>
      </c>
      <c r="B214" s="36" t="str">
        <f aca="false">INDEX(C_Name,A214)</f>
        <v>예시 행: 직접 입력</v>
      </c>
      <c r="C214" s="21" t="n">
        <v>3</v>
      </c>
      <c r="D214" s="8" t="n">
        <f aca="false">CHOOSE(C214,G1,G2,G3)</f>
        <v>0.06</v>
      </c>
      <c r="E214" s="21" t="n">
        <v>10</v>
      </c>
      <c r="F214" s="29" t="n">
        <f aca="false">INDEX(C_Price,A214)*(1+D214)^(E214-1)</f>
        <v>23.6527054260377</v>
      </c>
      <c r="G214" s="29" t="n">
        <f aca="false">F214*Gongsi</f>
        <v>16.320366743966</v>
      </c>
      <c r="H214" s="29" t="n">
        <f aca="false">G214*FairProp</f>
        <v>9.79222004637961</v>
      </c>
      <c r="I214" s="37" t="n">
        <f aca="false">IF(G214&lt;=SpcLimit,SUMPRODUCT((H214&gt;SLo)*(H214-SLo)*SD),SUMPRODUCT((H214&gt;GLo)*(H214-GLo)*GD))</f>
        <v>0.0328688801855184</v>
      </c>
      <c r="J214" s="37" t="n">
        <f aca="false">H214*CityRate</f>
        <v>0.0137091080649314</v>
      </c>
      <c r="K214" s="37" t="n">
        <f aca="false">I214*EduProp</f>
        <v>0.00657377603710369</v>
      </c>
      <c r="L214" s="29" t="n">
        <f aca="false">MAX(0,(G214-JongDeduct)*FairJong)</f>
        <v>2.59222004637961</v>
      </c>
      <c r="M214" s="37" t="n">
        <f aca="false">SUMPRODUCT((L214&gt;JLo)*(L214-JLo)*JD)</f>
        <v>0.012961100231898</v>
      </c>
      <c r="N214" s="37" t="n">
        <f aca="false">M214*NongJong</f>
        <v>0.00259222004637961</v>
      </c>
      <c r="O214" s="38" t="n">
        <f aca="false">I214+J214+K214+M214+N214</f>
        <v>0.0687050845658312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19.4" hidden="false" customHeight="false" outlineLevel="0" collapsed="false">
      <c r="A1" s="1" t="s">
        <v>144</v>
      </c>
    </row>
    <row r="2" customFormat="false" ht="15" hidden="false" customHeight="false" outlineLevel="0" collapsed="false">
      <c r="A2" s="35" t="s">
        <v>145</v>
      </c>
    </row>
    <row r="4" customFormat="false" ht="42" hidden="false" customHeight="true" outlineLevel="0" collapsed="false">
      <c r="A4" s="9" t="s">
        <v>146</v>
      </c>
      <c r="B4" s="9" t="s">
        <v>147</v>
      </c>
      <c r="C4" s="9" t="s">
        <v>148</v>
      </c>
      <c r="D4" s="9" t="s">
        <v>149</v>
      </c>
      <c r="E4" s="10" t="s">
        <v>150</v>
      </c>
    </row>
    <row r="5" customFormat="false" ht="15" hidden="false" customHeight="false" outlineLevel="0" collapsed="false">
      <c r="A5" s="39" t="n">
        <f aca="false">Eq1</f>
        <v>12</v>
      </c>
      <c r="B5" s="40" t="n">
        <f aca="false">_xlfn.MAXIFS($A$12:$A$162,$E$12:$E$162,"&lt;="&amp;A5)</f>
        <v>15.3</v>
      </c>
      <c r="C5" s="29" t="n">
        <f aca="false">INDEX($B$12:$B$162,MATCH(B5,$A$12:$A$162,0))</f>
        <v>4</v>
      </c>
      <c r="D5" s="29" t="n">
        <f aca="false">INDEX($E$12:$E$162,MATCH(B5,$A$12:$A$162,0))</f>
        <v>11.94271</v>
      </c>
      <c r="E5" s="41" t="n">
        <f aca="false">_xlfn.MAXIFS($A$12:$A$162,$E$12:$E$162,"&lt;="&amp;A5,$A$12:$A$162,"&lt;=15")</f>
        <v>15</v>
      </c>
    </row>
    <row r="6" customFormat="false" ht="15" hidden="false" customHeight="false" outlineLevel="0" collapsed="false">
      <c r="A6" s="39" t="n">
        <f aca="false">Eq2</f>
        <v>14</v>
      </c>
      <c r="B6" s="40" t="n">
        <f aca="false">_xlfn.MAXIFS($A$12:$A$162,$E$12:$E$162,"&lt;="&amp;A6)</f>
        <v>17.2</v>
      </c>
      <c r="C6" s="29" t="n">
        <f aca="false">INDEX($B$12:$B$162,MATCH(B6,$A$12:$A$162,0))</f>
        <v>4</v>
      </c>
      <c r="D6" s="29" t="n">
        <f aca="false">INDEX($E$12:$E$162,MATCH(B6,$A$12:$A$162,0))</f>
        <v>13.92004</v>
      </c>
      <c r="E6" s="41" t="n">
        <f aca="false">_xlfn.MAXIFS($A$12:$A$162,$E$12:$E$162,"&lt;="&amp;A6,$A$12:$A$162,"&lt;=15")</f>
        <v>15</v>
      </c>
    </row>
    <row r="7" customFormat="false" ht="15" hidden="false" customHeight="false" outlineLevel="0" collapsed="false">
      <c r="A7" s="39" t="n">
        <f aca="false">Eq3</f>
        <v>16</v>
      </c>
      <c r="B7" s="40" t="n">
        <f aca="false">_xlfn.MAXIFS($A$12:$A$162,$E$12:$E$162,"&lt;="&amp;A7)</f>
        <v>19.1</v>
      </c>
      <c r="C7" s="29" t="n">
        <f aca="false">INDEX($B$12:$B$162,MATCH(B7,$A$12:$A$162,0))</f>
        <v>4</v>
      </c>
      <c r="D7" s="29" t="n">
        <f aca="false">INDEX($E$12:$E$162,MATCH(B7,$A$12:$A$162,0))</f>
        <v>15.89737</v>
      </c>
      <c r="E7" s="41" t="n">
        <f aca="false">_xlfn.MAXIFS($A$12:$A$162,$E$12:$E$162,"&lt;="&amp;A7,$A$12:$A$162,"&lt;=15")</f>
        <v>15</v>
      </c>
    </row>
    <row r="11" customFormat="false" ht="42" hidden="false" customHeight="true" outlineLevel="0" collapsed="false">
      <c r="A11" s="9" t="s">
        <v>59</v>
      </c>
      <c r="B11" s="9" t="s">
        <v>151</v>
      </c>
      <c r="C11" s="9" t="s">
        <v>67</v>
      </c>
      <c r="D11" s="9" t="s">
        <v>152</v>
      </c>
      <c r="E11" s="9" t="s">
        <v>69</v>
      </c>
    </row>
    <row r="12" customFormat="false" ht="15" hidden="false" customHeight="false" outlineLevel="0" collapsed="false">
      <c r="A12" s="42" t="n">
        <v>10</v>
      </c>
      <c r="B12" s="29" t="n">
        <f aca="false">MIN(LTV*A12,LOOKUP(A12,LoanLo,LoanCap))</f>
        <v>4</v>
      </c>
      <c r="C12" s="30" t="n">
        <f aca="false">A12*IF(A12&lt;=6,0.01,IF(A12&lt;=9,(A12*2/3-3)/100,0.03))*(1+EduAcq)</f>
        <v>0.33</v>
      </c>
      <c r="D12" s="30" t="n">
        <f aca="false">A12*LOOKUP(A12,FeeLo,FeeR)*(1+VAT)+EtcBuy</f>
        <v>0.075</v>
      </c>
      <c r="E12" s="29" t="n">
        <f aca="false">A12-B12+C12+D12</f>
        <v>6.405</v>
      </c>
    </row>
    <row r="13" customFormat="false" ht="15" hidden="false" customHeight="false" outlineLevel="0" collapsed="false">
      <c r="A13" s="41" t="n">
        <f aca="false">ROUND(A12+0.1,1)</f>
        <v>10.1</v>
      </c>
      <c r="B13" s="29" t="n">
        <f aca="false">MIN(LTV*A13,LOOKUP(A13,LoanLo,LoanCap))</f>
        <v>4.04</v>
      </c>
      <c r="C13" s="30" t="n">
        <f aca="false">A13*IF(A13&lt;=6,0.01,IF(A13&lt;=9,(A13*2/3-3)/100,0.03))*(1+EduAcq)</f>
        <v>0.3333</v>
      </c>
      <c r="D13" s="30" t="n">
        <f aca="false">A13*LOOKUP(A13,FeeLo,FeeR)*(1+VAT)+EtcBuy</f>
        <v>0.07555</v>
      </c>
      <c r="E13" s="29" t="n">
        <f aca="false">A13-B13+C13+D13</f>
        <v>6.46885</v>
      </c>
    </row>
    <row r="14" customFormat="false" ht="15" hidden="false" customHeight="false" outlineLevel="0" collapsed="false">
      <c r="A14" s="41" t="n">
        <f aca="false">ROUND(A13+0.1,1)</f>
        <v>10.2</v>
      </c>
      <c r="B14" s="29" t="n">
        <f aca="false">MIN(LTV*A14,LOOKUP(A14,LoanLo,LoanCap))</f>
        <v>4.08</v>
      </c>
      <c r="C14" s="30" t="n">
        <f aca="false">A14*IF(A14&lt;=6,0.01,IF(A14&lt;=9,(A14*2/3-3)/100,0.03))*(1+EduAcq)</f>
        <v>0.3366</v>
      </c>
      <c r="D14" s="30" t="n">
        <f aca="false">A14*LOOKUP(A14,FeeLo,FeeR)*(1+VAT)+EtcBuy</f>
        <v>0.0761</v>
      </c>
      <c r="E14" s="29" t="n">
        <f aca="false">A14-B14+C14+D14</f>
        <v>6.5327</v>
      </c>
    </row>
    <row r="15" customFormat="false" ht="15" hidden="false" customHeight="false" outlineLevel="0" collapsed="false">
      <c r="A15" s="41" t="n">
        <f aca="false">ROUND(A14+0.1,1)</f>
        <v>10.3</v>
      </c>
      <c r="B15" s="29" t="n">
        <f aca="false">MIN(LTV*A15,LOOKUP(A15,LoanLo,LoanCap))</f>
        <v>4.12</v>
      </c>
      <c r="C15" s="30" t="n">
        <f aca="false">A15*IF(A15&lt;=6,0.01,IF(A15&lt;=9,(A15*2/3-3)/100,0.03))*(1+EduAcq)</f>
        <v>0.3399</v>
      </c>
      <c r="D15" s="30" t="n">
        <f aca="false">A15*LOOKUP(A15,FeeLo,FeeR)*(1+VAT)+EtcBuy</f>
        <v>0.07665</v>
      </c>
      <c r="E15" s="29" t="n">
        <f aca="false">A15-B15+C15+D15</f>
        <v>6.59655</v>
      </c>
    </row>
    <row r="16" customFormat="false" ht="15" hidden="false" customHeight="false" outlineLevel="0" collapsed="false">
      <c r="A16" s="41" t="n">
        <f aca="false">ROUND(A15+0.1,1)</f>
        <v>10.4</v>
      </c>
      <c r="B16" s="29" t="n">
        <f aca="false">MIN(LTV*A16,LOOKUP(A16,LoanLo,LoanCap))</f>
        <v>4.16</v>
      </c>
      <c r="C16" s="30" t="n">
        <f aca="false">A16*IF(A16&lt;=6,0.01,IF(A16&lt;=9,(A16*2/3-3)/100,0.03))*(1+EduAcq)</f>
        <v>0.3432</v>
      </c>
      <c r="D16" s="30" t="n">
        <f aca="false">A16*LOOKUP(A16,FeeLo,FeeR)*(1+VAT)+EtcBuy</f>
        <v>0.0772</v>
      </c>
      <c r="E16" s="29" t="n">
        <f aca="false">A16-B16+C16+D16</f>
        <v>6.6604</v>
      </c>
    </row>
    <row r="17" customFormat="false" ht="15" hidden="false" customHeight="false" outlineLevel="0" collapsed="false">
      <c r="A17" s="41" t="n">
        <f aca="false">ROUND(A16+0.1,1)</f>
        <v>10.5</v>
      </c>
      <c r="B17" s="29" t="n">
        <f aca="false">MIN(LTV*A17,LOOKUP(A17,LoanLo,LoanCap))</f>
        <v>4.2</v>
      </c>
      <c r="C17" s="30" t="n">
        <f aca="false">A17*IF(A17&lt;=6,0.01,IF(A17&lt;=9,(A17*2/3-3)/100,0.03))*(1+EduAcq)</f>
        <v>0.3465</v>
      </c>
      <c r="D17" s="30" t="n">
        <f aca="false">A17*LOOKUP(A17,FeeLo,FeeR)*(1+VAT)+EtcBuy</f>
        <v>0.07775</v>
      </c>
      <c r="E17" s="29" t="n">
        <f aca="false">A17-B17+C17+D17</f>
        <v>6.72425</v>
      </c>
    </row>
    <row r="18" customFormat="false" ht="15" hidden="false" customHeight="false" outlineLevel="0" collapsed="false">
      <c r="A18" s="41" t="n">
        <f aca="false">ROUND(A17+0.1,1)</f>
        <v>10.6</v>
      </c>
      <c r="B18" s="29" t="n">
        <f aca="false">MIN(LTV*A18,LOOKUP(A18,LoanLo,LoanCap))</f>
        <v>4.24</v>
      </c>
      <c r="C18" s="30" t="n">
        <f aca="false">A18*IF(A18&lt;=6,0.01,IF(A18&lt;=9,(A18*2/3-3)/100,0.03))*(1+EduAcq)</f>
        <v>0.3498</v>
      </c>
      <c r="D18" s="30" t="n">
        <f aca="false">A18*LOOKUP(A18,FeeLo,FeeR)*(1+VAT)+EtcBuy</f>
        <v>0.0783</v>
      </c>
      <c r="E18" s="29" t="n">
        <f aca="false">A18-B18+C18+D18</f>
        <v>6.7881</v>
      </c>
    </row>
    <row r="19" customFormat="false" ht="15" hidden="false" customHeight="false" outlineLevel="0" collapsed="false">
      <c r="A19" s="41" t="n">
        <f aca="false">ROUND(A18+0.1,1)</f>
        <v>10.7</v>
      </c>
      <c r="B19" s="29" t="n">
        <f aca="false">MIN(LTV*A19,LOOKUP(A19,LoanLo,LoanCap))</f>
        <v>4.28</v>
      </c>
      <c r="C19" s="30" t="n">
        <f aca="false">A19*IF(A19&lt;=6,0.01,IF(A19&lt;=9,(A19*2/3-3)/100,0.03))*(1+EduAcq)</f>
        <v>0.3531</v>
      </c>
      <c r="D19" s="30" t="n">
        <f aca="false">A19*LOOKUP(A19,FeeLo,FeeR)*(1+VAT)+EtcBuy</f>
        <v>0.07885</v>
      </c>
      <c r="E19" s="29" t="n">
        <f aca="false">A19-B19+C19+D19</f>
        <v>6.85195</v>
      </c>
    </row>
    <row r="20" customFormat="false" ht="15" hidden="false" customHeight="false" outlineLevel="0" collapsed="false">
      <c r="A20" s="41" t="n">
        <f aca="false">ROUND(A19+0.1,1)</f>
        <v>10.8</v>
      </c>
      <c r="B20" s="29" t="n">
        <f aca="false">MIN(LTV*A20,LOOKUP(A20,LoanLo,LoanCap))</f>
        <v>4.32</v>
      </c>
      <c r="C20" s="30" t="n">
        <f aca="false">A20*IF(A20&lt;=6,0.01,IF(A20&lt;=9,(A20*2/3-3)/100,0.03))*(1+EduAcq)</f>
        <v>0.3564</v>
      </c>
      <c r="D20" s="30" t="n">
        <f aca="false">A20*LOOKUP(A20,FeeLo,FeeR)*(1+VAT)+EtcBuy</f>
        <v>0.0794</v>
      </c>
      <c r="E20" s="29" t="n">
        <f aca="false">A20-B20+C20+D20</f>
        <v>6.9158</v>
      </c>
    </row>
    <row r="21" customFormat="false" ht="15" hidden="false" customHeight="false" outlineLevel="0" collapsed="false">
      <c r="A21" s="41" t="n">
        <f aca="false">ROUND(A20+0.1,1)</f>
        <v>10.9</v>
      </c>
      <c r="B21" s="29" t="n">
        <f aca="false">MIN(LTV*A21,LOOKUP(A21,LoanLo,LoanCap))</f>
        <v>4.36</v>
      </c>
      <c r="C21" s="30" t="n">
        <f aca="false">A21*IF(A21&lt;=6,0.01,IF(A21&lt;=9,(A21*2/3-3)/100,0.03))*(1+EduAcq)</f>
        <v>0.3597</v>
      </c>
      <c r="D21" s="30" t="n">
        <f aca="false">A21*LOOKUP(A21,FeeLo,FeeR)*(1+VAT)+EtcBuy</f>
        <v>0.07995</v>
      </c>
      <c r="E21" s="29" t="n">
        <f aca="false">A21-B21+C21+D21</f>
        <v>6.97965</v>
      </c>
    </row>
    <row r="22" customFormat="false" ht="15" hidden="false" customHeight="false" outlineLevel="0" collapsed="false">
      <c r="A22" s="41" t="n">
        <f aca="false">ROUND(A21+0.1,1)</f>
        <v>11</v>
      </c>
      <c r="B22" s="29" t="n">
        <f aca="false">MIN(LTV*A22,LOOKUP(A22,LoanLo,LoanCap))</f>
        <v>4.4</v>
      </c>
      <c r="C22" s="30" t="n">
        <f aca="false">A22*IF(A22&lt;=6,0.01,IF(A22&lt;=9,(A22*2/3-3)/100,0.03))*(1+EduAcq)</f>
        <v>0.363</v>
      </c>
      <c r="D22" s="30" t="n">
        <f aca="false">A22*LOOKUP(A22,FeeLo,FeeR)*(1+VAT)+EtcBuy</f>
        <v>0.0805</v>
      </c>
      <c r="E22" s="29" t="n">
        <f aca="false">A22-B22+C22+D22</f>
        <v>7.0435</v>
      </c>
    </row>
    <row r="23" customFormat="false" ht="15" hidden="false" customHeight="false" outlineLevel="0" collapsed="false">
      <c r="A23" s="41" t="n">
        <f aca="false">ROUND(A22+0.1,1)</f>
        <v>11.1</v>
      </c>
      <c r="B23" s="29" t="n">
        <f aca="false">MIN(LTV*A23,LOOKUP(A23,LoanLo,LoanCap))</f>
        <v>4.44</v>
      </c>
      <c r="C23" s="30" t="n">
        <f aca="false">A23*IF(A23&lt;=6,0.01,IF(A23&lt;=9,(A23*2/3-3)/100,0.03))*(1+EduAcq)</f>
        <v>0.3663</v>
      </c>
      <c r="D23" s="30" t="n">
        <f aca="false">A23*LOOKUP(A23,FeeLo,FeeR)*(1+VAT)+EtcBuy</f>
        <v>0.08105</v>
      </c>
      <c r="E23" s="29" t="n">
        <f aca="false">A23-B23+C23+D23</f>
        <v>7.10735</v>
      </c>
    </row>
    <row r="24" customFormat="false" ht="15" hidden="false" customHeight="false" outlineLevel="0" collapsed="false">
      <c r="A24" s="41" t="n">
        <f aca="false">ROUND(A23+0.1,1)</f>
        <v>11.2</v>
      </c>
      <c r="B24" s="29" t="n">
        <f aca="false">MIN(LTV*A24,LOOKUP(A24,LoanLo,LoanCap))</f>
        <v>4.48</v>
      </c>
      <c r="C24" s="30" t="n">
        <f aca="false">A24*IF(A24&lt;=6,0.01,IF(A24&lt;=9,(A24*2/3-3)/100,0.03))*(1+EduAcq)</f>
        <v>0.3696</v>
      </c>
      <c r="D24" s="30" t="n">
        <f aca="false">A24*LOOKUP(A24,FeeLo,FeeR)*(1+VAT)+EtcBuy</f>
        <v>0.0816</v>
      </c>
      <c r="E24" s="29" t="n">
        <f aca="false">A24-B24+C24+D24</f>
        <v>7.1712</v>
      </c>
    </row>
    <row r="25" customFormat="false" ht="15" hidden="false" customHeight="false" outlineLevel="0" collapsed="false">
      <c r="A25" s="41" t="n">
        <f aca="false">ROUND(A24+0.1,1)</f>
        <v>11.3</v>
      </c>
      <c r="B25" s="29" t="n">
        <f aca="false">MIN(LTV*A25,LOOKUP(A25,LoanLo,LoanCap))</f>
        <v>4.52</v>
      </c>
      <c r="C25" s="30" t="n">
        <f aca="false">A25*IF(A25&lt;=6,0.01,IF(A25&lt;=9,(A25*2/3-3)/100,0.03))*(1+EduAcq)</f>
        <v>0.3729</v>
      </c>
      <c r="D25" s="30" t="n">
        <f aca="false">A25*LOOKUP(A25,FeeLo,FeeR)*(1+VAT)+EtcBuy</f>
        <v>0.08215</v>
      </c>
      <c r="E25" s="29" t="n">
        <f aca="false">A25-B25+C25+D25</f>
        <v>7.23505</v>
      </c>
    </row>
    <row r="26" customFormat="false" ht="15" hidden="false" customHeight="false" outlineLevel="0" collapsed="false">
      <c r="A26" s="41" t="n">
        <f aca="false">ROUND(A25+0.1,1)</f>
        <v>11.4</v>
      </c>
      <c r="B26" s="29" t="n">
        <f aca="false">MIN(LTV*A26,LOOKUP(A26,LoanLo,LoanCap))</f>
        <v>4.56</v>
      </c>
      <c r="C26" s="30" t="n">
        <f aca="false">A26*IF(A26&lt;=6,0.01,IF(A26&lt;=9,(A26*2/3-3)/100,0.03))*(1+EduAcq)</f>
        <v>0.3762</v>
      </c>
      <c r="D26" s="30" t="n">
        <f aca="false">A26*LOOKUP(A26,FeeLo,FeeR)*(1+VAT)+EtcBuy</f>
        <v>0.0827</v>
      </c>
      <c r="E26" s="29" t="n">
        <f aca="false">A26-B26+C26+D26</f>
        <v>7.2989</v>
      </c>
    </row>
    <row r="27" customFormat="false" ht="15" hidden="false" customHeight="false" outlineLevel="0" collapsed="false">
      <c r="A27" s="41" t="n">
        <f aca="false">ROUND(A26+0.1,1)</f>
        <v>11.5</v>
      </c>
      <c r="B27" s="29" t="n">
        <f aca="false">MIN(LTV*A27,LOOKUP(A27,LoanLo,LoanCap))</f>
        <v>4.6</v>
      </c>
      <c r="C27" s="30" t="n">
        <f aca="false">A27*IF(A27&lt;=6,0.01,IF(A27&lt;=9,(A27*2/3-3)/100,0.03))*(1+EduAcq)</f>
        <v>0.3795</v>
      </c>
      <c r="D27" s="30" t="n">
        <f aca="false">A27*LOOKUP(A27,FeeLo,FeeR)*(1+VAT)+EtcBuy</f>
        <v>0.08325</v>
      </c>
      <c r="E27" s="29" t="n">
        <f aca="false">A27-B27+C27+D27</f>
        <v>7.36275</v>
      </c>
    </row>
    <row r="28" customFormat="false" ht="15" hidden="false" customHeight="false" outlineLevel="0" collapsed="false">
      <c r="A28" s="41" t="n">
        <f aca="false">ROUND(A27+0.1,1)</f>
        <v>11.6</v>
      </c>
      <c r="B28" s="29" t="n">
        <f aca="false">MIN(LTV*A28,LOOKUP(A28,LoanLo,LoanCap))</f>
        <v>4.64</v>
      </c>
      <c r="C28" s="30" t="n">
        <f aca="false">A28*IF(A28&lt;=6,0.01,IF(A28&lt;=9,(A28*2/3-3)/100,0.03))*(1+EduAcq)</f>
        <v>0.3828</v>
      </c>
      <c r="D28" s="30" t="n">
        <f aca="false">A28*LOOKUP(A28,FeeLo,FeeR)*(1+VAT)+EtcBuy</f>
        <v>0.0838</v>
      </c>
      <c r="E28" s="29" t="n">
        <f aca="false">A28-B28+C28+D28</f>
        <v>7.4266</v>
      </c>
    </row>
    <row r="29" customFormat="false" ht="15" hidden="false" customHeight="false" outlineLevel="0" collapsed="false">
      <c r="A29" s="41" t="n">
        <f aca="false">ROUND(A28+0.1,1)</f>
        <v>11.7</v>
      </c>
      <c r="B29" s="29" t="n">
        <f aca="false">MIN(LTV*A29,LOOKUP(A29,LoanLo,LoanCap))</f>
        <v>4.68</v>
      </c>
      <c r="C29" s="30" t="n">
        <f aca="false">A29*IF(A29&lt;=6,0.01,IF(A29&lt;=9,(A29*2/3-3)/100,0.03))*(1+EduAcq)</f>
        <v>0.3861</v>
      </c>
      <c r="D29" s="30" t="n">
        <f aca="false">A29*LOOKUP(A29,FeeLo,FeeR)*(1+VAT)+EtcBuy</f>
        <v>0.08435</v>
      </c>
      <c r="E29" s="29" t="n">
        <f aca="false">A29-B29+C29+D29</f>
        <v>7.49045</v>
      </c>
    </row>
    <row r="30" customFormat="false" ht="15" hidden="false" customHeight="false" outlineLevel="0" collapsed="false">
      <c r="A30" s="41" t="n">
        <f aca="false">ROUND(A29+0.1,1)</f>
        <v>11.8</v>
      </c>
      <c r="B30" s="29" t="n">
        <f aca="false">MIN(LTV*A30,LOOKUP(A30,LoanLo,LoanCap))</f>
        <v>4.72</v>
      </c>
      <c r="C30" s="30" t="n">
        <f aca="false">A30*IF(A30&lt;=6,0.01,IF(A30&lt;=9,(A30*2/3-3)/100,0.03))*(1+EduAcq)</f>
        <v>0.3894</v>
      </c>
      <c r="D30" s="30" t="n">
        <f aca="false">A30*LOOKUP(A30,FeeLo,FeeR)*(1+VAT)+EtcBuy</f>
        <v>0.0849</v>
      </c>
      <c r="E30" s="29" t="n">
        <f aca="false">A30-B30+C30+D30</f>
        <v>7.5543</v>
      </c>
    </row>
    <row r="31" customFormat="false" ht="15" hidden="false" customHeight="false" outlineLevel="0" collapsed="false">
      <c r="A31" s="41" t="n">
        <f aca="false">ROUND(A30+0.1,1)</f>
        <v>11.9</v>
      </c>
      <c r="B31" s="29" t="n">
        <f aca="false">MIN(LTV*A31,LOOKUP(A31,LoanLo,LoanCap))</f>
        <v>4.76</v>
      </c>
      <c r="C31" s="30" t="n">
        <f aca="false">A31*IF(A31&lt;=6,0.01,IF(A31&lt;=9,(A31*2/3-3)/100,0.03))*(1+EduAcq)</f>
        <v>0.3927</v>
      </c>
      <c r="D31" s="30" t="n">
        <f aca="false">A31*LOOKUP(A31,FeeLo,FeeR)*(1+VAT)+EtcBuy</f>
        <v>0.08545</v>
      </c>
      <c r="E31" s="29" t="n">
        <f aca="false">A31-B31+C31+D31</f>
        <v>7.61815</v>
      </c>
    </row>
    <row r="32" customFormat="false" ht="15" hidden="false" customHeight="false" outlineLevel="0" collapsed="false">
      <c r="A32" s="41" t="n">
        <f aca="false">ROUND(A31+0.1,1)</f>
        <v>12</v>
      </c>
      <c r="B32" s="29" t="n">
        <f aca="false">MIN(LTV*A32,LOOKUP(A32,LoanLo,LoanCap))</f>
        <v>4.8</v>
      </c>
      <c r="C32" s="30" t="n">
        <f aca="false">A32*IF(A32&lt;=6,0.01,IF(A32&lt;=9,(A32*2/3-3)/100,0.03))*(1+EduAcq)</f>
        <v>0.396</v>
      </c>
      <c r="D32" s="30" t="n">
        <f aca="false">A32*LOOKUP(A32,FeeLo,FeeR)*(1+VAT)+EtcBuy</f>
        <v>0.0992</v>
      </c>
      <c r="E32" s="29" t="n">
        <f aca="false">A32-B32+C32+D32</f>
        <v>7.6952</v>
      </c>
    </row>
    <row r="33" customFormat="false" ht="15" hidden="false" customHeight="false" outlineLevel="0" collapsed="false">
      <c r="A33" s="41" t="n">
        <f aca="false">ROUND(A32+0.1,1)</f>
        <v>12.1</v>
      </c>
      <c r="B33" s="29" t="n">
        <f aca="false">MIN(LTV*A33,LOOKUP(A33,LoanLo,LoanCap))</f>
        <v>4.84</v>
      </c>
      <c r="C33" s="30" t="n">
        <f aca="false">A33*IF(A33&lt;=6,0.01,IF(A33&lt;=9,(A33*2/3-3)/100,0.03))*(1+EduAcq)</f>
        <v>0.3993</v>
      </c>
      <c r="D33" s="30" t="n">
        <f aca="false">A33*LOOKUP(A33,FeeLo,FeeR)*(1+VAT)+EtcBuy</f>
        <v>0.09986</v>
      </c>
      <c r="E33" s="29" t="n">
        <f aca="false">A33-B33+C33+D33</f>
        <v>7.75916</v>
      </c>
    </row>
    <row r="34" customFormat="false" ht="15" hidden="false" customHeight="false" outlineLevel="0" collapsed="false">
      <c r="A34" s="41" t="n">
        <f aca="false">ROUND(A33+0.1,1)</f>
        <v>12.2</v>
      </c>
      <c r="B34" s="29" t="n">
        <f aca="false">MIN(LTV*A34,LOOKUP(A34,LoanLo,LoanCap))</f>
        <v>4.88</v>
      </c>
      <c r="C34" s="30" t="n">
        <f aca="false">A34*IF(A34&lt;=6,0.01,IF(A34&lt;=9,(A34*2/3-3)/100,0.03))*(1+EduAcq)</f>
        <v>0.4026</v>
      </c>
      <c r="D34" s="30" t="n">
        <f aca="false">A34*LOOKUP(A34,FeeLo,FeeR)*(1+VAT)+EtcBuy</f>
        <v>0.10052</v>
      </c>
      <c r="E34" s="29" t="n">
        <f aca="false">A34-B34+C34+D34</f>
        <v>7.82312</v>
      </c>
    </row>
    <row r="35" customFormat="false" ht="15" hidden="false" customHeight="false" outlineLevel="0" collapsed="false">
      <c r="A35" s="41" t="n">
        <f aca="false">ROUND(A34+0.1,1)</f>
        <v>12.3</v>
      </c>
      <c r="B35" s="29" t="n">
        <f aca="false">MIN(LTV*A35,LOOKUP(A35,LoanLo,LoanCap))</f>
        <v>4.92</v>
      </c>
      <c r="C35" s="30" t="n">
        <f aca="false">A35*IF(A35&lt;=6,0.01,IF(A35&lt;=9,(A35*2/3-3)/100,0.03))*(1+EduAcq)</f>
        <v>0.4059</v>
      </c>
      <c r="D35" s="30" t="n">
        <f aca="false">A35*LOOKUP(A35,FeeLo,FeeR)*(1+VAT)+EtcBuy</f>
        <v>0.10118</v>
      </c>
      <c r="E35" s="29" t="n">
        <f aca="false">A35-B35+C35+D35</f>
        <v>7.88708</v>
      </c>
    </row>
    <row r="36" customFormat="false" ht="15" hidden="false" customHeight="false" outlineLevel="0" collapsed="false">
      <c r="A36" s="41" t="n">
        <f aca="false">ROUND(A35+0.1,1)</f>
        <v>12.4</v>
      </c>
      <c r="B36" s="29" t="n">
        <f aca="false">MIN(LTV*A36,LOOKUP(A36,LoanLo,LoanCap))</f>
        <v>4.96</v>
      </c>
      <c r="C36" s="30" t="n">
        <f aca="false">A36*IF(A36&lt;=6,0.01,IF(A36&lt;=9,(A36*2/3-3)/100,0.03))*(1+EduAcq)</f>
        <v>0.4092</v>
      </c>
      <c r="D36" s="30" t="n">
        <f aca="false">A36*LOOKUP(A36,FeeLo,FeeR)*(1+VAT)+EtcBuy</f>
        <v>0.10184</v>
      </c>
      <c r="E36" s="29" t="n">
        <f aca="false">A36-B36+C36+D36</f>
        <v>7.95104</v>
      </c>
    </row>
    <row r="37" customFormat="false" ht="15" hidden="false" customHeight="false" outlineLevel="0" collapsed="false">
      <c r="A37" s="41" t="n">
        <f aca="false">ROUND(A36+0.1,1)</f>
        <v>12.5</v>
      </c>
      <c r="B37" s="29" t="n">
        <f aca="false">MIN(LTV*A37,LOOKUP(A37,LoanLo,LoanCap))</f>
        <v>5</v>
      </c>
      <c r="C37" s="30" t="n">
        <f aca="false">A37*IF(A37&lt;=6,0.01,IF(A37&lt;=9,(A37*2/3-3)/100,0.03))*(1+EduAcq)</f>
        <v>0.4125</v>
      </c>
      <c r="D37" s="30" t="n">
        <f aca="false">A37*LOOKUP(A37,FeeLo,FeeR)*(1+VAT)+EtcBuy</f>
        <v>0.1025</v>
      </c>
      <c r="E37" s="29" t="n">
        <f aca="false">A37-B37+C37+D37</f>
        <v>8.015</v>
      </c>
    </row>
    <row r="38" customFormat="false" ht="15" hidden="false" customHeight="false" outlineLevel="0" collapsed="false">
      <c r="A38" s="41" t="n">
        <f aca="false">ROUND(A37+0.1,1)</f>
        <v>12.6</v>
      </c>
      <c r="B38" s="29" t="n">
        <f aca="false">MIN(LTV*A38,LOOKUP(A38,LoanLo,LoanCap))</f>
        <v>5.04</v>
      </c>
      <c r="C38" s="30" t="n">
        <f aca="false">A38*IF(A38&lt;=6,0.01,IF(A38&lt;=9,(A38*2/3-3)/100,0.03))*(1+EduAcq)</f>
        <v>0.4158</v>
      </c>
      <c r="D38" s="30" t="n">
        <f aca="false">A38*LOOKUP(A38,FeeLo,FeeR)*(1+VAT)+EtcBuy</f>
        <v>0.10316</v>
      </c>
      <c r="E38" s="29" t="n">
        <f aca="false">A38-B38+C38+D38</f>
        <v>8.07896</v>
      </c>
    </row>
    <row r="39" customFormat="false" ht="15" hidden="false" customHeight="false" outlineLevel="0" collapsed="false">
      <c r="A39" s="41" t="n">
        <f aca="false">ROUND(A38+0.1,1)</f>
        <v>12.7</v>
      </c>
      <c r="B39" s="29" t="n">
        <f aca="false">MIN(LTV*A39,LOOKUP(A39,LoanLo,LoanCap))</f>
        <v>5.08</v>
      </c>
      <c r="C39" s="30" t="n">
        <f aca="false">A39*IF(A39&lt;=6,0.01,IF(A39&lt;=9,(A39*2/3-3)/100,0.03))*(1+EduAcq)</f>
        <v>0.4191</v>
      </c>
      <c r="D39" s="30" t="n">
        <f aca="false">A39*LOOKUP(A39,FeeLo,FeeR)*(1+VAT)+EtcBuy</f>
        <v>0.10382</v>
      </c>
      <c r="E39" s="29" t="n">
        <f aca="false">A39-B39+C39+D39</f>
        <v>8.14292</v>
      </c>
    </row>
    <row r="40" customFormat="false" ht="15" hidden="false" customHeight="false" outlineLevel="0" collapsed="false">
      <c r="A40" s="41" t="n">
        <f aca="false">ROUND(A39+0.1,1)</f>
        <v>12.8</v>
      </c>
      <c r="B40" s="29" t="n">
        <f aca="false">MIN(LTV*A40,LOOKUP(A40,LoanLo,LoanCap))</f>
        <v>5.12</v>
      </c>
      <c r="C40" s="30" t="n">
        <f aca="false">A40*IF(A40&lt;=6,0.01,IF(A40&lt;=9,(A40*2/3-3)/100,0.03))*(1+EduAcq)</f>
        <v>0.4224</v>
      </c>
      <c r="D40" s="30" t="n">
        <f aca="false">A40*LOOKUP(A40,FeeLo,FeeR)*(1+VAT)+EtcBuy</f>
        <v>0.10448</v>
      </c>
      <c r="E40" s="29" t="n">
        <f aca="false">A40-B40+C40+D40</f>
        <v>8.20688</v>
      </c>
    </row>
    <row r="41" customFormat="false" ht="15" hidden="false" customHeight="false" outlineLevel="0" collapsed="false">
      <c r="A41" s="41" t="n">
        <f aca="false">ROUND(A40+0.1,1)</f>
        <v>12.9</v>
      </c>
      <c r="B41" s="29" t="n">
        <f aca="false">MIN(LTV*A41,LOOKUP(A41,LoanLo,LoanCap))</f>
        <v>5.16</v>
      </c>
      <c r="C41" s="30" t="n">
        <f aca="false">A41*IF(A41&lt;=6,0.01,IF(A41&lt;=9,(A41*2/3-3)/100,0.03))*(1+EduAcq)</f>
        <v>0.4257</v>
      </c>
      <c r="D41" s="30" t="n">
        <f aca="false">A41*LOOKUP(A41,FeeLo,FeeR)*(1+VAT)+EtcBuy</f>
        <v>0.10514</v>
      </c>
      <c r="E41" s="29" t="n">
        <f aca="false">A41-B41+C41+D41</f>
        <v>8.27084</v>
      </c>
    </row>
    <row r="42" customFormat="false" ht="15" hidden="false" customHeight="false" outlineLevel="0" collapsed="false">
      <c r="A42" s="41" t="n">
        <f aca="false">ROUND(A41+0.1,1)</f>
        <v>13</v>
      </c>
      <c r="B42" s="29" t="n">
        <f aca="false">MIN(LTV*A42,LOOKUP(A42,LoanLo,LoanCap))</f>
        <v>5.2</v>
      </c>
      <c r="C42" s="30" t="n">
        <f aca="false">A42*IF(A42&lt;=6,0.01,IF(A42&lt;=9,(A42*2/3-3)/100,0.03))*(1+EduAcq)</f>
        <v>0.429</v>
      </c>
      <c r="D42" s="30" t="n">
        <f aca="false">A42*LOOKUP(A42,FeeLo,FeeR)*(1+VAT)+EtcBuy</f>
        <v>0.1058</v>
      </c>
      <c r="E42" s="29" t="n">
        <f aca="false">A42-B42+C42+D42</f>
        <v>8.3348</v>
      </c>
    </row>
    <row r="43" customFormat="false" ht="15" hidden="false" customHeight="false" outlineLevel="0" collapsed="false">
      <c r="A43" s="41" t="n">
        <f aca="false">ROUND(A42+0.1,1)</f>
        <v>13.1</v>
      </c>
      <c r="B43" s="29" t="n">
        <f aca="false">MIN(LTV*A43,LOOKUP(A43,LoanLo,LoanCap))</f>
        <v>5.24</v>
      </c>
      <c r="C43" s="30" t="n">
        <f aca="false">A43*IF(A43&lt;=6,0.01,IF(A43&lt;=9,(A43*2/3-3)/100,0.03))*(1+EduAcq)</f>
        <v>0.4323</v>
      </c>
      <c r="D43" s="30" t="n">
        <f aca="false">A43*LOOKUP(A43,FeeLo,FeeR)*(1+VAT)+EtcBuy</f>
        <v>0.10646</v>
      </c>
      <c r="E43" s="29" t="n">
        <f aca="false">A43-B43+C43+D43</f>
        <v>8.39876</v>
      </c>
    </row>
    <row r="44" customFormat="false" ht="15" hidden="false" customHeight="false" outlineLevel="0" collapsed="false">
      <c r="A44" s="41" t="n">
        <f aca="false">ROUND(A43+0.1,1)</f>
        <v>13.2</v>
      </c>
      <c r="B44" s="29" t="n">
        <f aca="false">MIN(LTV*A44,LOOKUP(A44,LoanLo,LoanCap))</f>
        <v>5.28</v>
      </c>
      <c r="C44" s="30" t="n">
        <f aca="false">A44*IF(A44&lt;=6,0.01,IF(A44&lt;=9,(A44*2/3-3)/100,0.03))*(1+EduAcq)</f>
        <v>0.4356</v>
      </c>
      <c r="D44" s="30" t="n">
        <f aca="false">A44*LOOKUP(A44,FeeLo,FeeR)*(1+VAT)+EtcBuy</f>
        <v>0.10712</v>
      </c>
      <c r="E44" s="29" t="n">
        <f aca="false">A44-B44+C44+D44</f>
        <v>8.46272</v>
      </c>
    </row>
    <row r="45" customFormat="false" ht="15" hidden="false" customHeight="false" outlineLevel="0" collapsed="false">
      <c r="A45" s="41" t="n">
        <f aca="false">ROUND(A44+0.1,1)</f>
        <v>13.3</v>
      </c>
      <c r="B45" s="29" t="n">
        <f aca="false">MIN(LTV*A45,LOOKUP(A45,LoanLo,LoanCap))</f>
        <v>5.32</v>
      </c>
      <c r="C45" s="30" t="n">
        <f aca="false">A45*IF(A45&lt;=6,0.01,IF(A45&lt;=9,(A45*2/3-3)/100,0.03))*(1+EduAcq)</f>
        <v>0.4389</v>
      </c>
      <c r="D45" s="30" t="n">
        <f aca="false">A45*LOOKUP(A45,FeeLo,FeeR)*(1+VAT)+EtcBuy</f>
        <v>0.10778</v>
      </c>
      <c r="E45" s="29" t="n">
        <f aca="false">A45-B45+C45+D45</f>
        <v>8.52668</v>
      </c>
    </row>
    <row r="46" customFormat="false" ht="15" hidden="false" customHeight="false" outlineLevel="0" collapsed="false">
      <c r="A46" s="41" t="n">
        <f aca="false">ROUND(A45+0.1,1)</f>
        <v>13.4</v>
      </c>
      <c r="B46" s="29" t="n">
        <f aca="false">MIN(LTV*A46,LOOKUP(A46,LoanLo,LoanCap))</f>
        <v>5.36</v>
      </c>
      <c r="C46" s="30" t="n">
        <f aca="false">A46*IF(A46&lt;=6,0.01,IF(A46&lt;=9,(A46*2/3-3)/100,0.03))*(1+EduAcq)</f>
        <v>0.4422</v>
      </c>
      <c r="D46" s="30" t="n">
        <f aca="false">A46*LOOKUP(A46,FeeLo,FeeR)*(1+VAT)+EtcBuy</f>
        <v>0.10844</v>
      </c>
      <c r="E46" s="29" t="n">
        <f aca="false">A46-B46+C46+D46</f>
        <v>8.59064</v>
      </c>
    </row>
    <row r="47" customFormat="false" ht="15" hidden="false" customHeight="false" outlineLevel="0" collapsed="false">
      <c r="A47" s="41" t="n">
        <f aca="false">ROUND(A46+0.1,1)</f>
        <v>13.5</v>
      </c>
      <c r="B47" s="29" t="n">
        <f aca="false">MIN(LTV*A47,LOOKUP(A47,LoanLo,LoanCap))</f>
        <v>5.4</v>
      </c>
      <c r="C47" s="30" t="n">
        <f aca="false">A47*IF(A47&lt;=6,0.01,IF(A47&lt;=9,(A47*2/3-3)/100,0.03))*(1+EduAcq)</f>
        <v>0.4455</v>
      </c>
      <c r="D47" s="30" t="n">
        <f aca="false">A47*LOOKUP(A47,FeeLo,FeeR)*(1+VAT)+EtcBuy</f>
        <v>0.1091</v>
      </c>
      <c r="E47" s="29" t="n">
        <f aca="false">A47-B47+C47+D47</f>
        <v>8.6546</v>
      </c>
    </row>
    <row r="48" customFormat="false" ht="15" hidden="false" customHeight="false" outlineLevel="0" collapsed="false">
      <c r="A48" s="41" t="n">
        <f aca="false">ROUND(A47+0.1,1)</f>
        <v>13.6</v>
      </c>
      <c r="B48" s="29" t="n">
        <f aca="false">MIN(LTV*A48,LOOKUP(A48,LoanLo,LoanCap))</f>
        <v>5.44</v>
      </c>
      <c r="C48" s="30" t="n">
        <f aca="false">A48*IF(A48&lt;=6,0.01,IF(A48&lt;=9,(A48*2/3-3)/100,0.03))*(1+EduAcq)</f>
        <v>0.4488</v>
      </c>
      <c r="D48" s="30" t="n">
        <f aca="false">A48*LOOKUP(A48,FeeLo,FeeR)*(1+VAT)+EtcBuy</f>
        <v>0.10976</v>
      </c>
      <c r="E48" s="29" t="n">
        <f aca="false">A48-B48+C48+D48</f>
        <v>8.71856</v>
      </c>
    </row>
    <row r="49" customFormat="false" ht="15" hidden="false" customHeight="false" outlineLevel="0" collapsed="false">
      <c r="A49" s="41" t="n">
        <f aca="false">ROUND(A48+0.1,1)</f>
        <v>13.7</v>
      </c>
      <c r="B49" s="29" t="n">
        <f aca="false">MIN(LTV*A49,LOOKUP(A49,LoanLo,LoanCap))</f>
        <v>5.48</v>
      </c>
      <c r="C49" s="30" t="n">
        <f aca="false">A49*IF(A49&lt;=6,0.01,IF(A49&lt;=9,(A49*2/3-3)/100,0.03))*(1+EduAcq)</f>
        <v>0.4521</v>
      </c>
      <c r="D49" s="30" t="n">
        <f aca="false">A49*LOOKUP(A49,FeeLo,FeeR)*(1+VAT)+EtcBuy</f>
        <v>0.11042</v>
      </c>
      <c r="E49" s="29" t="n">
        <f aca="false">A49-B49+C49+D49</f>
        <v>8.78252</v>
      </c>
    </row>
    <row r="50" customFormat="false" ht="15" hidden="false" customHeight="false" outlineLevel="0" collapsed="false">
      <c r="A50" s="41" t="n">
        <f aca="false">ROUND(A49+0.1,1)</f>
        <v>13.8</v>
      </c>
      <c r="B50" s="29" t="n">
        <f aca="false">MIN(LTV*A50,LOOKUP(A50,LoanLo,LoanCap))</f>
        <v>5.52</v>
      </c>
      <c r="C50" s="30" t="n">
        <f aca="false">A50*IF(A50&lt;=6,0.01,IF(A50&lt;=9,(A50*2/3-3)/100,0.03))*(1+EduAcq)</f>
        <v>0.4554</v>
      </c>
      <c r="D50" s="30" t="n">
        <f aca="false">A50*LOOKUP(A50,FeeLo,FeeR)*(1+VAT)+EtcBuy</f>
        <v>0.11108</v>
      </c>
      <c r="E50" s="29" t="n">
        <f aca="false">A50-B50+C50+D50</f>
        <v>8.84648</v>
      </c>
    </row>
    <row r="51" customFormat="false" ht="15" hidden="false" customHeight="false" outlineLevel="0" collapsed="false">
      <c r="A51" s="41" t="n">
        <f aca="false">ROUND(A50+0.1,1)</f>
        <v>13.9</v>
      </c>
      <c r="B51" s="29" t="n">
        <f aca="false">MIN(LTV*A51,LOOKUP(A51,LoanLo,LoanCap))</f>
        <v>5.56</v>
      </c>
      <c r="C51" s="30" t="n">
        <f aca="false">A51*IF(A51&lt;=6,0.01,IF(A51&lt;=9,(A51*2/3-3)/100,0.03))*(1+EduAcq)</f>
        <v>0.4587</v>
      </c>
      <c r="D51" s="30" t="n">
        <f aca="false">A51*LOOKUP(A51,FeeLo,FeeR)*(1+VAT)+EtcBuy</f>
        <v>0.11174</v>
      </c>
      <c r="E51" s="29" t="n">
        <f aca="false">A51-B51+C51+D51</f>
        <v>8.91044</v>
      </c>
    </row>
    <row r="52" customFormat="false" ht="15" hidden="false" customHeight="false" outlineLevel="0" collapsed="false">
      <c r="A52" s="41" t="n">
        <f aca="false">ROUND(A51+0.1,1)</f>
        <v>14</v>
      </c>
      <c r="B52" s="29" t="n">
        <f aca="false">MIN(LTV*A52,LOOKUP(A52,LoanLo,LoanCap))</f>
        <v>5.6</v>
      </c>
      <c r="C52" s="30" t="n">
        <f aca="false">A52*IF(A52&lt;=6,0.01,IF(A52&lt;=9,(A52*2/3-3)/100,0.03))*(1+EduAcq)</f>
        <v>0.462</v>
      </c>
      <c r="D52" s="30" t="n">
        <f aca="false">A52*LOOKUP(A52,FeeLo,FeeR)*(1+VAT)+EtcBuy</f>
        <v>0.1124</v>
      </c>
      <c r="E52" s="29" t="n">
        <f aca="false">A52-B52+C52+D52</f>
        <v>8.9744</v>
      </c>
    </row>
    <row r="53" customFormat="false" ht="15" hidden="false" customHeight="false" outlineLevel="0" collapsed="false">
      <c r="A53" s="41" t="n">
        <f aca="false">ROUND(A52+0.1,1)</f>
        <v>14.1</v>
      </c>
      <c r="B53" s="29" t="n">
        <f aca="false">MIN(LTV*A53,LOOKUP(A53,LoanLo,LoanCap))</f>
        <v>5.64</v>
      </c>
      <c r="C53" s="30" t="n">
        <f aca="false">A53*IF(A53&lt;=6,0.01,IF(A53&lt;=9,(A53*2/3-3)/100,0.03))*(1+EduAcq)</f>
        <v>0.4653</v>
      </c>
      <c r="D53" s="30" t="n">
        <f aca="false">A53*LOOKUP(A53,FeeLo,FeeR)*(1+VAT)+EtcBuy</f>
        <v>0.11306</v>
      </c>
      <c r="E53" s="29" t="n">
        <f aca="false">A53-B53+C53+D53</f>
        <v>9.03836</v>
      </c>
    </row>
    <row r="54" customFormat="false" ht="15" hidden="false" customHeight="false" outlineLevel="0" collapsed="false">
      <c r="A54" s="41" t="n">
        <f aca="false">ROUND(A53+0.1,1)</f>
        <v>14.2</v>
      </c>
      <c r="B54" s="29" t="n">
        <f aca="false">MIN(LTV*A54,LOOKUP(A54,LoanLo,LoanCap))</f>
        <v>5.68</v>
      </c>
      <c r="C54" s="30" t="n">
        <f aca="false">A54*IF(A54&lt;=6,0.01,IF(A54&lt;=9,(A54*2/3-3)/100,0.03))*(1+EduAcq)</f>
        <v>0.4686</v>
      </c>
      <c r="D54" s="30" t="n">
        <f aca="false">A54*LOOKUP(A54,FeeLo,FeeR)*(1+VAT)+EtcBuy</f>
        <v>0.11372</v>
      </c>
      <c r="E54" s="29" t="n">
        <f aca="false">A54-B54+C54+D54</f>
        <v>9.10232</v>
      </c>
    </row>
    <row r="55" customFormat="false" ht="15" hidden="false" customHeight="false" outlineLevel="0" collapsed="false">
      <c r="A55" s="41" t="n">
        <f aca="false">ROUND(A54+0.1,1)</f>
        <v>14.3</v>
      </c>
      <c r="B55" s="29" t="n">
        <f aca="false">MIN(LTV*A55,LOOKUP(A55,LoanLo,LoanCap))</f>
        <v>5.72</v>
      </c>
      <c r="C55" s="30" t="n">
        <f aca="false">A55*IF(A55&lt;=6,0.01,IF(A55&lt;=9,(A55*2/3-3)/100,0.03))*(1+EduAcq)</f>
        <v>0.4719</v>
      </c>
      <c r="D55" s="30" t="n">
        <f aca="false">A55*LOOKUP(A55,FeeLo,FeeR)*(1+VAT)+EtcBuy</f>
        <v>0.11438</v>
      </c>
      <c r="E55" s="29" t="n">
        <f aca="false">A55-B55+C55+D55</f>
        <v>9.16628</v>
      </c>
    </row>
    <row r="56" customFormat="false" ht="15" hidden="false" customHeight="false" outlineLevel="0" collapsed="false">
      <c r="A56" s="41" t="n">
        <f aca="false">ROUND(A55+0.1,1)</f>
        <v>14.4</v>
      </c>
      <c r="B56" s="29" t="n">
        <f aca="false">MIN(LTV*A56,LOOKUP(A56,LoanLo,LoanCap))</f>
        <v>5.76</v>
      </c>
      <c r="C56" s="30" t="n">
        <f aca="false">A56*IF(A56&lt;=6,0.01,IF(A56&lt;=9,(A56*2/3-3)/100,0.03))*(1+EduAcq)</f>
        <v>0.4752</v>
      </c>
      <c r="D56" s="30" t="n">
        <f aca="false">A56*LOOKUP(A56,FeeLo,FeeR)*(1+VAT)+EtcBuy</f>
        <v>0.11504</v>
      </c>
      <c r="E56" s="29" t="n">
        <f aca="false">A56-B56+C56+D56</f>
        <v>9.23024</v>
      </c>
    </row>
    <row r="57" customFormat="false" ht="15" hidden="false" customHeight="false" outlineLevel="0" collapsed="false">
      <c r="A57" s="41" t="n">
        <f aca="false">ROUND(A56+0.1,1)</f>
        <v>14.5</v>
      </c>
      <c r="B57" s="29" t="n">
        <f aca="false">MIN(LTV*A57,LOOKUP(A57,LoanLo,LoanCap))</f>
        <v>5.8</v>
      </c>
      <c r="C57" s="30" t="n">
        <f aca="false">A57*IF(A57&lt;=6,0.01,IF(A57&lt;=9,(A57*2/3-3)/100,0.03))*(1+EduAcq)</f>
        <v>0.4785</v>
      </c>
      <c r="D57" s="30" t="n">
        <f aca="false">A57*LOOKUP(A57,FeeLo,FeeR)*(1+VAT)+EtcBuy</f>
        <v>0.1157</v>
      </c>
      <c r="E57" s="29" t="n">
        <f aca="false">A57-B57+C57+D57</f>
        <v>9.2942</v>
      </c>
    </row>
    <row r="58" customFormat="false" ht="15" hidden="false" customHeight="false" outlineLevel="0" collapsed="false">
      <c r="A58" s="41" t="n">
        <f aca="false">ROUND(A57+0.1,1)</f>
        <v>14.6</v>
      </c>
      <c r="B58" s="29" t="n">
        <f aca="false">MIN(LTV*A58,LOOKUP(A58,LoanLo,LoanCap))</f>
        <v>5.84</v>
      </c>
      <c r="C58" s="30" t="n">
        <f aca="false">A58*IF(A58&lt;=6,0.01,IF(A58&lt;=9,(A58*2/3-3)/100,0.03))*(1+EduAcq)</f>
        <v>0.4818</v>
      </c>
      <c r="D58" s="30" t="n">
        <f aca="false">A58*LOOKUP(A58,FeeLo,FeeR)*(1+VAT)+EtcBuy</f>
        <v>0.11636</v>
      </c>
      <c r="E58" s="29" t="n">
        <f aca="false">A58-B58+C58+D58</f>
        <v>9.35816</v>
      </c>
    </row>
    <row r="59" customFormat="false" ht="15" hidden="false" customHeight="false" outlineLevel="0" collapsed="false">
      <c r="A59" s="41" t="n">
        <f aca="false">ROUND(A58+0.1,1)</f>
        <v>14.7</v>
      </c>
      <c r="B59" s="29" t="n">
        <f aca="false">MIN(LTV*A59,LOOKUP(A59,LoanLo,LoanCap))</f>
        <v>5.88</v>
      </c>
      <c r="C59" s="30" t="n">
        <f aca="false">A59*IF(A59&lt;=6,0.01,IF(A59&lt;=9,(A59*2/3-3)/100,0.03))*(1+EduAcq)</f>
        <v>0.4851</v>
      </c>
      <c r="D59" s="30" t="n">
        <f aca="false">A59*LOOKUP(A59,FeeLo,FeeR)*(1+VAT)+EtcBuy</f>
        <v>0.11702</v>
      </c>
      <c r="E59" s="29" t="n">
        <f aca="false">A59-B59+C59+D59</f>
        <v>9.42212</v>
      </c>
    </row>
    <row r="60" customFormat="false" ht="15" hidden="false" customHeight="false" outlineLevel="0" collapsed="false">
      <c r="A60" s="41" t="n">
        <f aca="false">ROUND(A59+0.1,1)</f>
        <v>14.8</v>
      </c>
      <c r="B60" s="29" t="n">
        <f aca="false">MIN(LTV*A60,LOOKUP(A60,LoanLo,LoanCap))</f>
        <v>5.92</v>
      </c>
      <c r="C60" s="30" t="n">
        <f aca="false">A60*IF(A60&lt;=6,0.01,IF(A60&lt;=9,(A60*2/3-3)/100,0.03))*(1+EduAcq)</f>
        <v>0.4884</v>
      </c>
      <c r="D60" s="30" t="n">
        <f aca="false">A60*LOOKUP(A60,FeeLo,FeeR)*(1+VAT)+EtcBuy</f>
        <v>0.11768</v>
      </c>
      <c r="E60" s="29" t="n">
        <f aca="false">A60-B60+C60+D60</f>
        <v>9.48608</v>
      </c>
    </row>
    <row r="61" customFormat="false" ht="15" hidden="false" customHeight="false" outlineLevel="0" collapsed="false">
      <c r="A61" s="41" t="n">
        <f aca="false">ROUND(A60+0.1,1)</f>
        <v>14.9</v>
      </c>
      <c r="B61" s="29" t="n">
        <f aca="false">MIN(LTV*A61,LOOKUP(A61,LoanLo,LoanCap))</f>
        <v>5.96</v>
      </c>
      <c r="C61" s="30" t="n">
        <f aca="false">A61*IF(A61&lt;=6,0.01,IF(A61&lt;=9,(A61*2/3-3)/100,0.03))*(1+EduAcq)</f>
        <v>0.4917</v>
      </c>
      <c r="D61" s="30" t="n">
        <f aca="false">A61*LOOKUP(A61,FeeLo,FeeR)*(1+VAT)+EtcBuy</f>
        <v>0.11834</v>
      </c>
      <c r="E61" s="29" t="n">
        <f aca="false">A61-B61+C61+D61</f>
        <v>9.55004</v>
      </c>
    </row>
    <row r="62" customFormat="false" ht="15" hidden="false" customHeight="false" outlineLevel="0" collapsed="false">
      <c r="A62" s="41" t="n">
        <f aca="false">ROUND(A61+0.1,1)</f>
        <v>15</v>
      </c>
      <c r="B62" s="29" t="n">
        <f aca="false">MIN(LTV*A62,LOOKUP(A62,LoanLo,LoanCap))</f>
        <v>6</v>
      </c>
      <c r="C62" s="30" t="n">
        <f aca="false">A62*IF(A62&lt;=6,0.01,IF(A62&lt;=9,(A62*2/3-3)/100,0.03))*(1+EduAcq)</f>
        <v>0.495</v>
      </c>
      <c r="D62" s="30" t="n">
        <f aca="false">A62*LOOKUP(A62,FeeLo,FeeR)*(1+VAT)+EtcBuy</f>
        <v>0.1355</v>
      </c>
      <c r="E62" s="29" t="n">
        <f aca="false">A62-B62+C62+D62</f>
        <v>9.6305</v>
      </c>
    </row>
    <row r="63" customFormat="false" ht="15" hidden="false" customHeight="false" outlineLevel="0" collapsed="false">
      <c r="A63" s="41" t="n">
        <f aca="false">ROUND(A62+0.1,1)</f>
        <v>15.1</v>
      </c>
      <c r="B63" s="29" t="n">
        <f aca="false">MIN(LTV*A63,LOOKUP(A63,LoanLo,LoanCap))</f>
        <v>4</v>
      </c>
      <c r="C63" s="30" t="n">
        <f aca="false">A63*IF(A63&lt;=6,0.01,IF(A63&lt;=9,(A63*2/3-3)/100,0.03))*(1+EduAcq)</f>
        <v>0.4983</v>
      </c>
      <c r="D63" s="30" t="n">
        <f aca="false">A63*LOOKUP(A63,FeeLo,FeeR)*(1+VAT)+EtcBuy</f>
        <v>0.13627</v>
      </c>
      <c r="E63" s="29" t="n">
        <f aca="false">A63-B63+C63+D63</f>
        <v>11.73457</v>
      </c>
    </row>
    <row r="64" customFormat="false" ht="15" hidden="false" customHeight="false" outlineLevel="0" collapsed="false">
      <c r="A64" s="41" t="n">
        <f aca="false">ROUND(A63+0.1,1)</f>
        <v>15.2</v>
      </c>
      <c r="B64" s="29" t="n">
        <f aca="false">MIN(LTV*A64,LOOKUP(A64,LoanLo,LoanCap))</f>
        <v>4</v>
      </c>
      <c r="C64" s="30" t="n">
        <f aca="false">A64*IF(A64&lt;=6,0.01,IF(A64&lt;=9,(A64*2/3-3)/100,0.03))*(1+EduAcq)</f>
        <v>0.5016</v>
      </c>
      <c r="D64" s="30" t="n">
        <f aca="false">A64*LOOKUP(A64,FeeLo,FeeR)*(1+VAT)+EtcBuy</f>
        <v>0.13704</v>
      </c>
      <c r="E64" s="29" t="n">
        <f aca="false">A64-B64+C64+D64</f>
        <v>11.83864</v>
      </c>
    </row>
    <row r="65" customFormat="false" ht="15" hidden="false" customHeight="false" outlineLevel="0" collapsed="false">
      <c r="A65" s="41" t="n">
        <f aca="false">ROUND(A64+0.1,1)</f>
        <v>15.3</v>
      </c>
      <c r="B65" s="29" t="n">
        <f aca="false">MIN(LTV*A65,LOOKUP(A65,LoanLo,LoanCap))</f>
        <v>4</v>
      </c>
      <c r="C65" s="30" t="n">
        <f aca="false">A65*IF(A65&lt;=6,0.01,IF(A65&lt;=9,(A65*2/3-3)/100,0.03))*(1+EduAcq)</f>
        <v>0.5049</v>
      </c>
      <c r="D65" s="30" t="n">
        <f aca="false">A65*LOOKUP(A65,FeeLo,FeeR)*(1+VAT)+EtcBuy</f>
        <v>0.13781</v>
      </c>
      <c r="E65" s="29" t="n">
        <f aca="false">A65-B65+C65+D65</f>
        <v>11.94271</v>
      </c>
    </row>
    <row r="66" customFormat="false" ht="15" hidden="false" customHeight="false" outlineLevel="0" collapsed="false">
      <c r="A66" s="41" t="n">
        <f aca="false">ROUND(A65+0.1,1)</f>
        <v>15.4</v>
      </c>
      <c r="B66" s="29" t="n">
        <f aca="false">MIN(LTV*A66,LOOKUP(A66,LoanLo,LoanCap))</f>
        <v>4</v>
      </c>
      <c r="C66" s="30" t="n">
        <f aca="false">A66*IF(A66&lt;=6,0.01,IF(A66&lt;=9,(A66*2/3-3)/100,0.03))*(1+EduAcq)</f>
        <v>0.5082</v>
      </c>
      <c r="D66" s="30" t="n">
        <f aca="false">A66*LOOKUP(A66,FeeLo,FeeR)*(1+VAT)+EtcBuy</f>
        <v>0.13858</v>
      </c>
      <c r="E66" s="29" t="n">
        <f aca="false">A66-B66+C66+D66</f>
        <v>12.04678</v>
      </c>
    </row>
    <row r="67" customFormat="false" ht="15" hidden="false" customHeight="false" outlineLevel="0" collapsed="false">
      <c r="A67" s="41" t="n">
        <f aca="false">ROUND(A66+0.1,1)</f>
        <v>15.5</v>
      </c>
      <c r="B67" s="29" t="n">
        <f aca="false">MIN(LTV*A67,LOOKUP(A67,LoanLo,LoanCap))</f>
        <v>4</v>
      </c>
      <c r="C67" s="30" t="n">
        <f aca="false">A67*IF(A67&lt;=6,0.01,IF(A67&lt;=9,(A67*2/3-3)/100,0.03))*(1+EduAcq)</f>
        <v>0.5115</v>
      </c>
      <c r="D67" s="30" t="n">
        <f aca="false">A67*LOOKUP(A67,FeeLo,FeeR)*(1+VAT)+EtcBuy</f>
        <v>0.13935</v>
      </c>
      <c r="E67" s="29" t="n">
        <f aca="false">A67-B67+C67+D67</f>
        <v>12.15085</v>
      </c>
    </row>
    <row r="68" customFormat="false" ht="15" hidden="false" customHeight="false" outlineLevel="0" collapsed="false">
      <c r="A68" s="41" t="n">
        <f aca="false">ROUND(A67+0.1,1)</f>
        <v>15.6</v>
      </c>
      <c r="B68" s="29" t="n">
        <f aca="false">MIN(LTV*A68,LOOKUP(A68,LoanLo,LoanCap))</f>
        <v>4</v>
      </c>
      <c r="C68" s="30" t="n">
        <f aca="false">A68*IF(A68&lt;=6,0.01,IF(A68&lt;=9,(A68*2/3-3)/100,0.03))*(1+EduAcq)</f>
        <v>0.5148</v>
      </c>
      <c r="D68" s="30" t="n">
        <f aca="false">A68*LOOKUP(A68,FeeLo,FeeR)*(1+VAT)+EtcBuy</f>
        <v>0.14012</v>
      </c>
      <c r="E68" s="29" t="n">
        <f aca="false">A68-B68+C68+D68</f>
        <v>12.25492</v>
      </c>
    </row>
    <row r="69" customFormat="false" ht="15" hidden="false" customHeight="false" outlineLevel="0" collapsed="false">
      <c r="A69" s="41" t="n">
        <f aca="false">ROUND(A68+0.1,1)</f>
        <v>15.7</v>
      </c>
      <c r="B69" s="29" t="n">
        <f aca="false">MIN(LTV*A69,LOOKUP(A69,LoanLo,LoanCap))</f>
        <v>4</v>
      </c>
      <c r="C69" s="30" t="n">
        <f aca="false">A69*IF(A69&lt;=6,0.01,IF(A69&lt;=9,(A69*2/3-3)/100,0.03))*(1+EduAcq)</f>
        <v>0.5181</v>
      </c>
      <c r="D69" s="30" t="n">
        <f aca="false">A69*LOOKUP(A69,FeeLo,FeeR)*(1+VAT)+EtcBuy</f>
        <v>0.14089</v>
      </c>
      <c r="E69" s="29" t="n">
        <f aca="false">A69-B69+C69+D69</f>
        <v>12.35899</v>
      </c>
    </row>
    <row r="70" customFormat="false" ht="15" hidden="false" customHeight="false" outlineLevel="0" collapsed="false">
      <c r="A70" s="41" t="n">
        <f aca="false">ROUND(A69+0.1,1)</f>
        <v>15.8</v>
      </c>
      <c r="B70" s="29" t="n">
        <f aca="false">MIN(LTV*A70,LOOKUP(A70,LoanLo,LoanCap))</f>
        <v>4</v>
      </c>
      <c r="C70" s="30" t="n">
        <f aca="false">A70*IF(A70&lt;=6,0.01,IF(A70&lt;=9,(A70*2/3-3)/100,0.03))*(1+EduAcq)</f>
        <v>0.5214</v>
      </c>
      <c r="D70" s="30" t="n">
        <f aca="false">A70*LOOKUP(A70,FeeLo,FeeR)*(1+VAT)+EtcBuy</f>
        <v>0.14166</v>
      </c>
      <c r="E70" s="29" t="n">
        <f aca="false">A70-B70+C70+D70</f>
        <v>12.46306</v>
      </c>
    </row>
    <row r="71" customFormat="false" ht="15" hidden="false" customHeight="false" outlineLevel="0" collapsed="false">
      <c r="A71" s="41" t="n">
        <f aca="false">ROUND(A70+0.1,1)</f>
        <v>15.9</v>
      </c>
      <c r="B71" s="29" t="n">
        <f aca="false">MIN(LTV*A71,LOOKUP(A71,LoanLo,LoanCap))</f>
        <v>4</v>
      </c>
      <c r="C71" s="30" t="n">
        <f aca="false">A71*IF(A71&lt;=6,0.01,IF(A71&lt;=9,(A71*2/3-3)/100,0.03))*(1+EduAcq)</f>
        <v>0.5247</v>
      </c>
      <c r="D71" s="30" t="n">
        <f aca="false">A71*LOOKUP(A71,FeeLo,FeeR)*(1+VAT)+EtcBuy</f>
        <v>0.14243</v>
      </c>
      <c r="E71" s="29" t="n">
        <f aca="false">A71-B71+C71+D71</f>
        <v>12.56713</v>
      </c>
    </row>
    <row r="72" customFormat="false" ht="15" hidden="false" customHeight="false" outlineLevel="0" collapsed="false">
      <c r="A72" s="41" t="n">
        <f aca="false">ROUND(A71+0.1,1)</f>
        <v>16</v>
      </c>
      <c r="B72" s="29" t="n">
        <f aca="false">MIN(LTV*A72,LOOKUP(A72,LoanLo,LoanCap))</f>
        <v>4</v>
      </c>
      <c r="C72" s="30" t="n">
        <f aca="false">A72*IF(A72&lt;=6,0.01,IF(A72&lt;=9,(A72*2/3-3)/100,0.03))*(1+EduAcq)</f>
        <v>0.528</v>
      </c>
      <c r="D72" s="30" t="n">
        <f aca="false">A72*LOOKUP(A72,FeeLo,FeeR)*(1+VAT)+EtcBuy</f>
        <v>0.1432</v>
      </c>
      <c r="E72" s="29" t="n">
        <f aca="false">A72-B72+C72+D72</f>
        <v>12.6712</v>
      </c>
    </row>
    <row r="73" customFormat="false" ht="15" hidden="false" customHeight="false" outlineLevel="0" collapsed="false">
      <c r="A73" s="41" t="n">
        <f aca="false">ROUND(A72+0.1,1)</f>
        <v>16.1</v>
      </c>
      <c r="B73" s="29" t="n">
        <f aca="false">MIN(LTV*A73,LOOKUP(A73,LoanLo,LoanCap))</f>
        <v>4</v>
      </c>
      <c r="C73" s="30" t="n">
        <f aca="false">A73*IF(A73&lt;=6,0.01,IF(A73&lt;=9,(A73*2/3-3)/100,0.03))*(1+EduAcq)</f>
        <v>0.5313</v>
      </c>
      <c r="D73" s="30" t="n">
        <f aca="false">A73*LOOKUP(A73,FeeLo,FeeR)*(1+VAT)+EtcBuy</f>
        <v>0.14397</v>
      </c>
      <c r="E73" s="29" t="n">
        <f aca="false">A73-B73+C73+D73</f>
        <v>12.77527</v>
      </c>
    </row>
    <row r="74" customFormat="false" ht="15" hidden="false" customHeight="false" outlineLevel="0" collapsed="false">
      <c r="A74" s="41" t="n">
        <f aca="false">ROUND(A73+0.1,1)</f>
        <v>16.2</v>
      </c>
      <c r="B74" s="29" t="n">
        <f aca="false">MIN(LTV*A74,LOOKUP(A74,LoanLo,LoanCap))</f>
        <v>4</v>
      </c>
      <c r="C74" s="30" t="n">
        <f aca="false">A74*IF(A74&lt;=6,0.01,IF(A74&lt;=9,(A74*2/3-3)/100,0.03))*(1+EduAcq)</f>
        <v>0.5346</v>
      </c>
      <c r="D74" s="30" t="n">
        <f aca="false">A74*LOOKUP(A74,FeeLo,FeeR)*(1+VAT)+EtcBuy</f>
        <v>0.14474</v>
      </c>
      <c r="E74" s="29" t="n">
        <f aca="false">A74-B74+C74+D74</f>
        <v>12.87934</v>
      </c>
    </row>
    <row r="75" customFormat="false" ht="15" hidden="false" customHeight="false" outlineLevel="0" collapsed="false">
      <c r="A75" s="41" t="n">
        <f aca="false">ROUND(A74+0.1,1)</f>
        <v>16.3</v>
      </c>
      <c r="B75" s="29" t="n">
        <f aca="false">MIN(LTV*A75,LOOKUP(A75,LoanLo,LoanCap))</f>
        <v>4</v>
      </c>
      <c r="C75" s="30" t="n">
        <f aca="false">A75*IF(A75&lt;=6,0.01,IF(A75&lt;=9,(A75*2/3-3)/100,0.03))*(1+EduAcq)</f>
        <v>0.5379</v>
      </c>
      <c r="D75" s="30" t="n">
        <f aca="false">A75*LOOKUP(A75,FeeLo,FeeR)*(1+VAT)+EtcBuy</f>
        <v>0.14551</v>
      </c>
      <c r="E75" s="29" t="n">
        <f aca="false">A75-B75+C75+D75</f>
        <v>12.98341</v>
      </c>
    </row>
    <row r="76" customFormat="false" ht="15" hidden="false" customHeight="false" outlineLevel="0" collapsed="false">
      <c r="A76" s="41" t="n">
        <f aca="false">ROUND(A75+0.1,1)</f>
        <v>16.4</v>
      </c>
      <c r="B76" s="29" t="n">
        <f aca="false">MIN(LTV*A76,LOOKUP(A76,LoanLo,LoanCap))</f>
        <v>4</v>
      </c>
      <c r="C76" s="30" t="n">
        <f aca="false">A76*IF(A76&lt;=6,0.01,IF(A76&lt;=9,(A76*2/3-3)/100,0.03))*(1+EduAcq)</f>
        <v>0.5412</v>
      </c>
      <c r="D76" s="30" t="n">
        <f aca="false">A76*LOOKUP(A76,FeeLo,FeeR)*(1+VAT)+EtcBuy</f>
        <v>0.14628</v>
      </c>
      <c r="E76" s="29" t="n">
        <f aca="false">A76-B76+C76+D76</f>
        <v>13.08748</v>
      </c>
    </row>
    <row r="77" customFormat="false" ht="15" hidden="false" customHeight="false" outlineLevel="0" collapsed="false">
      <c r="A77" s="41" t="n">
        <f aca="false">ROUND(A76+0.1,1)</f>
        <v>16.5</v>
      </c>
      <c r="B77" s="29" t="n">
        <f aca="false">MIN(LTV*A77,LOOKUP(A77,LoanLo,LoanCap))</f>
        <v>4</v>
      </c>
      <c r="C77" s="30" t="n">
        <f aca="false">A77*IF(A77&lt;=6,0.01,IF(A77&lt;=9,(A77*2/3-3)/100,0.03))*(1+EduAcq)</f>
        <v>0.5445</v>
      </c>
      <c r="D77" s="30" t="n">
        <f aca="false">A77*LOOKUP(A77,FeeLo,FeeR)*(1+VAT)+EtcBuy</f>
        <v>0.14705</v>
      </c>
      <c r="E77" s="29" t="n">
        <f aca="false">A77-B77+C77+D77</f>
        <v>13.19155</v>
      </c>
    </row>
    <row r="78" customFormat="false" ht="15" hidden="false" customHeight="false" outlineLevel="0" collapsed="false">
      <c r="A78" s="41" t="n">
        <f aca="false">ROUND(A77+0.1,1)</f>
        <v>16.6</v>
      </c>
      <c r="B78" s="29" t="n">
        <f aca="false">MIN(LTV*A78,LOOKUP(A78,LoanLo,LoanCap))</f>
        <v>4</v>
      </c>
      <c r="C78" s="30" t="n">
        <f aca="false">A78*IF(A78&lt;=6,0.01,IF(A78&lt;=9,(A78*2/3-3)/100,0.03))*(1+EduAcq)</f>
        <v>0.5478</v>
      </c>
      <c r="D78" s="30" t="n">
        <f aca="false">A78*LOOKUP(A78,FeeLo,FeeR)*(1+VAT)+EtcBuy</f>
        <v>0.14782</v>
      </c>
      <c r="E78" s="29" t="n">
        <f aca="false">A78-B78+C78+D78</f>
        <v>13.29562</v>
      </c>
    </row>
    <row r="79" customFormat="false" ht="15" hidden="false" customHeight="false" outlineLevel="0" collapsed="false">
      <c r="A79" s="41" t="n">
        <f aca="false">ROUND(A78+0.1,1)</f>
        <v>16.7</v>
      </c>
      <c r="B79" s="29" t="n">
        <f aca="false">MIN(LTV*A79,LOOKUP(A79,LoanLo,LoanCap))</f>
        <v>4</v>
      </c>
      <c r="C79" s="30" t="n">
        <f aca="false">A79*IF(A79&lt;=6,0.01,IF(A79&lt;=9,(A79*2/3-3)/100,0.03))*(1+EduAcq)</f>
        <v>0.5511</v>
      </c>
      <c r="D79" s="30" t="n">
        <f aca="false">A79*LOOKUP(A79,FeeLo,FeeR)*(1+VAT)+EtcBuy</f>
        <v>0.14859</v>
      </c>
      <c r="E79" s="29" t="n">
        <f aca="false">A79-B79+C79+D79</f>
        <v>13.39969</v>
      </c>
    </row>
    <row r="80" customFormat="false" ht="15" hidden="false" customHeight="false" outlineLevel="0" collapsed="false">
      <c r="A80" s="41" t="n">
        <f aca="false">ROUND(A79+0.1,1)</f>
        <v>16.8</v>
      </c>
      <c r="B80" s="29" t="n">
        <f aca="false">MIN(LTV*A80,LOOKUP(A80,LoanLo,LoanCap))</f>
        <v>4</v>
      </c>
      <c r="C80" s="30" t="n">
        <f aca="false">A80*IF(A80&lt;=6,0.01,IF(A80&lt;=9,(A80*2/3-3)/100,0.03))*(1+EduAcq)</f>
        <v>0.5544</v>
      </c>
      <c r="D80" s="30" t="n">
        <f aca="false">A80*LOOKUP(A80,FeeLo,FeeR)*(1+VAT)+EtcBuy</f>
        <v>0.14936</v>
      </c>
      <c r="E80" s="29" t="n">
        <f aca="false">A80-B80+C80+D80</f>
        <v>13.50376</v>
      </c>
    </row>
    <row r="81" customFormat="false" ht="15" hidden="false" customHeight="false" outlineLevel="0" collapsed="false">
      <c r="A81" s="41" t="n">
        <f aca="false">ROUND(A80+0.1,1)</f>
        <v>16.9</v>
      </c>
      <c r="B81" s="29" t="n">
        <f aca="false">MIN(LTV*A81,LOOKUP(A81,LoanLo,LoanCap))</f>
        <v>4</v>
      </c>
      <c r="C81" s="30" t="n">
        <f aca="false">A81*IF(A81&lt;=6,0.01,IF(A81&lt;=9,(A81*2/3-3)/100,0.03))*(1+EduAcq)</f>
        <v>0.5577</v>
      </c>
      <c r="D81" s="30" t="n">
        <f aca="false">A81*LOOKUP(A81,FeeLo,FeeR)*(1+VAT)+EtcBuy</f>
        <v>0.15013</v>
      </c>
      <c r="E81" s="29" t="n">
        <f aca="false">A81-B81+C81+D81</f>
        <v>13.60783</v>
      </c>
    </row>
    <row r="82" customFormat="false" ht="15" hidden="false" customHeight="false" outlineLevel="0" collapsed="false">
      <c r="A82" s="41" t="n">
        <f aca="false">ROUND(A81+0.1,1)</f>
        <v>17</v>
      </c>
      <c r="B82" s="29" t="n">
        <f aca="false">MIN(LTV*A82,LOOKUP(A82,LoanLo,LoanCap))</f>
        <v>4</v>
      </c>
      <c r="C82" s="30" t="n">
        <f aca="false">A82*IF(A82&lt;=6,0.01,IF(A82&lt;=9,(A82*2/3-3)/100,0.03))*(1+EduAcq)</f>
        <v>0.561</v>
      </c>
      <c r="D82" s="30" t="n">
        <f aca="false">A82*LOOKUP(A82,FeeLo,FeeR)*(1+VAT)+EtcBuy</f>
        <v>0.1509</v>
      </c>
      <c r="E82" s="29" t="n">
        <f aca="false">A82-B82+C82+D82</f>
        <v>13.7119</v>
      </c>
    </row>
    <row r="83" customFormat="false" ht="15" hidden="false" customHeight="false" outlineLevel="0" collapsed="false">
      <c r="A83" s="41" t="n">
        <f aca="false">ROUND(A82+0.1,1)</f>
        <v>17.1</v>
      </c>
      <c r="B83" s="29" t="n">
        <f aca="false">MIN(LTV*A83,LOOKUP(A83,LoanLo,LoanCap))</f>
        <v>4</v>
      </c>
      <c r="C83" s="30" t="n">
        <f aca="false">A83*IF(A83&lt;=6,0.01,IF(A83&lt;=9,(A83*2/3-3)/100,0.03))*(1+EduAcq)</f>
        <v>0.5643</v>
      </c>
      <c r="D83" s="30" t="n">
        <f aca="false">A83*LOOKUP(A83,FeeLo,FeeR)*(1+VAT)+EtcBuy</f>
        <v>0.15167</v>
      </c>
      <c r="E83" s="29" t="n">
        <f aca="false">A83-B83+C83+D83</f>
        <v>13.81597</v>
      </c>
    </row>
    <row r="84" customFormat="false" ht="15" hidden="false" customHeight="false" outlineLevel="0" collapsed="false">
      <c r="A84" s="41" t="n">
        <f aca="false">ROUND(A83+0.1,1)</f>
        <v>17.2</v>
      </c>
      <c r="B84" s="29" t="n">
        <f aca="false">MIN(LTV*A84,LOOKUP(A84,LoanLo,LoanCap))</f>
        <v>4</v>
      </c>
      <c r="C84" s="30" t="n">
        <f aca="false">A84*IF(A84&lt;=6,0.01,IF(A84&lt;=9,(A84*2/3-3)/100,0.03))*(1+EduAcq)</f>
        <v>0.5676</v>
      </c>
      <c r="D84" s="30" t="n">
        <f aca="false">A84*LOOKUP(A84,FeeLo,FeeR)*(1+VAT)+EtcBuy</f>
        <v>0.15244</v>
      </c>
      <c r="E84" s="29" t="n">
        <f aca="false">A84-B84+C84+D84</f>
        <v>13.92004</v>
      </c>
    </row>
    <row r="85" customFormat="false" ht="15" hidden="false" customHeight="false" outlineLevel="0" collapsed="false">
      <c r="A85" s="41" t="n">
        <f aca="false">ROUND(A84+0.1,1)</f>
        <v>17.3</v>
      </c>
      <c r="B85" s="29" t="n">
        <f aca="false">MIN(LTV*A85,LOOKUP(A85,LoanLo,LoanCap))</f>
        <v>4</v>
      </c>
      <c r="C85" s="30" t="n">
        <f aca="false">A85*IF(A85&lt;=6,0.01,IF(A85&lt;=9,(A85*2/3-3)/100,0.03))*(1+EduAcq)</f>
        <v>0.5709</v>
      </c>
      <c r="D85" s="30" t="n">
        <f aca="false">A85*LOOKUP(A85,FeeLo,FeeR)*(1+VAT)+EtcBuy</f>
        <v>0.15321</v>
      </c>
      <c r="E85" s="29" t="n">
        <f aca="false">A85-B85+C85+D85</f>
        <v>14.02411</v>
      </c>
    </row>
    <row r="86" customFormat="false" ht="15" hidden="false" customHeight="false" outlineLevel="0" collapsed="false">
      <c r="A86" s="41" t="n">
        <f aca="false">ROUND(A85+0.1,1)</f>
        <v>17.4</v>
      </c>
      <c r="B86" s="29" t="n">
        <f aca="false">MIN(LTV*A86,LOOKUP(A86,LoanLo,LoanCap))</f>
        <v>4</v>
      </c>
      <c r="C86" s="30" t="n">
        <f aca="false">A86*IF(A86&lt;=6,0.01,IF(A86&lt;=9,(A86*2/3-3)/100,0.03))*(1+EduAcq)</f>
        <v>0.5742</v>
      </c>
      <c r="D86" s="30" t="n">
        <f aca="false">A86*LOOKUP(A86,FeeLo,FeeR)*(1+VAT)+EtcBuy</f>
        <v>0.15398</v>
      </c>
      <c r="E86" s="29" t="n">
        <f aca="false">A86-B86+C86+D86</f>
        <v>14.12818</v>
      </c>
    </row>
    <row r="87" customFormat="false" ht="15" hidden="false" customHeight="false" outlineLevel="0" collapsed="false">
      <c r="A87" s="41" t="n">
        <f aca="false">ROUND(A86+0.1,1)</f>
        <v>17.5</v>
      </c>
      <c r="B87" s="29" t="n">
        <f aca="false">MIN(LTV*A87,LOOKUP(A87,LoanLo,LoanCap))</f>
        <v>4</v>
      </c>
      <c r="C87" s="30" t="n">
        <f aca="false">A87*IF(A87&lt;=6,0.01,IF(A87&lt;=9,(A87*2/3-3)/100,0.03))*(1+EduAcq)</f>
        <v>0.5775</v>
      </c>
      <c r="D87" s="30" t="n">
        <f aca="false">A87*LOOKUP(A87,FeeLo,FeeR)*(1+VAT)+EtcBuy</f>
        <v>0.15475</v>
      </c>
      <c r="E87" s="29" t="n">
        <f aca="false">A87-B87+C87+D87</f>
        <v>14.23225</v>
      </c>
    </row>
    <row r="88" customFormat="false" ht="15" hidden="false" customHeight="false" outlineLevel="0" collapsed="false">
      <c r="A88" s="41" t="n">
        <f aca="false">ROUND(A87+0.1,1)</f>
        <v>17.6</v>
      </c>
      <c r="B88" s="29" t="n">
        <f aca="false">MIN(LTV*A88,LOOKUP(A88,LoanLo,LoanCap))</f>
        <v>4</v>
      </c>
      <c r="C88" s="30" t="n">
        <f aca="false">A88*IF(A88&lt;=6,0.01,IF(A88&lt;=9,(A88*2/3-3)/100,0.03))*(1+EduAcq)</f>
        <v>0.5808</v>
      </c>
      <c r="D88" s="30" t="n">
        <f aca="false">A88*LOOKUP(A88,FeeLo,FeeR)*(1+VAT)+EtcBuy</f>
        <v>0.15552</v>
      </c>
      <c r="E88" s="29" t="n">
        <f aca="false">A88-B88+C88+D88</f>
        <v>14.33632</v>
      </c>
    </row>
    <row r="89" customFormat="false" ht="15" hidden="false" customHeight="false" outlineLevel="0" collapsed="false">
      <c r="A89" s="41" t="n">
        <f aca="false">ROUND(A88+0.1,1)</f>
        <v>17.7</v>
      </c>
      <c r="B89" s="29" t="n">
        <f aca="false">MIN(LTV*A89,LOOKUP(A89,LoanLo,LoanCap))</f>
        <v>4</v>
      </c>
      <c r="C89" s="30" t="n">
        <f aca="false">A89*IF(A89&lt;=6,0.01,IF(A89&lt;=9,(A89*2/3-3)/100,0.03))*(1+EduAcq)</f>
        <v>0.5841</v>
      </c>
      <c r="D89" s="30" t="n">
        <f aca="false">A89*LOOKUP(A89,FeeLo,FeeR)*(1+VAT)+EtcBuy</f>
        <v>0.15629</v>
      </c>
      <c r="E89" s="29" t="n">
        <f aca="false">A89-B89+C89+D89</f>
        <v>14.44039</v>
      </c>
    </row>
    <row r="90" customFormat="false" ht="15" hidden="false" customHeight="false" outlineLevel="0" collapsed="false">
      <c r="A90" s="41" t="n">
        <f aca="false">ROUND(A89+0.1,1)</f>
        <v>17.8</v>
      </c>
      <c r="B90" s="29" t="n">
        <f aca="false">MIN(LTV*A90,LOOKUP(A90,LoanLo,LoanCap))</f>
        <v>4</v>
      </c>
      <c r="C90" s="30" t="n">
        <f aca="false">A90*IF(A90&lt;=6,0.01,IF(A90&lt;=9,(A90*2/3-3)/100,0.03))*(1+EduAcq)</f>
        <v>0.5874</v>
      </c>
      <c r="D90" s="30" t="n">
        <f aca="false">A90*LOOKUP(A90,FeeLo,FeeR)*(1+VAT)+EtcBuy</f>
        <v>0.15706</v>
      </c>
      <c r="E90" s="29" t="n">
        <f aca="false">A90-B90+C90+D90</f>
        <v>14.54446</v>
      </c>
    </row>
    <row r="91" customFormat="false" ht="15" hidden="false" customHeight="false" outlineLevel="0" collapsed="false">
      <c r="A91" s="41" t="n">
        <f aca="false">ROUND(A90+0.1,1)</f>
        <v>17.9</v>
      </c>
      <c r="B91" s="29" t="n">
        <f aca="false">MIN(LTV*A91,LOOKUP(A91,LoanLo,LoanCap))</f>
        <v>4</v>
      </c>
      <c r="C91" s="30" t="n">
        <f aca="false">A91*IF(A91&lt;=6,0.01,IF(A91&lt;=9,(A91*2/3-3)/100,0.03))*(1+EduAcq)</f>
        <v>0.5907</v>
      </c>
      <c r="D91" s="30" t="n">
        <f aca="false">A91*LOOKUP(A91,FeeLo,FeeR)*(1+VAT)+EtcBuy</f>
        <v>0.15783</v>
      </c>
      <c r="E91" s="29" t="n">
        <f aca="false">A91-B91+C91+D91</f>
        <v>14.64853</v>
      </c>
    </row>
    <row r="92" customFormat="false" ht="15" hidden="false" customHeight="false" outlineLevel="0" collapsed="false">
      <c r="A92" s="41" t="n">
        <f aca="false">ROUND(A91+0.1,1)</f>
        <v>18</v>
      </c>
      <c r="B92" s="29" t="n">
        <f aca="false">MIN(LTV*A92,LOOKUP(A92,LoanLo,LoanCap))</f>
        <v>4</v>
      </c>
      <c r="C92" s="30" t="n">
        <f aca="false">A92*IF(A92&lt;=6,0.01,IF(A92&lt;=9,(A92*2/3-3)/100,0.03))*(1+EduAcq)</f>
        <v>0.594</v>
      </c>
      <c r="D92" s="30" t="n">
        <f aca="false">A92*LOOKUP(A92,FeeLo,FeeR)*(1+VAT)+EtcBuy</f>
        <v>0.1586</v>
      </c>
      <c r="E92" s="29" t="n">
        <f aca="false">A92-B92+C92+D92</f>
        <v>14.7526</v>
      </c>
    </row>
    <row r="93" customFormat="false" ht="15" hidden="false" customHeight="false" outlineLevel="0" collapsed="false">
      <c r="A93" s="41" t="n">
        <f aca="false">ROUND(A92+0.1,1)</f>
        <v>18.1</v>
      </c>
      <c r="B93" s="29" t="n">
        <f aca="false">MIN(LTV*A93,LOOKUP(A93,LoanLo,LoanCap))</f>
        <v>4</v>
      </c>
      <c r="C93" s="30" t="n">
        <f aca="false">A93*IF(A93&lt;=6,0.01,IF(A93&lt;=9,(A93*2/3-3)/100,0.03))*(1+EduAcq)</f>
        <v>0.5973</v>
      </c>
      <c r="D93" s="30" t="n">
        <f aca="false">A93*LOOKUP(A93,FeeLo,FeeR)*(1+VAT)+EtcBuy</f>
        <v>0.15937</v>
      </c>
      <c r="E93" s="29" t="n">
        <f aca="false">A93-B93+C93+D93</f>
        <v>14.85667</v>
      </c>
    </row>
    <row r="94" customFormat="false" ht="15" hidden="false" customHeight="false" outlineLevel="0" collapsed="false">
      <c r="A94" s="41" t="n">
        <f aca="false">ROUND(A93+0.1,1)</f>
        <v>18.2</v>
      </c>
      <c r="B94" s="29" t="n">
        <f aca="false">MIN(LTV*A94,LOOKUP(A94,LoanLo,LoanCap))</f>
        <v>4</v>
      </c>
      <c r="C94" s="30" t="n">
        <f aca="false">A94*IF(A94&lt;=6,0.01,IF(A94&lt;=9,(A94*2/3-3)/100,0.03))*(1+EduAcq)</f>
        <v>0.6006</v>
      </c>
      <c r="D94" s="30" t="n">
        <f aca="false">A94*LOOKUP(A94,FeeLo,FeeR)*(1+VAT)+EtcBuy</f>
        <v>0.16014</v>
      </c>
      <c r="E94" s="29" t="n">
        <f aca="false">A94-B94+C94+D94</f>
        <v>14.96074</v>
      </c>
    </row>
    <row r="95" customFormat="false" ht="15" hidden="false" customHeight="false" outlineLevel="0" collapsed="false">
      <c r="A95" s="41" t="n">
        <f aca="false">ROUND(A94+0.1,1)</f>
        <v>18.3</v>
      </c>
      <c r="B95" s="29" t="n">
        <f aca="false">MIN(LTV*A95,LOOKUP(A95,LoanLo,LoanCap))</f>
        <v>4</v>
      </c>
      <c r="C95" s="30" t="n">
        <f aca="false">A95*IF(A95&lt;=6,0.01,IF(A95&lt;=9,(A95*2/3-3)/100,0.03))*(1+EduAcq)</f>
        <v>0.6039</v>
      </c>
      <c r="D95" s="30" t="n">
        <f aca="false">A95*LOOKUP(A95,FeeLo,FeeR)*(1+VAT)+EtcBuy</f>
        <v>0.16091</v>
      </c>
      <c r="E95" s="29" t="n">
        <f aca="false">A95-B95+C95+D95</f>
        <v>15.06481</v>
      </c>
    </row>
    <row r="96" customFormat="false" ht="15" hidden="false" customHeight="false" outlineLevel="0" collapsed="false">
      <c r="A96" s="41" t="n">
        <f aca="false">ROUND(A95+0.1,1)</f>
        <v>18.4</v>
      </c>
      <c r="B96" s="29" t="n">
        <f aca="false">MIN(LTV*A96,LOOKUP(A96,LoanLo,LoanCap))</f>
        <v>4</v>
      </c>
      <c r="C96" s="30" t="n">
        <f aca="false">A96*IF(A96&lt;=6,0.01,IF(A96&lt;=9,(A96*2/3-3)/100,0.03))*(1+EduAcq)</f>
        <v>0.6072</v>
      </c>
      <c r="D96" s="30" t="n">
        <f aca="false">A96*LOOKUP(A96,FeeLo,FeeR)*(1+VAT)+EtcBuy</f>
        <v>0.16168</v>
      </c>
      <c r="E96" s="29" t="n">
        <f aca="false">A96-B96+C96+D96</f>
        <v>15.16888</v>
      </c>
    </row>
    <row r="97" customFormat="false" ht="15" hidden="false" customHeight="false" outlineLevel="0" collapsed="false">
      <c r="A97" s="41" t="n">
        <f aca="false">ROUND(A96+0.1,1)</f>
        <v>18.5</v>
      </c>
      <c r="B97" s="29" t="n">
        <f aca="false">MIN(LTV*A97,LOOKUP(A97,LoanLo,LoanCap))</f>
        <v>4</v>
      </c>
      <c r="C97" s="30" t="n">
        <f aca="false">A97*IF(A97&lt;=6,0.01,IF(A97&lt;=9,(A97*2/3-3)/100,0.03))*(1+EduAcq)</f>
        <v>0.6105</v>
      </c>
      <c r="D97" s="30" t="n">
        <f aca="false">A97*LOOKUP(A97,FeeLo,FeeR)*(1+VAT)+EtcBuy</f>
        <v>0.16245</v>
      </c>
      <c r="E97" s="29" t="n">
        <f aca="false">A97-B97+C97+D97</f>
        <v>15.27295</v>
      </c>
    </row>
    <row r="98" customFormat="false" ht="15" hidden="false" customHeight="false" outlineLevel="0" collapsed="false">
      <c r="A98" s="41" t="n">
        <f aca="false">ROUND(A97+0.1,1)</f>
        <v>18.6</v>
      </c>
      <c r="B98" s="29" t="n">
        <f aca="false">MIN(LTV*A98,LOOKUP(A98,LoanLo,LoanCap))</f>
        <v>4</v>
      </c>
      <c r="C98" s="30" t="n">
        <f aca="false">A98*IF(A98&lt;=6,0.01,IF(A98&lt;=9,(A98*2/3-3)/100,0.03))*(1+EduAcq)</f>
        <v>0.6138</v>
      </c>
      <c r="D98" s="30" t="n">
        <f aca="false">A98*LOOKUP(A98,FeeLo,FeeR)*(1+VAT)+EtcBuy</f>
        <v>0.16322</v>
      </c>
      <c r="E98" s="29" t="n">
        <f aca="false">A98-B98+C98+D98</f>
        <v>15.37702</v>
      </c>
    </row>
    <row r="99" customFormat="false" ht="15" hidden="false" customHeight="false" outlineLevel="0" collapsed="false">
      <c r="A99" s="41" t="n">
        <f aca="false">ROUND(A98+0.1,1)</f>
        <v>18.7</v>
      </c>
      <c r="B99" s="29" t="n">
        <f aca="false">MIN(LTV*A99,LOOKUP(A99,LoanLo,LoanCap))</f>
        <v>4</v>
      </c>
      <c r="C99" s="30" t="n">
        <f aca="false">A99*IF(A99&lt;=6,0.01,IF(A99&lt;=9,(A99*2/3-3)/100,0.03))*(1+EduAcq)</f>
        <v>0.6171</v>
      </c>
      <c r="D99" s="30" t="n">
        <f aca="false">A99*LOOKUP(A99,FeeLo,FeeR)*(1+VAT)+EtcBuy</f>
        <v>0.16399</v>
      </c>
      <c r="E99" s="29" t="n">
        <f aca="false">A99-B99+C99+D99</f>
        <v>15.48109</v>
      </c>
    </row>
    <row r="100" customFormat="false" ht="15" hidden="false" customHeight="false" outlineLevel="0" collapsed="false">
      <c r="A100" s="41" t="n">
        <f aca="false">ROUND(A99+0.1,1)</f>
        <v>18.8</v>
      </c>
      <c r="B100" s="29" t="n">
        <f aca="false">MIN(LTV*A100,LOOKUP(A100,LoanLo,LoanCap))</f>
        <v>4</v>
      </c>
      <c r="C100" s="30" t="n">
        <f aca="false">A100*IF(A100&lt;=6,0.01,IF(A100&lt;=9,(A100*2/3-3)/100,0.03))*(1+EduAcq)</f>
        <v>0.6204</v>
      </c>
      <c r="D100" s="30" t="n">
        <f aca="false">A100*LOOKUP(A100,FeeLo,FeeR)*(1+VAT)+EtcBuy</f>
        <v>0.16476</v>
      </c>
      <c r="E100" s="29" t="n">
        <f aca="false">A100-B100+C100+D100</f>
        <v>15.58516</v>
      </c>
    </row>
    <row r="101" customFormat="false" ht="15" hidden="false" customHeight="false" outlineLevel="0" collapsed="false">
      <c r="A101" s="41" t="n">
        <f aca="false">ROUND(A100+0.1,1)</f>
        <v>18.9</v>
      </c>
      <c r="B101" s="29" t="n">
        <f aca="false">MIN(LTV*A101,LOOKUP(A101,LoanLo,LoanCap))</f>
        <v>4</v>
      </c>
      <c r="C101" s="30" t="n">
        <f aca="false">A101*IF(A101&lt;=6,0.01,IF(A101&lt;=9,(A101*2/3-3)/100,0.03))*(1+EduAcq)</f>
        <v>0.6237</v>
      </c>
      <c r="D101" s="30" t="n">
        <f aca="false">A101*LOOKUP(A101,FeeLo,FeeR)*(1+VAT)+EtcBuy</f>
        <v>0.16553</v>
      </c>
      <c r="E101" s="29" t="n">
        <f aca="false">A101-B101+C101+D101</f>
        <v>15.68923</v>
      </c>
    </row>
    <row r="102" customFormat="false" ht="15" hidden="false" customHeight="false" outlineLevel="0" collapsed="false">
      <c r="A102" s="41" t="n">
        <f aca="false">ROUND(A101+0.1,1)</f>
        <v>19</v>
      </c>
      <c r="B102" s="29" t="n">
        <f aca="false">MIN(LTV*A102,LOOKUP(A102,LoanLo,LoanCap))</f>
        <v>4</v>
      </c>
      <c r="C102" s="30" t="n">
        <f aca="false">A102*IF(A102&lt;=6,0.01,IF(A102&lt;=9,(A102*2/3-3)/100,0.03))*(1+EduAcq)</f>
        <v>0.627</v>
      </c>
      <c r="D102" s="30" t="n">
        <f aca="false">A102*LOOKUP(A102,FeeLo,FeeR)*(1+VAT)+EtcBuy</f>
        <v>0.1663</v>
      </c>
      <c r="E102" s="29" t="n">
        <f aca="false">A102-B102+C102+D102</f>
        <v>15.7933</v>
      </c>
    </row>
    <row r="103" customFormat="false" ht="15" hidden="false" customHeight="false" outlineLevel="0" collapsed="false">
      <c r="A103" s="41" t="n">
        <f aca="false">ROUND(A102+0.1,1)</f>
        <v>19.1</v>
      </c>
      <c r="B103" s="29" t="n">
        <f aca="false">MIN(LTV*A103,LOOKUP(A103,LoanLo,LoanCap))</f>
        <v>4</v>
      </c>
      <c r="C103" s="30" t="n">
        <f aca="false">A103*IF(A103&lt;=6,0.01,IF(A103&lt;=9,(A103*2/3-3)/100,0.03))*(1+EduAcq)</f>
        <v>0.6303</v>
      </c>
      <c r="D103" s="30" t="n">
        <f aca="false">A103*LOOKUP(A103,FeeLo,FeeR)*(1+VAT)+EtcBuy</f>
        <v>0.16707</v>
      </c>
      <c r="E103" s="29" t="n">
        <f aca="false">A103-B103+C103+D103</f>
        <v>15.89737</v>
      </c>
    </row>
    <row r="104" customFormat="false" ht="15" hidden="false" customHeight="false" outlineLevel="0" collapsed="false">
      <c r="A104" s="41" t="n">
        <f aca="false">ROUND(A103+0.1,1)</f>
        <v>19.2</v>
      </c>
      <c r="B104" s="29" t="n">
        <f aca="false">MIN(LTV*A104,LOOKUP(A104,LoanLo,LoanCap))</f>
        <v>4</v>
      </c>
      <c r="C104" s="30" t="n">
        <f aca="false">A104*IF(A104&lt;=6,0.01,IF(A104&lt;=9,(A104*2/3-3)/100,0.03))*(1+EduAcq)</f>
        <v>0.6336</v>
      </c>
      <c r="D104" s="30" t="n">
        <f aca="false">A104*LOOKUP(A104,FeeLo,FeeR)*(1+VAT)+EtcBuy</f>
        <v>0.16784</v>
      </c>
      <c r="E104" s="29" t="n">
        <f aca="false">A104-B104+C104+D104</f>
        <v>16.00144</v>
      </c>
    </row>
    <row r="105" customFormat="false" ht="15" hidden="false" customHeight="false" outlineLevel="0" collapsed="false">
      <c r="A105" s="41" t="n">
        <f aca="false">ROUND(A104+0.1,1)</f>
        <v>19.3</v>
      </c>
      <c r="B105" s="29" t="n">
        <f aca="false">MIN(LTV*A105,LOOKUP(A105,LoanLo,LoanCap))</f>
        <v>4</v>
      </c>
      <c r="C105" s="30" t="n">
        <f aca="false">A105*IF(A105&lt;=6,0.01,IF(A105&lt;=9,(A105*2/3-3)/100,0.03))*(1+EduAcq)</f>
        <v>0.6369</v>
      </c>
      <c r="D105" s="30" t="n">
        <f aca="false">A105*LOOKUP(A105,FeeLo,FeeR)*(1+VAT)+EtcBuy</f>
        <v>0.16861</v>
      </c>
      <c r="E105" s="29" t="n">
        <f aca="false">A105-B105+C105+D105</f>
        <v>16.10551</v>
      </c>
    </row>
    <row r="106" customFormat="false" ht="15" hidden="false" customHeight="false" outlineLevel="0" collapsed="false">
      <c r="A106" s="41" t="n">
        <f aca="false">ROUND(A105+0.1,1)</f>
        <v>19.4</v>
      </c>
      <c r="B106" s="29" t="n">
        <f aca="false">MIN(LTV*A106,LOOKUP(A106,LoanLo,LoanCap))</f>
        <v>4</v>
      </c>
      <c r="C106" s="30" t="n">
        <f aca="false">A106*IF(A106&lt;=6,0.01,IF(A106&lt;=9,(A106*2/3-3)/100,0.03))*(1+EduAcq)</f>
        <v>0.6402</v>
      </c>
      <c r="D106" s="30" t="n">
        <f aca="false">A106*LOOKUP(A106,FeeLo,FeeR)*(1+VAT)+EtcBuy</f>
        <v>0.16938</v>
      </c>
      <c r="E106" s="29" t="n">
        <f aca="false">A106-B106+C106+D106</f>
        <v>16.20958</v>
      </c>
    </row>
    <row r="107" customFormat="false" ht="15" hidden="false" customHeight="false" outlineLevel="0" collapsed="false">
      <c r="A107" s="41" t="n">
        <f aca="false">ROUND(A106+0.1,1)</f>
        <v>19.5</v>
      </c>
      <c r="B107" s="29" t="n">
        <f aca="false">MIN(LTV*A107,LOOKUP(A107,LoanLo,LoanCap))</f>
        <v>4</v>
      </c>
      <c r="C107" s="30" t="n">
        <f aca="false">A107*IF(A107&lt;=6,0.01,IF(A107&lt;=9,(A107*2/3-3)/100,0.03))*(1+EduAcq)</f>
        <v>0.6435</v>
      </c>
      <c r="D107" s="30" t="n">
        <f aca="false">A107*LOOKUP(A107,FeeLo,FeeR)*(1+VAT)+EtcBuy</f>
        <v>0.17015</v>
      </c>
      <c r="E107" s="29" t="n">
        <f aca="false">A107-B107+C107+D107</f>
        <v>16.31365</v>
      </c>
    </row>
    <row r="108" customFormat="false" ht="15" hidden="false" customHeight="false" outlineLevel="0" collapsed="false">
      <c r="A108" s="41" t="n">
        <f aca="false">ROUND(A107+0.1,1)</f>
        <v>19.6</v>
      </c>
      <c r="B108" s="29" t="n">
        <f aca="false">MIN(LTV*A108,LOOKUP(A108,LoanLo,LoanCap))</f>
        <v>4</v>
      </c>
      <c r="C108" s="30" t="n">
        <f aca="false">A108*IF(A108&lt;=6,0.01,IF(A108&lt;=9,(A108*2/3-3)/100,0.03))*(1+EduAcq)</f>
        <v>0.6468</v>
      </c>
      <c r="D108" s="30" t="n">
        <f aca="false">A108*LOOKUP(A108,FeeLo,FeeR)*(1+VAT)+EtcBuy</f>
        <v>0.17092</v>
      </c>
      <c r="E108" s="29" t="n">
        <f aca="false">A108-B108+C108+D108</f>
        <v>16.41772</v>
      </c>
    </row>
    <row r="109" customFormat="false" ht="15" hidden="false" customHeight="false" outlineLevel="0" collapsed="false">
      <c r="A109" s="41" t="n">
        <f aca="false">ROUND(A108+0.1,1)</f>
        <v>19.7</v>
      </c>
      <c r="B109" s="29" t="n">
        <f aca="false">MIN(LTV*A109,LOOKUP(A109,LoanLo,LoanCap))</f>
        <v>4</v>
      </c>
      <c r="C109" s="30" t="n">
        <f aca="false">A109*IF(A109&lt;=6,0.01,IF(A109&lt;=9,(A109*2/3-3)/100,0.03))*(1+EduAcq)</f>
        <v>0.6501</v>
      </c>
      <c r="D109" s="30" t="n">
        <f aca="false">A109*LOOKUP(A109,FeeLo,FeeR)*(1+VAT)+EtcBuy</f>
        <v>0.17169</v>
      </c>
      <c r="E109" s="29" t="n">
        <f aca="false">A109-B109+C109+D109</f>
        <v>16.52179</v>
      </c>
    </row>
    <row r="110" customFormat="false" ht="15" hidden="false" customHeight="false" outlineLevel="0" collapsed="false">
      <c r="A110" s="41" t="n">
        <f aca="false">ROUND(A109+0.1,1)</f>
        <v>19.8</v>
      </c>
      <c r="B110" s="29" t="n">
        <f aca="false">MIN(LTV*A110,LOOKUP(A110,LoanLo,LoanCap))</f>
        <v>4</v>
      </c>
      <c r="C110" s="30" t="n">
        <f aca="false">A110*IF(A110&lt;=6,0.01,IF(A110&lt;=9,(A110*2/3-3)/100,0.03))*(1+EduAcq)</f>
        <v>0.6534</v>
      </c>
      <c r="D110" s="30" t="n">
        <f aca="false">A110*LOOKUP(A110,FeeLo,FeeR)*(1+VAT)+EtcBuy</f>
        <v>0.17246</v>
      </c>
      <c r="E110" s="29" t="n">
        <f aca="false">A110-B110+C110+D110</f>
        <v>16.62586</v>
      </c>
    </row>
    <row r="111" customFormat="false" ht="15" hidden="false" customHeight="false" outlineLevel="0" collapsed="false">
      <c r="A111" s="41" t="n">
        <f aca="false">ROUND(A110+0.1,1)</f>
        <v>19.9</v>
      </c>
      <c r="B111" s="29" t="n">
        <f aca="false">MIN(LTV*A111,LOOKUP(A111,LoanLo,LoanCap))</f>
        <v>4</v>
      </c>
      <c r="C111" s="30" t="n">
        <f aca="false">A111*IF(A111&lt;=6,0.01,IF(A111&lt;=9,(A111*2/3-3)/100,0.03))*(1+EduAcq)</f>
        <v>0.6567</v>
      </c>
      <c r="D111" s="30" t="n">
        <f aca="false">A111*LOOKUP(A111,FeeLo,FeeR)*(1+VAT)+EtcBuy</f>
        <v>0.17323</v>
      </c>
      <c r="E111" s="29" t="n">
        <f aca="false">A111-B111+C111+D111</f>
        <v>16.72993</v>
      </c>
    </row>
    <row r="112" customFormat="false" ht="15" hidden="false" customHeight="false" outlineLevel="0" collapsed="false">
      <c r="A112" s="41" t="n">
        <f aca="false">ROUND(A111+0.1,1)</f>
        <v>20</v>
      </c>
      <c r="B112" s="29" t="n">
        <f aca="false">MIN(LTV*A112,LOOKUP(A112,LoanLo,LoanCap))</f>
        <v>4</v>
      </c>
      <c r="C112" s="30" t="n">
        <f aca="false">A112*IF(A112&lt;=6,0.01,IF(A112&lt;=9,(A112*2/3-3)/100,0.03))*(1+EduAcq)</f>
        <v>0.66</v>
      </c>
      <c r="D112" s="30" t="n">
        <f aca="false">A112*LOOKUP(A112,FeeLo,FeeR)*(1+VAT)+EtcBuy</f>
        <v>0.174</v>
      </c>
      <c r="E112" s="29" t="n">
        <f aca="false">A112-B112+C112+D112</f>
        <v>16.834</v>
      </c>
    </row>
    <row r="113" customFormat="false" ht="15" hidden="false" customHeight="false" outlineLevel="0" collapsed="false">
      <c r="A113" s="41" t="n">
        <f aca="false">ROUND(A112+0.1,1)</f>
        <v>20.1</v>
      </c>
      <c r="B113" s="29" t="n">
        <f aca="false">MIN(LTV*A113,LOOKUP(A113,LoanLo,LoanCap))</f>
        <v>4</v>
      </c>
      <c r="C113" s="30" t="n">
        <f aca="false">A113*IF(A113&lt;=6,0.01,IF(A113&lt;=9,(A113*2/3-3)/100,0.03))*(1+EduAcq)</f>
        <v>0.6633</v>
      </c>
      <c r="D113" s="30" t="n">
        <f aca="false">A113*LOOKUP(A113,FeeLo,FeeR)*(1+VAT)+EtcBuy</f>
        <v>0.17477</v>
      </c>
      <c r="E113" s="29" t="n">
        <f aca="false">A113-B113+C113+D113</f>
        <v>16.93807</v>
      </c>
    </row>
    <row r="114" customFormat="false" ht="15" hidden="false" customHeight="false" outlineLevel="0" collapsed="false">
      <c r="A114" s="41" t="n">
        <f aca="false">ROUND(A113+0.1,1)</f>
        <v>20.2</v>
      </c>
      <c r="B114" s="29" t="n">
        <f aca="false">MIN(LTV*A114,LOOKUP(A114,LoanLo,LoanCap))</f>
        <v>4</v>
      </c>
      <c r="C114" s="30" t="n">
        <f aca="false">A114*IF(A114&lt;=6,0.01,IF(A114&lt;=9,(A114*2/3-3)/100,0.03))*(1+EduAcq)</f>
        <v>0.6666</v>
      </c>
      <c r="D114" s="30" t="n">
        <f aca="false">A114*LOOKUP(A114,FeeLo,FeeR)*(1+VAT)+EtcBuy</f>
        <v>0.17554</v>
      </c>
      <c r="E114" s="29" t="n">
        <f aca="false">A114-B114+C114+D114</f>
        <v>17.04214</v>
      </c>
    </row>
    <row r="115" customFormat="false" ht="15" hidden="false" customHeight="false" outlineLevel="0" collapsed="false">
      <c r="A115" s="41" t="n">
        <f aca="false">ROUND(A114+0.1,1)</f>
        <v>20.3</v>
      </c>
      <c r="B115" s="29" t="n">
        <f aca="false">MIN(LTV*A115,LOOKUP(A115,LoanLo,LoanCap))</f>
        <v>4</v>
      </c>
      <c r="C115" s="30" t="n">
        <f aca="false">A115*IF(A115&lt;=6,0.01,IF(A115&lt;=9,(A115*2/3-3)/100,0.03))*(1+EduAcq)</f>
        <v>0.6699</v>
      </c>
      <c r="D115" s="30" t="n">
        <f aca="false">A115*LOOKUP(A115,FeeLo,FeeR)*(1+VAT)+EtcBuy</f>
        <v>0.17631</v>
      </c>
      <c r="E115" s="29" t="n">
        <f aca="false">A115-B115+C115+D115</f>
        <v>17.14621</v>
      </c>
    </row>
    <row r="116" customFormat="false" ht="15" hidden="false" customHeight="false" outlineLevel="0" collapsed="false">
      <c r="A116" s="41" t="n">
        <f aca="false">ROUND(A115+0.1,1)</f>
        <v>20.4</v>
      </c>
      <c r="B116" s="29" t="n">
        <f aca="false">MIN(LTV*A116,LOOKUP(A116,LoanLo,LoanCap))</f>
        <v>4</v>
      </c>
      <c r="C116" s="30" t="n">
        <f aca="false">A116*IF(A116&lt;=6,0.01,IF(A116&lt;=9,(A116*2/3-3)/100,0.03))*(1+EduAcq)</f>
        <v>0.6732</v>
      </c>
      <c r="D116" s="30" t="n">
        <f aca="false">A116*LOOKUP(A116,FeeLo,FeeR)*(1+VAT)+EtcBuy</f>
        <v>0.17708</v>
      </c>
      <c r="E116" s="29" t="n">
        <f aca="false">A116-B116+C116+D116</f>
        <v>17.25028</v>
      </c>
    </row>
    <row r="117" customFormat="false" ht="15" hidden="false" customHeight="false" outlineLevel="0" collapsed="false">
      <c r="A117" s="41" t="n">
        <f aca="false">ROUND(A116+0.1,1)</f>
        <v>20.5</v>
      </c>
      <c r="B117" s="29" t="n">
        <f aca="false">MIN(LTV*A117,LOOKUP(A117,LoanLo,LoanCap))</f>
        <v>4</v>
      </c>
      <c r="C117" s="30" t="n">
        <f aca="false">A117*IF(A117&lt;=6,0.01,IF(A117&lt;=9,(A117*2/3-3)/100,0.03))*(1+EduAcq)</f>
        <v>0.6765</v>
      </c>
      <c r="D117" s="30" t="n">
        <f aca="false">A117*LOOKUP(A117,FeeLo,FeeR)*(1+VAT)+EtcBuy</f>
        <v>0.17785</v>
      </c>
      <c r="E117" s="29" t="n">
        <f aca="false">A117-B117+C117+D117</f>
        <v>17.35435</v>
      </c>
    </row>
    <row r="118" customFormat="false" ht="15" hidden="false" customHeight="false" outlineLevel="0" collapsed="false">
      <c r="A118" s="41" t="n">
        <f aca="false">ROUND(A117+0.1,1)</f>
        <v>20.6</v>
      </c>
      <c r="B118" s="29" t="n">
        <f aca="false">MIN(LTV*A118,LOOKUP(A118,LoanLo,LoanCap))</f>
        <v>4</v>
      </c>
      <c r="C118" s="30" t="n">
        <f aca="false">A118*IF(A118&lt;=6,0.01,IF(A118&lt;=9,(A118*2/3-3)/100,0.03))*(1+EduAcq)</f>
        <v>0.6798</v>
      </c>
      <c r="D118" s="30" t="n">
        <f aca="false">A118*LOOKUP(A118,FeeLo,FeeR)*(1+VAT)+EtcBuy</f>
        <v>0.17862</v>
      </c>
      <c r="E118" s="29" t="n">
        <f aca="false">A118-B118+C118+D118</f>
        <v>17.45842</v>
      </c>
    </row>
    <row r="119" customFormat="false" ht="15" hidden="false" customHeight="false" outlineLevel="0" collapsed="false">
      <c r="A119" s="41" t="n">
        <f aca="false">ROUND(A118+0.1,1)</f>
        <v>20.7</v>
      </c>
      <c r="B119" s="29" t="n">
        <f aca="false">MIN(LTV*A119,LOOKUP(A119,LoanLo,LoanCap))</f>
        <v>4</v>
      </c>
      <c r="C119" s="30" t="n">
        <f aca="false">A119*IF(A119&lt;=6,0.01,IF(A119&lt;=9,(A119*2/3-3)/100,0.03))*(1+EduAcq)</f>
        <v>0.6831</v>
      </c>
      <c r="D119" s="30" t="n">
        <f aca="false">A119*LOOKUP(A119,FeeLo,FeeR)*(1+VAT)+EtcBuy</f>
        <v>0.17939</v>
      </c>
      <c r="E119" s="29" t="n">
        <f aca="false">A119-B119+C119+D119</f>
        <v>17.56249</v>
      </c>
    </row>
    <row r="120" customFormat="false" ht="15" hidden="false" customHeight="false" outlineLevel="0" collapsed="false">
      <c r="A120" s="41" t="n">
        <f aca="false">ROUND(A119+0.1,1)</f>
        <v>20.8</v>
      </c>
      <c r="B120" s="29" t="n">
        <f aca="false">MIN(LTV*A120,LOOKUP(A120,LoanLo,LoanCap))</f>
        <v>4</v>
      </c>
      <c r="C120" s="30" t="n">
        <f aca="false">A120*IF(A120&lt;=6,0.01,IF(A120&lt;=9,(A120*2/3-3)/100,0.03))*(1+EduAcq)</f>
        <v>0.6864</v>
      </c>
      <c r="D120" s="30" t="n">
        <f aca="false">A120*LOOKUP(A120,FeeLo,FeeR)*(1+VAT)+EtcBuy</f>
        <v>0.18016</v>
      </c>
      <c r="E120" s="29" t="n">
        <f aca="false">A120-B120+C120+D120</f>
        <v>17.66656</v>
      </c>
    </row>
    <row r="121" customFormat="false" ht="15" hidden="false" customHeight="false" outlineLevel="0" collapsed="false">
      <c r="A121" s="41" t="n">
        <f aca="false">ROUND(A120+0.1,1)</f>
        <v>20.9</v>
      </c>
      <c r="B121" s="29" t="n">
        <f aca="false">MIN(LTV*A121,LOOKUP(A121,LoanLo,LoanCap))</f>
        <v>4</v>
      </c>
      <c r="C121" s="30" t="n">
        <f aca="false">A121*IF(A121&lt;=6,0.01,IF(A121&lt;=9,(A121*2/3-3)/100,0.03))*(1+EduAcq)</f>
        <v>0.6897</v>
      </c>
      <c r="D121" s="30" t="n">
        <f aca="false">A121*LOOKUP(A121,FeeLo,FeeR)*(1+VAT)+EtcBuy</f>
        <v>0.18093</v>
      </c>
      <c r="E121" s="29" t="n">
        <f aca="false">A121-B121+C121+D121</f>
        <v>17.77063</v>
      </c>
    </row>
    <row r="122" customFormat="false" ht="15" hidden="false" customHeight="false" outlineLevel="0" collapsed="false">
      <c r="A122" s="41" t="n">
        <f aca="false">ROUND(A121+0.1,1)</f>
        <v>21</v>
      </c>
      <c r="B122" s="29" t="n">
        <f aca="false">MIN(LTV*A122,LOOKUP(A122,LoanLo,LoanCap))</f>
        <v>4</v>
      </c>
      <c r="C122" s="30" t="n">
        <f aca="false">A122*IF(A122&lt;=6,0.01,IF(A122&lt;=9,(A122*2/3-3)/100,0.03))*(1+EduAcq)</f>
        <v>0.693</v>
      </c>
      <c r="D122" s="30" t="n">
        <f aca="false">A122*LOOKUP(A122,FeeLo,FeeR)*(1+VAT)+EtcBuy</f>
        <v>0.1817</v>
      </c>
      <c r="E122" s="29" t="n">
        <f aca="false">A122-B122+C122+D122</f>
        <v>17.8747</v>
      </c>
    </row>
    <row r="123" customFormat="false" ht="15" hidden="false" customHeight="false" outlineLevel="0" collapsed="false">
      <c r="A123" s="41" t="n">
        <f aca="false">ROUND(A122+0.1,1)</f>
        <v>21.1</v>
      </c>
      <c r="B123" s="29" t="n">
        <f aca="false">MIN(LTV*A123,LOOKUP(A123,LoanLo,LoanCap))</f>
        <v>4</v>
      </c>
      <c r="C123" s="30" t="n">
        <f aca="false">A123*IF(A123&lt;=6,0.01,IF(A123&lt;=9,(A123*2/3-3)/100,0.03))*(1+EduAcq)</f>
        <v>0.6963</v>
      </c>
      <c r="D123" s="30" t="n">
        <f aca="false">A123*LOOKUP(A123,FeeLo,FeeR)*(1+VAT)+EtcBuy</f>
        <v>0.18247</v>
      </c>
      <c r="E123" s="29" t="n">
        <f aca="false">A123-B123+C123+D123</f>
        <v>17.97877</v>
      </c>
    </row>
    <row r="124" customFormat="false" ht="15" hidden="false" customHeight="false" outlineLevel="0" collapsed="false">
      <c r="A124" s="41" t="n">
        <f aca="false">ROUND(A123+0.1,1)</f>
        <v>21.2</v>
      </c>
      <c r="B124" s="29" t="n">
        <f aca="false">MIN(LTV*A124,LOOKUP(A124,LoanLo,LoanCap))</f>
        <v>4</v>
      </c>
      <c r="C124" s="30" t="n">
        <f aca="false">A124*IF(A124&lt;=6,0.01,IF(A124&lt;=9,(A124*2/3-3)/100,0.03))*(1+EduAcq)</f>
        <v>0.6996</v>
      </c>
      <c r="D124" s="30" t="n">
        <f aca="false">A124*LOOKUP(A124,FeeLo,FeeR)*(1+VAT)+EtcBuy</f>
        <v>0.18324</v>
      </c>
      <c r="E124" s="29" t="n">
        <f aca="false">A124-B124+C124+D124</f>
        <v>18.08284</v>
      </c>
    </row>
    <row r="125" customFormat="false" ht="15" hidden="false" customHeight="false" outlineLevel="0" collapsed="false">
      <c r="A125" s="41" t="n">
        <f aca="false">ROUND(A124+0.1,1)</f>
        <v>21.3</v>
      </c>
      <c r="B125" s="29" t="n">
        <f aca="false">MIN(LTV*A125,LOOKUP(A125,LoanLo,LoanCap))</f>
        <v>4</v>
      </c>
      <c r="C125" s="30" t="n">
        <f aca="false">A125*IF(A125&lt;=6,0.01,IF(A125&lt;=9,(A125*2/3-3)/100,0.03))*(1+EduAcq)</f>
        <v>0.7029</v>
      </c>
      <c r="D125" s="30" t="n">
        <f aca="false">A125*LOOKUP(A125,FeeLo,FeeR)*(1+VAT)+EtcBuy</f>
        <v>0.18401</v>
      </c>
      <c r="E125" s="29" t="n">
        <f aca="false">A125-B125+C125+D125</f>
        <v>18.18691</v>
      </c>
    </row>
    <row r="126" customFormat="false" ht="15" hidden="false" customHeight="false" outlineLevel="0" collapsed="false">
      <c r="A126" s="41" t="n">
        <f aca="false">ROUND(A125+0.1,1)</f>
        <v>21.4</v>
      </c>
      <c r="B126" s="29" t="n">
        <f aca="false">MIN(LTV*A126,LOOKUP(A126,LoanLo,LoanCap))</f>
        <v>4</v>
      </c>
      <c r="C126" s="30" t="n">
        <f aca="false">A126*IF(A126&lt;=6,0.01,IF(A126&lt;=9,(A126*2/3-3)/100,0.03))*(1+EduAcq)</f>
        <v>0.7062</v>
      </c>
      <c r="D126" s="30" t="n">
        <f aca="false">A126*LOOKUP(A126,FeeLo,FeeR)*(1+VAT)+EtcBuy</f>
        <v>0.18478</v>
      </c>
      <c r="E126" s="29" t="n">
        <f aca="false">A126-B126+C126+D126</f>
        <v>18.29098</v>
      </c>
    </row>
    <row r="127" customFormat="false" ht="15" hidden="false" customHeight="false" outlineLevel="0" collapsed="false">
      <c r="A127" s="41" t="n">
        <f aca="false">ROUND(A126+0.1,1)</f>
        <v>21.5</v>
      </c>
      <c r="B127" s="29" t="n">
        <f aca="false">MIN(LTV*A127,LOOKUP(A127,LoanLo,LoanCap))</f>
        <v>4</v>
      </c>
      <c r="C127" s="30" t="n">
        <f aca="false">A127*IF(A127&lt;=6,0.01,IF(A127&lt;=9,(A127*2/3-3)/100,0.03))*(1+EduAcq)</f>
        <v>0.7095</v>
      </c>
      <c r="D127" s="30" t="n">
        <f aca="false">A127*LOOKUP(A127,FeeLo,FeeR)*(1+VAT)+EtcBuy</f>
        <v>0.18555</v>
      </c>
      <c r="E127" s="29" t="n">
        <f aca="false">A127-B127+C127+D127</f>
        <v>18.39505</v>
      </c>
    </row>
    <row r="128" customFormat="false" ht="15" hidden="false" customHeight="false" outlineLevel="0" collapsed="false">
      <c r="A128" s="41" t="n">
        <f aca="false">ROUND(A127+0.1,1)</f>
        <v>21.6</v>
      </c>
      <c r="B128" s="29" t="n">
        <f aca="false">MIN(LTV*A128,LOOKUP(A128,LoanLo,LoanCap))</f>
        <v>4</v>
      </c>
      <c r="C128" s="30" t="n">
        <f aca="false">A128*IF(A128&lt;=6,0.01,IF(A128&lt;=9,(A128*2/3-3)/100,0.03))*(1+EduAcq)</f>
        <v>0.7128</v>
      </c>
      <c r="D128" s="30" t="n">
        <f aca="false">A128*LOOKUP(A128,FeeLo,FeeR)*(1+VAT)+EtcBuy</f>
        <v>0.18632</v>
      </c>
      <c r="E128" s="29" t="n">
        <f aca="false">A128-B128+C128+D128</f>
        <v>18.49912</v>
      </c>
    </row>
    <row r="129" customFormat="false" ht="15" hidden="false" customHeight="false" outlineLevel="0" collapsed="false">
      <c r="A129" s="41" t="n">
        <f aca="false">ROUND(A128+0.1,1)</f>
        <v>21.7</v>
      </c>
      <c r="B129" s="29" t="n">
        <f aca="false">MIN(LTV*A129,LOOKUP(A129,LoanLo,LoanCap))</f>
        <v>4</v>
      </c>
      <c r="C129" s="30" t="n">
        <f aca="false">A129*IF(A129&lt;=6,0.01,IF(A129&lt;=9,(A129*2/3-3)/100,0.03))*(1+EduAcq)</f>
        <v>0.7161</v>
      </c>
      <c r="D129" s="30" t="n">
        <f aca="false">A129*LOOKUP(A129,FeeLo,FeeR)*(1+VAT)+EtcBuy</f>
        <v>0.18709</v>
      </c>
      <c r="E129" s="29" t="n">
        <f aca="false">A129-B129+C129+D129</f>
        <v>18.60319</v>
      </c>
    </row>
    <row r="130" customFormat="false" ht="15" hidden="false" customHeight="false" outlineLevel="0" collapsed="false">
      <c r="A130" s="41" t="n">
        <f aca="false">ROUND(A129+0.1,1)</f>
        <v>21.8</v>
      </c>
      <c r="B130" s="29" t="n">
        <f aca="false">MIN(LTV*A130,LOOKUP(A130,LoanLo,LoanCap))</f>
        <v>4</v>
      </c>
      <c r="C130" s="30" t="n">
        <f aca="false">A130*IF(A130&lt;=6,0.01,IF(A130&lt;=9,(A130*2/3-3)/100,0.03))*(1+EduAcq)</f>
        <v>0.7194</v>
      </c>
      <c r="D130" s="30" t="n">
        <f aca="false">A130*LOOKUP(A130,FeeLo,FeeR)*(1+VAT)+EtcBuy</f>
        <v>0.18786</v>
      </c>
      <c r="E130" s="29" t="n">
        <f aca="false">A130-B130+C130+D130</f>
        <v>18.70726</v>
      </c>
    </row>
    <row r="131" customFormat="false" ht="15" hidden="false" customHeight="false" outlineLevel="0" collapsed="false">
      <c r="A131" s="41" t="n">
        <f aca="false">ROUND(A130+0.1,1)</f>
        <v>21.9</v>
      </c>
      <c r="B131" s="29" t="n">
        <f aca="false">MIN(LTV*A131,LOOKUP(A131,LoanLo,LoanCap))</f>
        <v>4</v>
      </c>
      <c r="C131" s="30" t="n">
        <f aca="false">A131*IF(A131&lt;=6,0.01,IF(A131&lt;=9,(A131*2/3-3)/100,0.03))*(1+EduAcq)</f>
        <v>0.7227</v>
      </c>
      <c r="D131" s="30" t="n">
        <f aca="false">A131*LOOKUP(A131,FeeLo,FeeR)*(1+VAT)+EtcBuy</f>
        <v>0.18863</v>
      </c>
      <c r="E131" s="29" t="n">
        <f aca="false">A131-B131+C131+D131</f>
        <v>18.81133</v>
      </c>
    </row>
    <row r="132" customFormat="false" ht="15" hidden="false" customHeight="false" outlineLevel="0" collapsed="false">
      <c r="A132" s="41" t="n">
        <f aca="false">ROUND(A131+0.1,1)</f>
        <v>22</v>
      </c>
      <c r="B132" s="29" t="n">
        <f aca="false">MIN(LTV*A132,LOOKUP(A132,LoanLo,LoanCap))</f>
        <v>4</v>
      </c>
      <c r="C132" s="30" t="n">
        <f aca="false">A132*IF(A132&lt;=6,0.01,IF(A132&lt;=9,(A132*2/3-3)/100,0.03))*(1+EduAcq)</f>
        <v>0.726</v>
      </c>
      <c r="D132" s="30" t="n">
        <f aca="false">A132*LOOKUP(A132,FeeLo,FeeR)*(1+VAT)+EtcBuy</f>
        <v>0.1894</v>
      </c>
      <c r="E132" s="29" t="n">
        <f aca="false">A132-B132+C132+D132</f>
        <v>18.9154</v>
      </c>
    </row>
    <row r="133" customFormat="false" ht="15" hidden="false" customHeight="false" outlineLevel="0" collapsed="false">
      <c r="A133" s="41" t="n">
        <f aca="false">ROUND(A132+0.1,1)</f>
        <v>22.1</v>
      </c>
      <c r="B133" s="29" t="n">
        <f aca="false">MIN(LTV*A133,LOOKUP(A133,LoanLo,LoanCap))</f>
        <v>4</v>
      </c>
      <c r="C133" s="30" t="n">
        <f aca="false">A133*IF(A133&lt;=6,0.01,IF(A133&lt;=9,(A133*2/3-3)/100,0.03))*(1+EduAcq)</f>
        <v>0.7293</v>
      </c>
      <c r="D133" s="30" t="n">
        <f aca="false">A133*LOOKUP(A133,FeeLo,FeeR)*(1+VAT)+EtcBuy</f>
        <v>0.19017</v>
      </c>
      <c r="E133" s="29" t="n">
        <f aca="false">A133-B133+C133+D133</f>
        <v>19.01947</v>
      </c>
    </row>
    <row r="134" customFormat="false" ht="15" hidden="false" customHeight="false" outlineLevel="0" collapsed="false">
      <c r="A134" s="41" t="n">
        <f aca="false">ROUND(A133+0.1,1)</f>
        <v>22.2</v>
      </c>
      <c r="B134" s="29" t="n">
        <f aca="false">MIN(LTV*A134,LOOKUP(A134,LoanLo,LoanCap))</f>
        <v>4</v>
      </c>
      <c r="C134" s="30" t="n">
        <f aca="false">A134*IF(A134&lt;=6,0.01,IF(A134&lt;=9,(A134*2/3-3)/100,0.03))*(1+EduAcq)</f>
        <v>0.7326</v>
      </c>
      <c r="D134" s="30" t="n">
        <f aca="false">A134*LOOKUP(A134,FeeLo,FeeR)*(1+VAT)+EtcBuy</f>
        <v>0.19094</v>
      </c>
      <c r="E134" s="29" t="n">
        <f aca="false">A134-B134+C134+D134</f>
        <v>19.12354</v>
      </c>
    </row>
    <row r="135" customFormat="false" ht="15" hidden="false" customHeight="false" outlineLevel="0" collapsed="false">
      <c r="A135" s="41" t="n">
        <f aca="false">ROUND(A134+0.1,1)</f>
        <v>22.3</v>
      </c>
      <c r="B135" s="29" t="n">
        <f aca="false">MIN(LTV*A135,LOOKUP(A135,LoanLo,LoanCap))</f>
        <v>4</v>
      </c>
      <c r="C135" s="30" t="n">
        <f aca="false">A135*IF(A135&lt;=6,0.01,IF(A135&lt;=9,(A135*2/3-3)/100,0.03))*(1+EduAcq)</f>
        <v>0.7359</v>
      </c>
      <c r="D135" s="30" t="n">
        <f aca="false">A135*LOOKUP(A135,FeeLo,FeeR)*(1+VAT)+EtcBuy</f>
        <v>0.19171</v>
      </c>
      <c r="E135" s="29" t="n">
        <f aca="false">A135-B135+C135+D135</f>
        <v>19.22761</v>
      </c>
    </row>
    <row r="136" customFormat="false" ht="15" hidden="false" customHeight="false" outlineLevel="0" collapsed="false">
      <c r="A136" s="41" t="n">
        <f aca="false">ROUND(A135+0.1,1)</f>
        <v>22.4</v>
      </c>
      <c r="B136" s="29" t="n">
        <f aca="false">MIN(LTV*A136,LOOKUP(A136,LoanLo,LoanCap))</f>
        <v>4</v>
      </c>
      <c r="C136" s="30" t="n">
        <f aca="false">A136*IF(A136&lt;=6,0.01,IF(A136&lt;=9,(A136*2/3-3)/100,0.03))*(1+EduAcq)</f>
        <v>0.7392</v>
      </c>
      <c r="D136" s="30" t="n">
        <f aca="false">A136*LOOKUP(A136,FeeLo,FeeR)*(1+VAT)+EtcBuy</f>
        <v>0.19248</v>
      </c>
      <c r="E136" s="29" t="n">
        <f aca="false">A136-B136+C136+D136</f>
        <v>19.33168</v>
      </c>
    </row>
    <row r="137" customFormat="false" ht="15" hidden="false" customHeight="false" outlineLevel="0" collapsed="false">
      <c r="A137" s="41" t="n">
        <f aca="false">ROUND(A136+0.1,1)</f>
        <v>22.5</v>
      </c>
      <c r="B137" s="29" t="n">
        <f aca="false">MIN(LTV*A137,LOOKUP(A137,LoanLo,LoanCap))</f>
        <v>4</v>
      </c>
      <c r="C137" s="30" t="n">
        <f aca="false">A137*IF(A137&lt;=6,0.01,IF(A137&lt;=9,(A137*2/3-3)/100,0.03))*(1+EduAcq)</f>
        <v>0.7425</v>
      </c>
      <c r="D137" s="30" t="n">
        <f aca="false">A137*LOOKUP(A137,FeeLo,FeeR)*(1+VAT)+EtcBuy</f>
        <v>0.19325</v>
      </c>
      <c r="E137" s="29" t="n">
        <f aca="false">A137-B137+C137+D137</f>
        <v>19.43575</v>
      </c>
    </row>
    <row r="138" customFormat="false" ht="15" hidden="false" customHeight="false" outlineLevel="0" collapsed="false">
      <c r="A138" s="41" t="n">
        <f aca="false">ROUND(A137+0.1,1)</f>
        <v>22.6</v>
      </c>
      <c r="B138" s="29" t="n">
        <f aca="false">MIN(LTV*A138,LOOKUP(A138,LoanLo,LoanCap))</f>
        <v>4</v>
      </c>
      <c r="C138" s="30" t="n">
        <f aca="false">A138*IF(A138&lt;=6,0.01,IF(A138&lt;=9,(A138*2/3-3)/100,0.03))*(1+EduAcq)</f>
        <v>0.7458</v>
      </c>
      <c r="D138" s="30" t="n">
        <f aca="false">A138*LOOKUP(A138,FeeLo,FeeR)*(1+VAT)+EtcBuy</f>
        <v>0.19402</v>
      </c>
      <c r="E138" s="29" t="n">
        <f aca="false">A138-B138+C138+D138</f>
        <v>19.53982</v>
      </c>
    </row>
    <row r="139" customFormat="false" ht="15" hidden="false" customHeight="false" outlineLevel="0" collapsed="false">
      <c r="A139" s="41" t="n">
        <f aca="false">ROUND(A138+0.1,1)</f>
        <v>22.7</v>
      </c>
      <c r="B139" s="29" t="n">
        <f aca="false">MIN(LTV*A139,LOOKUP(A139,LoanLo,LoanCap))</f>
        <v>4</v>
      </c>
      <c r="C139" s="30" t="n">
        <f aca="false">A139*IF(A139&lt;=6,0.01,IF(A139&lt;=9,(A139*2/3-3)/100,0.03))*(1+EduAcq)</f>
        <v>0.7491</v>
      </c>
      <c r="D139" s="30" t="n">
        <f aca="false">A139*LOOKUP(A139,FeeLo,FeeR)*(1+VAT)+EtcBuy</f>
        <v>0.19479</v>
      </c>
      <c r="E139" s="29" t="n">
        <f aca="false">A139-B139+C139+D139</f>
        <v>19.64389</v>
      </c>
    </row>
    <row r="140" customFormat="false" ht="15" hidden="false" customHeight="false" outlineLevel="0" collapsed="false">
      <c r="A140" s="41" t="n">
        <f aca="false">ROUND(A139+0.1,1)</f>
        <v>22.8</v>
      </c>
      <c r="B140" s="29" t="n">
        <f aca="false">MIN(LTV*A140,LOOKUP(A140,LoanLo,LoanCap))</f>
        <v>4</v>
      </c>
      <c r="C140" s="30" t="n">
        <f aca="false">A140*IF(A140&lt;=6,0.01,IF(A140&lt;=9,(A140*2/3-3)/100,0.03))*(1+EduAcq)</f>
        <v>0.7524</v>
      </c>
      <c r="D140" s="30" t="n">
        <f aca="false">A140*LOOKUP(A140,FeeLo,FeeR)*(1+VAT)+EtcBuy</f>
        <v>0.19556</v>
      </c>
      <c r="E140" s="29" t="n">
        <f aca="false">A140-B140+C140+D140</f>
        <v>19.74796</v>
      </c>
    </row>
    <row r="141" customFormat="false" ht="15" hidden="false" customHeight="false" outlineLevel="0" collapsed="false">
      <c r="A141" s="41" t="n">
        <f aca="false">ROUND(A140+0.1,1)</f>
        <v>22.9</v>
      </c>
      <c r="B141" s="29" t="n">
        <f aca="false">MIN(LTV*A141,LOOKUP(A141,LoanLo,LoanCap))</f>
        <v>4</v>
      </c>
      <c r="C141" s="30" t="n">
        <f aca="false">A141*IF(A141&lt;=6,0.01,IF(A141&lt;=9,(A141*2/3-3)/100,0.03))*(1+EduAcq)</f>
        <v>0.7557</v>
      </c>
      <c r="D141" s="30" t="n">
        <f aca="false">A141*LOOKUP(A141,FeeLo,FeeR)*(1+VAT)+EtcBuy</f>
        <v>0.19633</v>
      </c>
      <c r="E141" s="29" t="n">
        <f aca="false">A141-B141+C141+D141</f>
        <v>19.85203</v>
      </c>
    </row>
    <row r="142" customFormat="false" ht="15" hidden="false" customHeight="false" outlineLevel="0" collapsed="false">
      <c r="A142" s="41" t="n">
        <f aca="false">ROUND(A141+0.1,1)</f>
        <v>23</v>
      </c>
      <c r="B142" s="29" t="n">
        <f aca="false">MIN(LTV*A142,LOOKUP(A142,LoanLo,LoanCap))</f>
        <v>4</v>
      </c>
      <c r="C142" s="30" t="n">
        <f aca="false">A142*IF(A142&lt;=6,0.01,IF(A142&lt;=9,(A142*2/3-3)/100,0.03))*(1+EduAcq)</f>
        <v>0.759</v>
      </c>
      <c r="D142" s="30" t="n">
        <f aca="false">A142*LOOKUP(A142,FeeLo,FeeR)*(1+VAT)+EtcBuy</f>
        <v>0.1971</v>
      </c>
      <c r="E142" s="29" t="n">
        <f aca="false">A142-B142+C142+D142</f>
        <v>19.9561</v>
      </c>
    </row>
    <row r="143" customFormat="false" ht="15" hidden="false" customHeight="false" outlineLevel="0" collapsed="false">
      <c r="A143" s="41" t="n">
        <f aca="false">ROUND(A142+0.1,1)</f>
        <v>23.1</v>
      </c>
      <c r="B143" s="29" t="n">
        <f aca="false">MIN(LTV*A143,LOOKUP(A143,LoanLo,LoanCap))</f>
        <v>4</v>
      </c>
      <c r="C143" s="30" t="n">
        <f aca="false">A143*IF(A143&lt;=6,0.01,IF(A143&lt;=9,(A143*2/3-3)/100,0.03))*(1+EduAcq)</f>
        <v>0.7623</v>
      </c>
      <c r="D143" s="30" t="n">
        <f aca="false">A143*LOOKUP(A143,FeeLo,FeeR)*(1+VAT)+EtcBuy</f>
        <v>0.19787</v>
      </c>
      <c r="E143" s="29" t="n">
        <f aca="false">A143-B143+C143+D143</f>
        <v>20.06017</v>
      </c>
    </row>
    <row r="144" customFormat="false" ht="15" hidden="false" customHeight="false" outlineLevel="0" collapsed="false">
      <c r="A144" s="41" t="n">
        <f aca="false">ROUND(A143+0.1,1)</f>
        <v>23.2</v>
      </c>
      <c r="B144" s="29" t="n">
        <f aca="false">MIN(LTV*A144,LOOKUP(A144,LoanLo,LoanCap))</f>
        <v>4</v>
      </c>
      <c r="C144" s="30" t="n">
        <f aca="false">A144*IF(A144&lt;=6,0.01,IF(A144&lt;=9,(A144*2/3-3)/100,0.03))*(1+EduAcq)</f>
        <v>0.7656</v>
      </c>
      <c r="D144" s="30" t="n">
        <f aca="false">A144*LOOKUP(A144,FeeLo,FeeR)*(1+VAT)+EtcBuy</f>
        <v>0.19864</v>
      </c>
      <c r="E144" s="29" t="n">
        <f aca="false">A144-B144+C144+D144</f>
        <v>20.16424</v>
      </c>
    </row>
    <row r="145" customFormat="false" ht="15" hidden="false" customHeight="false" outlineLevel="0" collapsed="false">
      <c r="A145" s="41" t="n">
        <f aca="false">ROUND(A144+0.1,1)</f>
        <v>23.3</v>
      </c>
      <c r="B145" s="29" t="n">
        <f aca="false">MIN(LTV*A145,LOOKUP(A145,LoanLo,LoanCap))</f>
        <v>4</v>
      </c>
      <c r="C145" s="30" t="n">
        <f aca="false">A145*IF(A145&lt;=6,0.01,IF(A145&lt;=9,(A145*2/3-3)/100,0.03))*(1+EduAcq)</f>
        <v>0.7689</v>
      </c>
      <c r="D145" s="30" t="n">
        <f aca="false">A145*LOOKUP(A145,FeeLo,FeeR)*(1+VAT)+EtcBuy</f>
        <v>0.19941</v>
      </c>
      <c r="E145" s="29" t="n">
        <f aca="false">A145-B145+C145+D145</f>
        <v>20.26831</v>
      </c>
    </row>
    <row r="146" customFormat="false" ht="15" hidden="false" customHeight="false" outlineLevel="0" collapsed="false">
      <c r="A146" s="41" t="n">
        <f aca="false">ROUND(A145+0.1,1)</f>
        <v>23.4</v>
      </c>
      <c r="B146" s="29" t="n">
        <f aca="false">MIN(LTV*A146,LOOKUP(A146,LoanLo,LoanCap))</f>
        <v>4</v>
      </c>
      <c r="C146" s="30" t="n">
        <f aca="false">A146*IF(A146&lt;=6,0.01,IF(A146&lt;=9,(A146*2/3-3)/100,0.03))*(1+EduAcq)</f>
        <v>0.7722</v>
      </c>
      <c r="D146" s="30" t="n">
        <f aca="false">A146*LOOKUP(A146,FeeLo,FeeR)*(1+VAT)+EtcBuy</f>
        <v>0.20018</v>
      </c>
      <c r="E146" s="29" t="n">
        <f aca="false">A146-B146+C146+D146</f>
        <v>20.37238</v>
      </c>
    </row>
    <row r="147" customFormat="false" ht="15" hidden="false" customHeight="false" outlineLevel="0" collapsed="false">
      <c r="A147" s="41" t="n">
        <f aca="false">ROUND(A146+0.1,1)</f>
        <v>23.5</v>
      </c>
      <c r="B147" s="29" t="n">
        <f aca="false">MIN(LTV*A147,LOOKUP(A147,LoanLo,LoanCap))</f>
        <v>4</v>
      </c>
      <c r="C147" s="30" t="n">
        <f aca="false">A147*IF(A147&lt;=6,0.01,IF(A147&lt;=9,(A147*2/3-3)/100,0.03))*(1+EduAcq)</f>
        <v>0.7755</v>
      </c>
      <c r="D147" s="30" t="n">
        <f aca="false">A147*LOOKUP(A147,FeeLo,FeeR)*(1+VAT)+EtcBuy</f>
        <v>0.20095</v>
      </c>
      <c r="E147" s="29" t="n">
        <f aca="false">A147-B147+C147+D147</f>
        <v>20.47645</v>
      </c>
    </row>
    <row r="148" customFormat="false" ht="15" hidden="false" customHeight="false" outlineLevel="0" collapsed="false">
      <c r="A148" s="41" t="n">
        <f aca="false">ROUND(A147+0.1,1)</f>
        <v>23.6</v>
      </c>
      <c r="B148" s="29" t="n">
        <f aca="false">MIN(LTV*A148,LOOKUP(A148,LoanLo,LoanCap))</f>
        <v>4</v>
      </c>
      <c r="C148" s="30" t="n">
        <f aca="false">A148*IF(A148&lt;=6,0.01,IF(A148&lt;=9,(A148*2/3-3)/100,0.03))*(1+EduAcq)</f>
        <v>0.7788</v>
      </c>
      <c r="D148" s="30" t="n">
        <f aca="false">A148*LOOKUP(A148,FeeLo,FeeR)*(1+VAT)+EtcBuy</f>
        <v>0.20172</v>
      </c>
      <c r="E148" s="29" t="n">
        <f aca="false">A148-B148+C148+D148</f>
        <v>20.58052</v>
      </c>
    </row>
    <row r="149" customFormat="false" ht="15" hidden="false" customHeight="false" outlineLevel="0" collapsed="false">
      <c r="A149" s="41" t="n">
        <f aca="false">ROUND(A148+0.1,1)</f>
        <v>23.7</v>
      </c>
      <c r="B149" s="29" t="n">
        <f aca="false">MIN(LTV*A149,LOOKUP(A149,LoanLo,LoanCap))</f>
        <v>4</v>
      </c>
      <c r="C149" s="30" t="n">
        <f aca="false">A149*IF(A149&lt;=6,0.01,IF(A149&lt;=9,(A149*2/3-3)/100,0.03))*(1+EduAcq)</f>
        <v>0.7821</v>
      </c>
      <c r="D149" s="30" t="n">
        <f aca="false">A149*LOOKUP(A149,FeeLo,FeeR)*(1+VAT)+EtcBuy</f>
        <v>0.20249</v>
      </c>
      <c r="E149" s="29" t="n">
        <f aca="false">A149-B149+C149+D149</f>
        <v>20.68459</v>
      </c>
    </row>
    <row r="150" customFormat="false" ht="15" hidden="false" customHeight="false" outlineLevel="0" collapsed="false">
      <c r="A150" s="41" t="n">
        <f aca="false">ROUND(A149+0.1,1)</f>
        <v>23.8</v>
      </c>
      <c r="B150" s="29" t="n">
        <f aca="false">MIN(LTV*A150,LOOKUP(A150,LoanLo,LoanCap))</f>
        <v>4</v>
      </c>
      <c r="C150" s="30" t="n">
        <f aca="false">A150*IF(A150&lt;=6,0.01,IF(A150&lt;=9,(A150*2/3-3)/100,0.03))*(1+EduAcq)</f>
        <v>0.7854</v>
      </c>
      <c r="D150" s="30" t="n">
        <f aca="false">A150*LOOKUP(A150,FeeLo,FeeR)*(1+VAT)+EtcBuy</f>
        <v>0.20326</v>
      </c>
      <c r="E150" s="29" t="n">
        <f aca="false">A150-B150+C150+D150</f>
        <v>20.78866</v>
      </c>
    </row>
    <row r="151" customFormat="false" ht="15" hidden="false" customHeight="false" outlineLevel="0" collapsed="false">
      <c r="A151" s="41" t="n">
        <f aca="false">ROUND(A150+0.1,1)</f>
        <v>23.9</v>
      </c>
      <c r="B151" s="29" t="n">
        <f aca="false">MIN(LTV*A151,LOOKUP(A151,LoanLo,LoanCap))</f>
        <v>4</v>
      </c>
      <c r="C151" s="30" t="n">
        <f aca="false">A151*IF(A151&lt;=6,0.01,IF(A151&lt;=9,(A151*2/3-3)/100,0.03))*(1+EduAcq)</f>
        <v>0.7887</v>
      </c>
      <c r="D151" s="30" t="n">
        <f aca="false">A151*LOOKUP(A151,FeeLo,FeeR)*(1+VAT)+EtcBuy</f>
        <v>0.20403</v>
      </c>
      <c r="E151" s="29" t="n">
        <f aca="false">A151-B151+C151+D151</f>
        <v>20.89273</v>
      </c>
    </row>
    <row r="152" customFormat="false" ht="15" hidden="false" customHeight="false" outlineLevel="0" collapsed="false">
      <c r="A152" s="41" t="n">
        <f aca="false">ROUND(A151+0.1,1)</f>
        <v>24</v>
      </c>
      <c r="B152" s="29" t="n">
        <f aca="false">MIN(LTV*A152,LOOKUP(A152,LoanLo,LoanCap))</f>
        <v>4</v>
      </c>
      <c r="C152" s="30" t="n">
        <f aca="false">A152*IF(A152&lt;=6,0.01,IF(A152&lt;=9,(A152*2/3-3)/100,0.03))*(1+EduAcq)</f>
        <v>0.792</v>
      </c>
      <c r="D152" s="30" t="n">
        <f aca="false">A152*LOOKUP(A152,FeeLo,FeeR)*(1+VAT)+EtcBuy</f>
        <v>0.2048</v>
      </c>
      <c r="E152" s="29" t="n">
        <f aca="false">A152-B152+C152+D152</f>
        <v>20.9968</v>
      </c>
    </row>
    <row r="153" customFormat="false" ht="15" hidden="false" customHeight="false" outlineLevel="0" collapsed="false">
      <c r="A153" s="41" t="n">
        <f aca="false">ROUND(A152+0.1,1)</f>
        <v>24.1</v>
      </c>
      <c r="B153" s="29" t="n">
        <f aca="false">MIN(LTV*A153,LOOKUP(A153,LoanLo,LoanCap))</f>
        <v>4</v>
      </c>
      <c r="C153" s="30" t="n">
        <f aca="false">A153*IF(A153&lt;=6,0.01,IF(A153&lt;=9,(A153*2/3-3)/100,0.03))*(1+EduAcq)</f>
        <v>0.7953</v>
      </c>
      <c r="D153" s="30" t="n">
        <f aca="false">A153*LOOKUP(A153,FeeLo,FeeR)*(1+VAT)+EtcBuy</f>
        <v>0.20557</v>
      </c>
      <c r="E153" s="29" t="n">
        <f aca="false">A153-B153+C153+D153</f>
        <v>21.10087</v>
      </c>
    </row>
    <row r="154" customFormat="false" ht="15" hidden="false" customHeight="false" outlineLevel="0" collapsed="false">
      <c r="A154" s="41" t="n">
        <f aca="false">ROUND(A153+0.1,1)</f>
        <v>24.2</v>
      </c>
      <c r="B154" s="29" t="n">
        <f aca="false">MIN(LTV*A154,LOOKUP(A154,LoanLo,LoanCap))</f>
        <v>4</v>
      </c>
      <c r="C154" s="30" t="n">
        <f aca="false">A154*IF(A154&lt;=6,0.01,IF(A154&lt;=9,(A154*2/3-3)/100,0.03))*(1+EduAcq)</f>
        <v>0.7986</v>
      </c>
      <c r="D154" s="30" t="n">
        <f aca="false">A154*LOOKUP(A154,FeeLo,FeeR)*(1+VAT)+EtcBuy</f>
        <v>0.20634</v>
      </c>
      <c r="E154" s="29" t="n">
        <f aca="false">A154-B154+C154+D154</f>
        <v>21.20494</v>
      </c>
    </row>
    <row r="155" customFormat="false" ht="15" hidden="false" customHeight="false" outlineLevel="0" collapsed="false">
      <c r="A155" s="41" t="n">
        <f aca="false">ROUND(A154+0.1,1)</f>
        <v>24.3</v>
      </c>
      <c r="B155" s="29" t="n">
        <f aca="false">MIN(LTV*A155,LOOKUP(A155,LoanLo,LoanCap))</f>
        <v>4</v>
      </c>
      <c r="C155" s="30" t="n">
        <f aca="false">A155*IF(A155&lt;=6,0.01,IF(A155&lt;=9,(A155*2/3-3)/100,0.03))*(1+EduAcq)</f>
        <v>0.8019</v>
      </c>
      <c r="D155" s="30" t="n">
        <f aca="false">A155*LOOKUP(A155,FeeLo,FeeR)*(1+VAT)+EtcBuy</f>
        <v>0.20711</v>
      </c>
      <c r="E155" s="29" t="n">
        <f aca="false">A155-B155+C155+D155</f>
        <v>21.30901</v>
      </c>
    </row>
    <row r="156" customFormat="false" ht="15" hidden="false" customHeight="false" outlineLevel="0" collapsed="false">
      <c r="A156" s="41" t="n">
        <f aca="false">ROUND(A155+0.1,1)</f>
        <v>24.4</v>
      </c>
      <c r="B156" s="29" t="n">
        <f aca="false">MIN(LTV*A156,LOOKUP(A156,LoanLo,LoanCap))</f>
        <v>4</v>
      </c>
      <c r="C156" s="30" t="n">
        <f aca="false">A156*IF(A156&lt;=6,0.01,IF(A156&lt;=9,(A156*2/3-3)/100,0.03))*(1+EduAcq)</f>
        <v>0.8052</v>
      </c>
      <c r="D156" s="30" t="n">
        <f aca="false">A156*LOOKUP(A156,FeeLo,FeeR)*(1+VAT)+EtcBuy</f>
        <v>0.20788</v>
      </c>
      <c r="E156" s="29" t="n">
        <f aca="false">A156-B156+C156+D156</f>
        <v>21.41308</v>
      </c>
    </row>
    <row r="157" customFormat="false" ht="15" hidden="false" customHeight="false" outlineLevel="0" collapsed="false">
      <c r="A157" s="41" t="n">
        <f aca="false">ROUND(A156+0.1,1)</f>
        <v>24.5</v>
      </c>
      <c r="B157" s="29" t="n">
        <f aca="false">MIN(LTV*A157,LOOKUP(A157,LoanLo,LoanCap))</f>
        <v>4</v>
      </c>
      <c r="C157" s="30" t="n">
        <f aca="false">A157*IF(A157&lt;=6,0.01,IF(A157&lt;=9,(A157*2/3-3)/100,0.03))*(1+EduAcq)</f>
        <v>0.8085</v>
      </c>
      <c r="D157" s="30" t="n">
        <f aca="false">A157*LOOKUP(A157,FeeLo,FeeR)*(1+VAT)+EtcBuy</f>
        <v>0.20865</v>
      </c>
      <c r="E157" s="29" t="n">
        <f aca="false">A157-B157+C157+D157</f>
        <v>21.51715</v>
      </c>
    </row>
    <row r="158" customFormat="false" ht="15" hidden="false" customHeight="false" outlineLevel="0" collapsed="false">
      <c r="A158" s="41" t="n">
        <f aca="false">ROUND(A157+0.1,1)</f>
        <v>24.6</v>
      </c>
      <c r="B158" s="29" t="n">
        <f aca="false">MIN(LTV*A158,LOOKUP(A158,LoanLo,LoanCap))</f>
        <v>4</v>
      </c>
      <c r="C158" s="30" t="n">
        <f aca="false">A158*IF(A158&lt;=6,0.01,IF(A158&lt;=9,(A158*2/3-3)/100,0.03))*(1+EduAcq)</f>
        <v>0.8118</v>
      </c>
      <c r="D158" s="30" t="n">
        <f aca="false">A158*LOOKUP(A158,FeeLo,FeeR)*(1+VAT)+EtcBuy</f>
        <v>0.20942</v>
      </c>
      <c r="E158" s="29" t="n">
        <f aca="false">A158-B158+C158+D158</f>
        <v>21.62122</v>
      </c>
    </row>
    <row r="159" customFormat="false" ht="15" hidden="false" customHeight="false" outlineLevel="0" collapsed="false">
      <c r="A159" s="41" t="n">
        <f aca="false">ROUND(A158+0.1,1)</f>
        <v>24.7</v>
      </c>
      <c r="B159" s="29" t="n">
        <f aca="false">MIN(LTV*A159,LOOKUP(A159,LoanLo,LoanCap))</f>
        <v>4</v>
      </c>
      <c r="C159" s="30" t="n">
        <f aca="false">A159*IF(A159&lt;=6,0.01,IF(A159&lt;=9,(A159*2/3-3)/100,0.03))*(1+EduAcq)</f>
        <v>0.8151</v>
      </c>
      <c r="D159" s="30" t="n">
        <f aca="false">A159*LOOKUP(A159,FeeLo,FeeR)*(1+VAT)+EtcBuy</f>
        <v>0.21019</v>
      </c>
      <c r="E159" s="29" t="n">
        <f aca="false">A159-B159+C159+D159</f>
        <v>21.72529</v>
      </c>
    </row>
    <row r="160" customFormat="false" ht="15" hidden="false" customHeight="false" outlineLevel="0" collapsed="false">
      <c r="A160" s="41" t="n">
        <f aca="false">ROUND(A159+0.1,1)</f>
        <v>24.8</v>
      </c>
      <c r="B160" s="29" t="n">
        <f aca="false">MIN(LTV*A160,LOOKUP(A160,LoanLo,LoanCap))</f>
        <v>4</v>
      </c>
      <c r="C160" s="30" t="n">
        <f aca="false">A160*IF(A160&lt;=6,0.01,IF(A160&lt;=9,(A160*2/3-3)/100,0.03))*(1+EduAcq)</f>
        <v>0.8184</v>
      </c>
      <c r="D160" s="30" t="n">
        <f aca="false">A160*LOOKUP(A160,FeeLo,FeeR)*(1+VAT)+EtcBuy</f>
        <v>0.21096</v>
      </c>
      <c r="E160" s="29" t="n">
        <f aca="false">A160-B160+C160+D160</f>
        <v>21.82936</v>
      </c>
    </row>
    <row r="161" customFormat="false" ht="15" hidden="false" customHeight="false" outlineLevel="0" collapsed="false">
      <c r="A161" s="41" t="n">
        <f aca="false">ROUND(A160+0.1,1)</f>
        <v>24.9</v>
      </c>
      <c r="B161" s="29" t="n">
        <f aca="false">MIN(LTV*A161,LOOKUP(A161,LoanLo,LoanCap))</f>
        <v>4</v>
      </c>
      <c r="C161" s="30" t="n">
        <f aca="false">A161*IF(A161&lt;=6,0.01,IF(A161&lt;=9,(A161*2/3-3)/100,0.03))*(1+EduAcq)</f>
        <v>0.8217</v>
      </c>
      <c r="D161" s="30" t="n">
        <f aca="false">A161*LOOKUP(A161,FeeLo,FeeR)*(1+VAT)+EtcBuy</f>
        <v>0.21173</v>
      </c>
      <c r="E161" s="29" t="n">
        <f aca="false">A161-B161+C161+D161</f>
        <v>21.93343</v>
      </c>
    </row>
    <row r="162" customFormat="false" ht="15" hidden="false" customHeight="false" outlineLevel="0" collapsed="false">
      <c r="A162" s="41" t="n">
        <f aca="false">ROUND(A161+0.1,1)</f>
        <v>25</v>
      </c>
      <c r="B162" s="29" t="n">
        <f aca="false">MIN(LTV*A162,LOOKUP(A162,LoanLo,LoanCap))</f>
        <v>4</v>
      </c>
      <c r="C162" s="30" t="n">
        <f aca="false">A162*IF(A162&lt;=6,0.01,IF(A162&lt;=9,(A162*2/3-3)/100,0.03))*(1+EduAcq)</f>
        <v>0.825</v>
      </c>
      <c r="D162" s="30" t="n">
        <f aca="false">A162*LOOKUP(A162,FeeLo,FeeR)*(1+VAT)+EtcBuy</f>
        <v>0.2125</v>
      </c>
      <c r="E162" s="29" t="n">
        <f aca="false">A162-B162+C162+D162</f>
        <v>22.0375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9.4" hidden="false" customHeight="false" outlineLevel="0" collapsed="false">
      <c r="A1" s="1" t="s">
        <v>153</v>
      </c>
    </row>
    <row r="3" customFormat="false" ht="42" hidden="false" customHeight="true" outlineLevel="0" collapsed="false">
      <c r="A3" s="9" t="s">
        <v>154</v>
      </c>
      <c r="B3" s="9" t="s">
        <v>155</v>
      </c>
      <c r="C3" s="9" t="s">
        <v>156</v>
      </c>
    </row>
    <row r="4" customFormat="false" ht="15" hidden="false" customHeight="false" outlineLevel="0" collapsed="false">
      <c r="A4" s="4" t="s">
        <v>157</v>
      </c>
      <c r="B4" s="43" t="n">
        <v>12</v>
      </c>
      <c r="C4" s="26" t="s">
        <v>158</v>
      </c>
    </row>
    <row r="5" customFormat="false" ht="15" hidden="false" customHeight="false" outlineLevel="0" collapsed="false">
      <c r="A5" s="4" t="s">
        <v>159</v>
      </c>
      <c r="B5" s="43" t="n">
        <v>14</v>
      </c>
      <c r="C5" s="26" t="s">
        <v>160</v>
      </c>
    </row>
    <row r="6" customFormat="false" ht="15" hidden="false" customHeight="false" outlineLevel="0" collapsed="false">
      <c r="A6" s="4" t="s">
        <v>161</v>
      </c>
      <c r="B6" s="43" t="n">
        <v>16</v>
      </c>
      <c r="C6" s="26" t="s">
        <v>162</v>
      </c>
    </row>
    <row r="7" customFormat="false" ht="15" hidden="false" customHeight="false" outlineLevel="0" collapsed="false">
      <c r="A7" s="4" t="s">
        <v>163</v>
      </c>
      <c r="B7" s="44" t="n">
        <v>0.04</v>
      </c>
      <c r="C7" s="26" t="s">
        <v>164</v>
      </c>
    </row>
    <row r="8" customFormat="false" ht="15" hidden="false" customHeight="false" outlineLevel="0" collapsed="false">
      <c r="A8" s="4" t="s">
        <v>165</v>
      </c>
      <c r="B8" s="45" t="n">
        <v>30</v>
      </c>
      <c r="C8" s="26" t="s">
        <v>166</v>
      </c>
    </row>
    <row r="9" customFormat="false" ht="15" hidden="false" customHeight="false" outlineLevel="0" collapsed="false">
      <c r="A9" s="3" t="s">
        <v>167</v>
      </c>
      <c r="B9" s="46" t="n">
        <v>0.4</v>
      </c>
      <c r="C9" s="33" t="s">
        <v>168</v>
      </c>
    </row>
    <row r="10" customFormat="false" ht="15" hidden="false" customHeight="false" outlineLevel="0" collapsed="false">
      <c r="A10" s="3" t="s">
        <v>169</v>
      </c>
      <c r="B10" s="47" t="n">
        <v>0.03</v>
      </c>
      <c r="C10" s="26" t="s">
        <v>170</v>
      </c>
    </row>
    <row r="11" customFormat="false" ht="15" hidden="false" customHeight="false" outlineLevel="0" collapsed="false">
      <c r="A11" s="3" t="s">
        <v>171</v>
      </c>
      <c r="B11" s="48" t="n">
        <v>0.4</v>
      </c>
      <c r="C11" s="26" t="s">
        <v>172</v>
      </c>
    </row>
    <row r="12" customFormat="false" ht="15" hidden="false" customHeight="false" outlineLevel="0" collapsed="false">
      <c r="A12" s="4" t="s">
        <v>173</v>
      </c>
      <c r="B12" s="49" t="n">
        <v>0.02</v>
      </c>
      <c r="C12" s="26" t="s">
        <v>174</v>
      </c>
    </row>
    <row r="13" customFormat="false" ht="15" hidden="false" customHeight="false" outlineLevel="0" collapsed="false">
      <c r="A13" s="4" t="s">
        <v>175</v>
      </c>
      <c r="B13" s="49" t="n">
        <v>0.04</v>
      </c>
      <c r="C13" s="26" t="s">
        <v>176</v>
      </c>
    </row>
    <row r="14" customFormat="false" ht="15" hidden="false" customHeight="false" outlineLevel="0" collapsed="false">
      <c r="A14" s="4" t="s">
        <v>177</v>
      </c>
      <c r="B14" s="49" t="n">
        <v>0.06</v>
      </c>
      <c r="C14" s="26" t="s">
        <v>178</v>
      </c>
    </row>
    <row r="15" customFormat="false" ht="15" hidden="false" customHeight="false" outlineLevel="0" collapsed="false">
      <c r="A15" s="4" t="s">
        <v>179</v>
      </c>
      <c r="B15" s="48" t="n">
        <v>0.52</v>
      </c>
      <c r="C15" s="26" t="s">
        <v>180</v>
      </c>
    </row>
    <row r="16" customFormat="false" ht="15" hidden="false" customHeight="false" outlineLevel="0" collapsed="false">
      <c r="A16" s="4" t="s">
        <v>181</v>
      </c>
      <c r="B16" s="48" t="n">
        <v>0.69</v>
      </c>
      <c r="C16" s="33" t="s">
        <v>182</v>
      </c>
    </row>
    <row r="17" customFormat="false" ht="15" hidden="false" customHeight="false" outlineLevel="0" collapsed="false">
      <c r="A17" s="4" t="s">
        <v>183</v>
      </c>
      <c r="B17" s="48" t="n">
        <v>0.6</v>
      </c>
      <c r="C17" s="33" t="s">
        <v>184</v>
      </c>
    </row>
    <row r="18" customFormat="false" ht="15" hidden="false" customHeight="false" outlineLevel="0" collapsed="false">
      <c r="A18" s="4" t="s">
        <v>185</v>
      </c>
      <c r="B18" s="48" t="n">
        <v>0.6</v>
      </c>
      <c r="C18" s="26" t="s">
        <v>186</v>
      </c>
    </row>
    <row r="19" customFormat="false" ht="15" hidden="false" customHeight="false" outlineLevel="0" collapsed="false">
      <c r="A19" s="4" t="s">
        <v>187</v>
      </c>
      <c r="B19" s="42" t="n">
        <v>12</v>
      </c>
      <c r="C19" s="33" t="s">
        <v>188</v>
      </c>
    </row>
    <row r="20" customFormat="false" ht="15" hidden="false" customHeight="false" outlineLevel="0" collapsed="false">
      <c r="A20" s="4" t="s">
        <v>189</v>
      </c>
      <c r="B20" s="42" t="n">
        <v>9</v>
      </c>
      <c r="C20" s="33" t="s">
        <v>190</v>
      </c>
    </row>
    <row r="21" customFormat="false" ht="15" hidden="false" customHeight="false" outlineLevel="0" collapsed="false">
      <c r="A21" s="4" t="s">
        <v>191</v>
      </c>
      <c r="B21" s="50" t="n">
        <v>0.0014</v>
      </c>
      <c r="C21" s="26" t="s">
        <v>192</v>
      </c>
    </row>
    <row r="22" customFormat="false" ht="15" hidden="false" customHeight="false" outlineLevel="0" collapsed="false">
      <c r="A22" s="4" t="s">
        <v>193</v>
      </c>
      <c r="B22" s="48" t="n">
        <v>0.2</v>
      </c>
      <c r="C22" s="26" t="s">
        <v>194</v>
      </c>
    </row>
    <row r="23" customFormat="false" ht="15" hidden="false" customHeight="false" outlineLevel="0" collapsed="false">
      <c r="A23" s="4" t="s">
        <v>195</v>
      </c>
      <c r="B23" s="48" t="n">
        <v>0.2</v>
      </c>
      <c r="C23" s="26" t="s">
        <v>196</v>
      </c>
    </row>
    <row r="24" customFormat="false" ht="15" hidden="false" customHeight="false" outlineLevel="0" collapsed="false">
      <c r="A24" s="4" t="s">
        <v>197</v>
      </c>
      <c r="B24" s="48" t="n">
        <v>0.1</v>
      </c>
      <c r="C24" s="33" t="s">
        <v>198</v>
      </c>
    </row>
    <row r="25" customFormat="false" ht="15" hidden="false" customHeight="false" outlineLevel="0" collapsed="false">
      <c r="A25" s="4" t="s">
        <v>199</v>
      </c>
      <c r="B25" s="47" t="n">
        <v>0.002</v>
      </c>
      <c r="C25" s="26" t="s">
        <v>200</v>
      </c>
    </row>
    <row r="26" customFormat="false" ht="15" hidden="false" customHeight="false" outlineLevel="0" collapsed="false">
      <c r="A26" s="4" t="s">
        <v>201</v>
      </c>
      <c r="B26" s="48" t="n">
        <v>0.1</v>
      </c>
      <c r="C26" s="26" t="s">
        <v>202</v>
      </c>
    </row>
    <row r="27" customFormat="false" ht="15" hidden="false" customHeight="false" outlineLevel="0" collapsed="false">
      <c r="A27" s="4" t="s">
        <v>203</v>
      </c>
      <c r="B27" s="24" t="n">
        <v>0.02</v>
      </c>
      <c r="C27" s="26" t="s">
        <v>204</v>
      </c>
    </row>
    <row r="28" customFormat="false" ht="15" hidden="false" customHeight="false" outlineLevel="0" collapsed="false">
      <c r="A28" s="4" t="s">
        <v>205</v>
      </c>
      <c r="B28" s="51" t="n">
        <v>0.025</v>
      </c>
      <c r="C28" s="26" t="s">
        <v>206</v>
      </c>
    </row>
    <row r="29" customFormat="false" ht="15" hidden="false" customHeight="false" outlineLevel="0" collapsed="false">
      <c r="A29" s="4" t="s">
        <v>207</v>
      </c>
      <c r="B29" s="48" t="n">
        <v>0.1</v>
      </c>
      <c r="C29" s="26" t="s">
        <v>208</v>
      </c>
    </row>
    <row r="30" customFormat="false" ht="15" hidden="false" customHeight="false" outlineLevel="0" collapsed="false">
      <c r="A30" s="3" t="s">
        <v>209</v>
      </c>
      <c r="B30" s="42" t="n">
        <v>12</v>
      </c>
      <c r="C30" s="33" t="s">
        <v>210</v>
      </c>
    </row>
    <row r="31" customFormat="false" ht="15" hidden="false" customHeight="false" outlineLevel="0" collapsed="false">
      <c r="A31" s="4" t="s">
        <v>211</v>
      </c>
      <c r="B31" s="48" t="n">
        <v>0.04</v>
      </c>
      <c r="C31" s="33" t="s">
        <v>212</v>
      </c>
    </row>
    <row r="32" customFormat="false" ht="15" hidden="false" customHeight="false" outlineLevel="0" collapsed="false">
      <c r="A32" s="4" t="s">
        <v>213</v>
      </c>
      <c r="B32" s="48" t="n">
        <v>0.04</v>
      </c>
      <c r="C32" s="26" t="s">
        <v>214</v>
      </c>
    </row>
    <row r="33" customFormat="false" ht="15" hidden="false" customHeight="false" outlineLevel="0" collapsed="false">
      <c r="A33" s="4" t="s">
        <v>215</v>
      </c>
      <c r="B33" s="48" t="n">
        <v>0.8</v>
      </c>
      <c r="C33" s="33"/>
    </row>
    <row r="34" customFormat="false" ht="15" hidden="false" customHeight="false" outlineLevel="0" collapsed="false">
      <c r="A34" s="4" t="s">
        <v>216</v>
      </c>
      <c r="B34" s="6" t="n">
        <v>0</v>
      </c>
      <c r="C34" s="26" t="s">
        <v>217</v>
      </c>
    </row>
    <row r="35" customFormat="false" ht="15" hidden="false" customHeight="false" outlineLevel="0" collapsed="false">
      <c r="A35" s="4" t="s">
        <v>218</v>
      </c>
      <c r="B35" s="49" t="n">
        <v>0.03</v>
      </c>
      <c r="C35" s="26" t="s">
        <v>219</v>
      </c>
    </row>
    <row r="36" customFormat="false" ht="15" hidden="false" customHeight="false" outlineLevel="0" collapsed="false">
      <c r="A36" s="4" t="s">
        <v>220</v>
      </c>
      <c r="B36" s="47" t="n">
        <v>0.154</v>
      </c>
      <c r="C36" s="33" t="s">
        <v>221</v>
      </c>
    </row>
    <row r="37" customFormat="false" ht="15" hidden="false" customHeight="false" outlineLevel="0" collapsed="false">
      <c r="A37" s="7" t="s">
        <v>222</v>
      </c>
      <c r="B37" s="52" t="n">
        <f aca="false">Rate/12</f>
        <v>0.00333333333333333</v>
      </c>
      <c r="C37" s="53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</cols>
  <sheetData>
    <row r="1" customFormat="false" ht="19.4" hidden="false" customHeight="false" outlineLevel="0" collapsed="false">
      <c r="A1" s="1" t="s">
        <v>224</v>
      </c>
    </row>
    <row r="2" customFormat="false" ht="15" hidden="false" customHeight="false" outlineLevel="0" collapsed="false">
      <c r="A2" s="35" t="s">
        <v>225</v>
      </c>
    </row>
    <row r="4" customFormat="false" ht="15" hidden="false" customHeight="false" outlineLevel="0" collapsed="false">
      <c r="A4" s="19" t="s">
        <v>226</v>
      </c>
      <c r="E4" s="54" t="s">
        <v>227</v>
      </c>
    </row>
    <row r="5" customFormat="false" ht="27.75" hidden="false" customHeight="true" outlineLevel="0" collapsed="false">
      <c r="A5" s="9" t="s">
        <v>228</v>
      </c>
      <c r="B5" s="9" t="s">
        <v>229</v>
      </c>
      <c r="C5" s="9" t="s">
        <v>230</v>
      </c>
    </row>
    <row r="6" customFormat="false" ht="15" hidden="false" customHeight="false" outlineLevel="0" collapsed="false">
      <c r="A6" s="24" t="n">
        <v>0</v>
      </c>
      <c r="B6" s="47" t="n">
        <v>0.06</v>
      </c>
      <c r="C6" s="55" t="n">
        <f aca="false">B6</f>
        <v>0.06</v>
      </c>
    </row>
    <row r="7" customFormat="false" ht="15" hidden="false" customHeight="false" outlineLevel="0" collapsed="false">
      <c r="A7" s="24" t="n">
        <v>0.14</v>
      </c>
      <c r="B7" s="47" t="n">
        <v>0.15</v>
      </c>
      <c r="C7" s="55" t="n">
        <f aca="false">B7-B6</f>
        <v>0.09</v>
      </c>
    </row>
    <row r="8" customFormat="false" ht="15" hidden="false" customHeight="false" outlineLevel="0" collapsed="false">
      <c r="A8" s="24" t="n">
        <v>0.5</v>
      </c>
      <c r="B8" s="47" t="n">
        <v>0.24</v>
      </c>
      <c r="C8" s="55" t="n">
        <f aca="false">B8-B7</f>
        <v>0.09</v>
      </c>
    </row>
    <row r="9" customFormat="false" ht="15" hidden="false" customHeight="false" outlineLevel="0" collapsed="false">
      <c r="A9" s="24" t="n">
        <v>0.88</v>
      </c>
      <c r="B9" s="47" t="n">
        <v>0.35</v>
      </c>
      <c r="C9" s="55" t="n">
        <f aca="false">B9-B8</f>
        <v>0.11</v>
      </c>
    </row>
    <row r="10" customFormat="false" ht="15" hidden="false" customHeight="false" outlineLevel="0" collapsed="false">
      <c r="A10" s="24" t="n">
        <v>1.5</v>
      </c>
      <c r="B10" s="47" t="n">
        <v>0.38</v>
      </c>
      <c r="C10" s="55" t="n">
        <f aca="false">B10-B9</f>
        <v>0.03</v>
      </c>
    </row>
    <row r="11" customFormat="false" ht="15" hidden="false" customHeight="false" outlineLevel="0" collapsed="false">
      <c r="A11" s="24" t="n">
        <v>3</v>
      </c>
      <c r="B11" s="47" t="n">
        <v>0.4</v>
      </c>
      <c r="C11" s="55" t="n">
        <f aca="false">B11-B10</f>
        <v>0.02</v>
      </c>
    </row>
    <row r="12" customFormat="false" ht="15" hidden="false" customHeight="false" outlineLevel="0" collapsed="false">
      <c r="A12" s="24" t="n">
        <v>5</v>
      </c>
      <c r="B12" s="47" t="n">
        <v>0.42</v>
      </c>
      <c r="C12" s="55" t="n">
        <f aca="false">B12-B11</f>
        <v>0.02</v>
      </c>
    </row>
    <row r="13" customFormat="false" ht="15" hidden="false" customHeight="false" outlineLevel="0" collapsed="false">
      <c r="A13" s="24" t="n">
        <v>10</v>
      </c>
      <c r="B13" s="47" t="n">
        <v>0.45</v>
      </c>
      <c r="C13" s="55" t="n">
        <f aca="false">B13-B12</f>
        <v>0.03</v>
      </c>
    </row>
    <row r="15" customFormat="false" ht="15" hidden="false" customHeight="false" outlineLevel="0" collapsed="false">
      <c r="A15" s="19" t="s">
        <v>231</v>
      </c>
    </row>
    <row r="16" customFormat="false" ht="27.75" hidden="false" customHeight="true" outlineLevel="0" collapsed="false">
      <c r="A16" s="9" t="s">
        <v>228</v>
      </c>
      <c r="B16" s="9" t="s">
        <v>229</v>
      </c>
      <c r="C16" s="9" t="s">
        <v>230</v>
      </c>
    </row>
    <row r="17" customFormat="false" ht="15" hidden="false" customHeight="false" outlineLevel="0" collapsed="false">
      <c r="A17" s="24" t="n">
        <v>0</v>
      </c>
      <c r="B17" s="50" t="n">
        <v>0.001</v>
      </c>
      <c r="C17" s="55" t="n">
        <f aca="false">B17</f>
        <v>0.001</v>
      </c>
    </row>
    <row r="18" customFormat="false" ht="15" hidden="false" customHeight="false" outlineLevel="0" collapsed="false">
      <c r="A18" s="24" t="n">
        <v>0.6</v>
      </c>
      <c r="B18" s="50" t="n">
        <v>0.0015</v>
      </c>
      <c r="C18" s="55" t="n">
        <f aca="false">B18-B17</f>
        <v>0.0005</v>
      </c>
    </row>
    <row r="19" customFormat="false" ht="15" hidden="false" customHeight="false" outlineLevel="0" collapsed="false">
      <c r="A19" s="24" t="n">
        <v>1.5</v>
      </c>
      <c r="B19" s="50" t="n">
        <v>0.0025</v>
      </c>
      <c r="C19" s="55" t="n">
        <f aca="false">B19-B18</f>
        <v>0.001</v>
      </c>
    </row>
    <row r="20" customFormat="false" ht="15" hidden="false" customHeight="false" outlineLevel="0" collapsed="false">
      <c r="A20" s="24" t="n">
        <v>3</v>
      </c>
      <c r="B20" s="50" t="n">
        <v>0.004</v>
      </c>
      <c r="C20" s="55" t="n">
        <f aca="false">B20-B19</f>
        <v>0.0015</v>
      </c>
    </row>
    <row r="22" customFormat="false" ht="15" hidden="false" customHeight="false" outlineLevel="0" collapsed="false">
      <c r="A22" s="19" t="s">
        <v>232</v>
      </c>
    </row>
    <row r="23" customFormat="false" ht="27.75" hidden="false" customHeight="true" outlineLevel="0" collapsed="false">
      <c r="A23" s="9" t="s">
        <v>228</v>
      </c>
      <c r="B23" s="9" t="s">
        <v>229</v>
      </c>
      <c r="C23" s="9" t="s">
        <v>230</v>
      </c>
    </row>
    <row r="24" customFormat="false" ht="15" hidden="false" customHeight="false" outlineLevel="0" collapsed="false">
      <c r="A24" s="24" t="n">
        <v>0</v>
      </c>
      <c r="B24" s="50" t="n">
        <v>0.0005</v>
      </c>
      <c r="C24" s="55" t="n">
        <f aca="false">B24</f>
        <v>0.0005</v>
      </c>
    </row>
    <row r="25" customFormat="false" ht="15" hidden="false" customHeight="false" outlineLevel="0" collapsed="false">
      <c r="A25" s="24" t="n">
        <v>0.6</v>
      </c>
      <c r="B25" s="50" t="n">
        <v>0.001</v>
      </c>
      <c r="C25" s="55" t="n">
        <f aca="false">B25-B24</f>
        <v>0.0005</v>
      </c>
    </row>
    <row r="26" customFormat="false" ht="15" hidden="false" customHeight="false" outlineLevel="0" collapsed="false">
      <c r="A26" s="24" t="n">
        <v>1.5</v>
      </c>
      <c r="B26" s="50" t="n">
        <v>0.002</v>
      </c>
      <c r="C26" s="55" t="n">
        <f aca="false">B26-B25</f>
        <v>0.001</v>
      </c>
    </row>
    <row r="27" customFormat="false" ht="15" hidden="false" customHeight="false" outlineLevel="0" collapsed="false">
      <c r="A27" s="24" t="n">
        <v>3</v>
      </c>
      <c r="B27" s="50" t="n">
        <v>0.0035</v>
      </c>
      <c r="C27" s="55" t="n">
        <f aca="false">B27-B26</f>
        <v>0.0015</v>
      </c>
    </row>
    <row r="29" customFormat="false" ht="15" hidden="false" customHeight="false" outlineLevel="0" collapsed="false">
      <c r="A29" s="19" t="s">
        <v>233</v>
      </c>
    </row>
    <row r="30" customFormat="false" ht="27.75" hidden="false" customHeight="true" outlineLevel="0" collapsed="false">
      <c r="A30" s="9" t="s">
        <v>228</v>
      </c>
      <c r="B30" s="9" t="s">
        <v>229</v>
      </c>
      <c r="C30" s="9" t="s">
        <v>230</v>
      </c>
    </row>
    <row r="31" customFormat="false" ht="15" hidden="false" customHeight="false" outlineLevel="0" collapsed="false">
      <c r="A31" s="24" t="n">
        <v>0</v>
      </c>
      <c r="B31" s="50" t="n">
        <v>0.005</v>
      </c>
      <c r="C31" s="55" t="n">
        <f aca="false">B31</f>
        <v>0.005</v>
      </c>
    </row>
    <row r="32" customFormat="false" ht="15" hidden="false" customHeight="false" outlineLevel="0" collapsed="false">
      <c r="A32" s="24" t="n">
        <v>3</v>
      </c>
      <c r="B32" s="50" t="n">
        <v>0.007</v>
      </c>
      <c r="C32" s="55" t="n">
        <f aca="false">B32-B31</f>
        <v>0.002</v>
      </c>
    </row>
    <row r="33" customFormat="false" ht="15" hidden="false" customHeight="false" outlineLevel="0" collapsed="false">
      <c r="A33" s="24" t="n">
        <v>6</v>
      </c>
      <c r="B33" s="50" t="n">
        <v>0.01</v>
      </c>
      <c r="C33" s="55" t="n">
        <f aca="false">B33-B32</f>
        <v>0.003</v>
      </c>
    </row>
    <row r="34" customFormat="false" ht="15" hidden="false" customHeight="false" outlineLevel="0" collapsed="false">
      <c r="A34" s="24" t="n">
        <v>12</v>
      </c>
      <c r="B34" s="50" t="n">
        <v>0.013</v>
      </c>
      <c r="C34" s="55" t="n">
        <f aca="false">B34-B33</f>
        <v>0.003</v>
      </c>
    </row>
    <row r="35" customFormat="false" ht="15" hidden="false" customHeight="false" outlineLevel="0" collapsed="false">
      <c r="A35" s="24" t="n">
        <v>25</v>
      </c>
      <c r="B35" s="50" t="n">
        <v>0.015</v>
      </c>
      <c r="C35" s="55" t="n">
        <f aca="false">B35-B34</f>
        <v>0.002</v>
      </c>
    </row>
    <row r="36" customFormat="false" ht="15" hidden="false" customHeight="false" outlineLevel="0" collapsed="false">
      <c r="A36" s="24" t="n">
        <v>50</v>
      </c>
      <c r="B36" s="50" t="n">
        <v>0.02</v>
      </c>
      <c r="C36" s="55" t="n">
        <f aca="false">B36-B35</f>
        <v>0.005</v>
      </c>
    </row>
    <row r="37" customFormat="false" ht="15" hidden="false" customHeight="false" outlineLevel="0" collapsed="false">
      <c r="A37" s="24" t="n">
        <v>94</v>
      </c>
      <c r="B37" s="50" t="n">
        <v>0.027</v>
      </c>
      <c r="C37" s="55" t="n">
        <f aca="false">B37-B36</f>
        <v>0.007</v>
      </c>
    </row>
    <row r="39" customFormat="false" ht="15" hidden="false" customHeight="false" outlineLevel="0" collapsed="false">
      <c r="A39" s="19" t="s">
        <v>234</v>
      </c>
      <c r="E39" s="54" t="s">
        <v>235</v>
      </c>
    </row>
    <row r="40" customFormat="false" ht="27.75" hidden="false" customHeight="true" outlineLevel="0" collapsed="false">
      <c r="A40" s="9" t="s">
        <v>228</v>
      </c>
      <c r="B40" s="9" t="s">
        <v>236</v>
      </c>
    </row>
    <row r="41" customFormat="false" ht="15" hidden="false" customHeight="false" outlineLevel="0" collapsed="false">
      <c r="A41" s="42" t="n">
        <v>0</v>
      </c>
      <c r="B41" s="47" t="n">
        <v>0.004</v>
      </c>
    </row>
    <row r="42" customFormat="false" ht="15" hidden="false" customHeight="false" outlineLevel="0" collapsed="false">
      <c r="A42" s="42" t="n">
        <v>9</v>
      </c>
      <c r="B42" s="47" t="n">
        <v>0.005</v>
      </c>
    </row>
    <row r="43" customFormat="false" ht="15" hidden="false" customHeight="false" outlineLevel="0" collapsed="false">
      <c r="A43" s="42" t="n">
        <v>12</v>
      </c>
      <c r="B43" s="47" t="n">
        <v>0.006</v>
      </c>
    </row>
    <row r="44" customFormat="false" ht="15" hidden="false" customHeight="false" outlineLevel="0" collapsed="false">
      <c r="A44" s="42" t="n">
        <v>15</v>
      </c>
      <c r="B44" s="47" t="n">
        <v>0.007</v>
      </c>
    </row>
    <row r="46" customFormat="false" ht="15" hidden="false" customHeight="false" outlineLevel="0" collapsed="false">
      <c r="A46" s="19" t="s">
        <v>237</v>
      </c>
      <c r="E46" s="56" t="s">
        <v>238</v>
      </c>
    </row>
    <row r="47" customFormat="false" ht="27.75" hidden="false" customHeight="true" outlineLevel="0" collapsed="false">
      <c r="A47" s="9" t="s">
        <v>228</v>
      </c>
      <c r="B47" s="9" t="s">
        <v>239</v>
      </c>
    </row>
    <row r="48" customFormat="false" ht="15" hidden="false" customHeight="false" outlineLevel="0" collapsed="false">
      <c r="A48" s="57" t="n">
        <v>0</v>
      </c>
      <c r="B48" s="42" t="n">
        <v>6</v>
      </c>
    </row>
    <row r="49" customFormat="false" ht="15" hidden="false" customHeight="false" outlineLevel="0" collapsed="false">
      <c r="A49" s="57" t="n">
        <v>15.0001</v>
      </c>
      <c r="B49" s="42" t="n">
        <v>4</v>
      </c>
    </row>
    <row r="50" customFormat="false" ht="15" hidden="false" customHeight="false" outlineLevel="0" collapsed="false">
      <c r="A50" s="57" t="n">
        <v>25.0001</v>
      </c>
      <c r="B50" s="42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2026-10-20T08:08:31Z</dcterms:created>
  <dc:creator>openpyxl</dc:creator>
  <dc:description/>
  <dc:language>en-US</dc:language>
  <cp:lastModifiedBy/>
  <dcterms:modified xsi:type="dcterms:W3CDTF">2026-10-20T08:08:31Z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