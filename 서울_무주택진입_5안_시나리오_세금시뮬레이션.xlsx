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방법" sheetId="1" state="visible" r:id="rId3"/>
    <sheet name="안별요약" sheetId="2" state="visible" r:id="rId4"/>
    <sheet name="안별비교" sheetId="3" state="visible" r:id="rId5"/>
    <sheet name="요약" sheetId="4" state="visible" r:id="rId6"/>
    <sheet name="단지" sheetId="5" state="visible" r:id="rId7"/>
    <sheet name="시뮬레이션" sheetId="6" state="visible" r:id="rId8"/>
    <sheet name="보유세_스케줄" sheetId="7" state="visible" r:id="rId9"/>
    <sheet name="최대매수가능액" sheetId="8" state="visible" r:id="rId10"/>
    <sheet name="입력" sheetId="9" state="visible" r:id="rId11"/>
    <sheet name="세율표" sheetId="10" state="visible" r:id="rId12"/>
  </sheets>
  <definedNames>
    <definedName function="false" hidden="false" name="CapA" vbProcedure="false">입력!$B$4</definedName>
    <definedName function="false" hidden="false" name="CapB" vbProcedure="false">입력!$B$5</definedName>
    <definedName function="false" hidden="false" name="CapC" vbProcedure="false">입력!$B$6</definedName>
    <definedName function="false" hidden="false" name="CD" vbProcedure="false">세율표!$C$6:$C$13</definedName>
    <definedName function="false" hidden="false" name="CityRate" vbProcedure="false">입력!$B$21</definedName>
    <definedName function="false" hidden="false" name="CLo" vbProcedure="false">세율표!$A$6:$A$13</definedName>
    <definedName function="false" hidden="false" name="C_Acq" vbProcedure="false">단지!$N$6:$N$17</definedName>
    <definedName function="false" hidden="false" name="C_Equity" vbProcedure="false">단지!$P$6:$P$17</definedName>
    <definedName function="false" hidden="false" name="C_Fee" vbProcedure="false">단지!$O$6:$O$17</definedName>
    <definedName function="false" hidden="false" name="C_Jeonse" vbProcedure="false">단지!$J$6:$J$17</definedName>
    <definedName function="false" hidden="false" name="C_Loan" vbProcedure="false">단지!$M$6:$M$17</definedName>
    <definedName function="false" hidden="false" name="C_Name" vbProcedure="false">단지!$D$6:$D$17</definedName>
    <definedName function="false" hidden="false" name="C_Price" vbProcedure="false">단지!$F$6:$F$17</definedName>
    <definedName function="false" hidden="false" name="DepRate" vbProcedure="false">입력!$B$37</definedName>
    <definedName function="false" hidden="false" name="DepTax" vbProcedure="false">입력!$B$38</definedName>
    <definedName function="false" hidden="false" name="DSR" vbProcedure="false">입력!$B$11</definedName>
    <definedName function="false" hidden="false" name="EduAcq" vbProcedure="false">입력!$B$24</definedName>
    <definedName function="false" hidden="false" name="EduProp" vbProcedure="false">입력!$B$22</definedName>
    <definedName function="false" hidden="false" name="EtcBuy" vbProcedure="false">입력!$B$27</definedName>
    <definedName function="false" hidden="false" name="Exempt" vbProcedure="false">입력!$B$30</definedName>
    <definedName function="false" hidden="false" name="FairJong" vbProcedure="false">입력!$B$18</definedName>
    <definedName function="false" hidden="false" name="FairProp" vbProcedure="false">입력!$B$17</definedName>
    <definedName function="false" hidden="false" name="FeeLo" vbProcedure="false">세율표!$A$41:$A$44</definedName>
    <definedName function="false" hidden="false" name="FeeR" vbProcedure="false">세율표!$B$41:$B$44</definedName>
    <definedName function="false" hidden="false" name="GD" vbProcedure="false">세율표!$C$17:$C$20</definedName>
    <definedName function="false" hidden="false" name="GLo" vbProcedure="false">세율표!$A$17:$A$20</definedName>
    <definedName function="false" hidden="false" name="Gongsi" vbProcedure="false">입력!$B$16</definedName>
    <definedName function="false" hidden="false" name="GrowHi" vbProcedure="false">입력!$B$14</definedName>
    <definedName function="false" hidden="false" name="GrowLo" vbProcedure="false">입력!$B$12</definedName>
    <definedName function="false" hidden="false" name="GrowMid" vbProcedure="false">입력!$B$13</definedName>
    <definedName function="false" hidden="false" name="HoldRate" vbProcedure="false">입력!$B$31</definedName>
    <definedName function="false" hidden="false" name="InitDed" vbProcedure="false">입력!$B$28</definedName>
    <definedName function="false" hidden="false" name="JD" vbProcedure="false">세율표!$C$31:$C$37</definedName>
    <definedName function="false" hidden="false" name="JeonseRate" vbProcedure="false">입력!$B$15</definedName>
    <definedName function="false" hidden="false" name="JLo" vbProcedure="false">세율표!$A$31:$A$37</definedName>
    <definedName function="false" hidden="false" name="JongDeduct" vbProcedure="false">입력!$B$19</definedName>
    <definedName function="false" hidden="false" name="LiveRate" vbProcedure="false">입력!$B$32</definedName>
    <definedName function="false" hidden="false" name="LoanCap" vbProcedure="false">세율표!$B$48:$B$50</definedName>
    <definedName function="false" hidden="false" name="LoanLo" vbProcedure="false">세율표!$A$48:$A$50</definedName>
    <definedName function="false" hidden="false" name="LoanShare2" vbProcedure="false">입력!$B$36</definedName>
    <definedName function="false" hidden="false" name="LoanYears" vbProcedure="false">입력!$B$8</definedName>
    <definedName function="false" hidden="false" name="LocalTax" vbProcedure="false">입력!$B$29</definedName>
    <definedName function="false" hidden="false" name="LTV" vbProcedure="false">입력!$B$9</definedName>
    <definedName function="false" hidden="false" name="MaxDed" vbProcedure="false">입력!$B$33</definedName>
    <definedName function="false" hidden="false" name="NongAcqRate" vbProcedure="false">입력!$B$25</definedName>
    <definedName function="false" hidden="false" name="NongJong" vbProcedure="false">입력!$B$23</definedName>
    <definedName function="false" hidden="false" name="NonRes" vbProcedure="false">입력!$B$34</definedName>
    <definedName function="false" hidden="false" name="Rate" vbProcedure="false">입력!$B$7</definedName>
    <definedName function="false" hidden="false" name="RentYears" vbProcedure="false">입력!$B$35</definedName>
    <definedName function="false" hidden="false" name="Rm" vbProcedure="false">입력!$B$39</definedName>
    <definedName function="false" hidden="false" name="Sch_Idx" vbProcedure="false">보유세_스케줄!$A$5:$A$364</definedName>
    <definedName function="false" hidden="false" name="Sch_Scen" vbProcedure="false">보유세_스케줄!$C$5:$C$364</definedName>
    <definedName function="false" hidden="false" name="Sch_Total" vbProcedure="false">보유세_스케줄!$O$5:$O$364</definedName>
    <definedName function="false" hidden="false" name="Sch_Year" vbProcedure="false">보유세_스케줄!$E$5:$E$364</definedName>
    <definedName function="false" hidden="false" name="SD" vbProcedure="false">세율표!$C$24:$C$27</definedName>
    <definedName function="false" hidden="false" name="SelN" vbProcedure="false">요약!$C$3</definedName>
    <definedName function="false" hidden="false" name="SelN2" vbProcedure="false">안별요약!$C$3</definedName>
    <definedName function="false" hidden="false" name="SelS2" vbProcedure="false">안별요약!$C$2</definedName>
    <definedName function="false" hidden="false" name="SelScen" vbProcedure="false">요약!$C$2</definedName>
    <definedName function="false" hidden="false" name="Sim_acq" vbProcedure="false">시뮬레이션!$H$5:$H$148</definedName>
    <definedName function="false" hidden="false" name="Sim_bal" vbProcedure="false">시뮬레이션!$O$5:$O$148</definedName>
    <definedName function="false" hidden="false" name="Sim_base" vbProcedure="false">시뮬레이션!$V$5:$V$148</definedName>
    <definedName function="false" hidden="false" name="Sim_cagr" vbProcedure="false">시뮬레이션!$AA$5:$AA$148</definedName>
    <definedName function="false" hidden="false" name="Sim_ctax" vbProcedure="false">시뮬레이션!$W$5:$W$148</definedName>
    <definedName function="false" hidden="false" name="Sim_ded" vbProcedure="false">시뮬레이션!$T$5:$T$148</definedName>
    <definedName function="false" hidden="false" name="Sim_eq" vbProcedure="false">시뮬레이션!$K$5:$K$148</definedName>
    <definedName function="false" hidden="false" name="Sim_exc" vbProcedure="false">시뮬레이션!$AE$5:$AE$148</definedName>
    <definedName function="false" hidden="false" name="Sim_exp" vbProcedure="false">시뮬레이션!$Q$5:$Q$148</definedName>
    <definedName function="false" hidden="false" name="Sim_fee" vbProcedure="false">시뮬레이션!$I$5:$I$148</definedName>
    <definedName function="false" hidden="false" name="Sim_g" vbProcedure="false">시뮬레이션!$D$5:$D$148</definedName>
    <definedName function="false" hidden="false" name="Sim_gain" vbProcedure="false">시뮬레이션!$R$5:$R$148</definedName>
    <definedName function="false" hidden="false" name="Sim_Idx" vbProcedure="false">시뮬레이션!$A$5:$A$148</definedName>
    <definedName function="false" hidden="false" name="Sim_inc" vbProcedure="false">시뮬레이션!$U$5:$U$148</definedName>
    <definedName function="false" hidden="false" name="Sim_int" vbProcedure="false">시뮬레이션!$N$5:$N$148</definedName>
    <definedName function="false" hidden="false" name="Sim_live" vbProcedure="false">시뮬레이션!$F$5:$F$148</definedName>
    <definedName function="false" hidden="false" name="Sim_loan" vbProcedure="false">시뮬레이션!$J$5:$J$148</definedName>
    <definedName function="false" hidden="false" name="Sim_N" vbProcedure="false">시뮬레이션!$E$5:$E$148</definedName>
    <definedName function="false" hidden="false" name="Sim_name" vbProcedure="false">시뮬레이션!$B$5:$B$148</definedName>
    <definedName function="false" hidden="false" name="Sim_net" vbProcedure="false">시뮬레이션!$Y$5:$Y$148</definedName>
    <definedName function="false" hidden="false" name="Sim_opp" vbProcedure="false">시뮬레이션!$AD$5:$AD$148</definedName>
    <definedName function="false" hidden="false" name="Sim_P" vbProcedure="false">시뮬레이션!$G$5:$G$148</definedName>
    <definedName function="false" hidden="false" name="Sim_ptax" vbProcedure="false">시뮬레이션!$P$5:$P$148</definedName>
    <definedName function="false" hidden="false" name="Sim_rec" vbProcedure="false">시뮬레이션!$AB$5:$AB$148</definedName>
    <definedName function="false" hidden="false" name="Sim_recr" vbProcedure="false">시뮬레이션!$AC$5:$AC$148</definedName>
    <definedName function="false" hidden="false" name="Sim_roi" vbProcedure="false">시뮬레이션!$Z$5:$Z$148</definedName>
    <definedName function="false" hidden="false" name="Sim_S" vbProcedure="false">시뮬레이션!$L$5:$L$148</definedName>
    <definedName function="false" hidden="false" name="Sim_Scen" vbProcedure="false">시뮬레이션!$C$5:$C$148</definedName>
    <definedName function="false" hidden="false" name="Sim_sfee" vbProcedure="false">시뮬레이션!$M$5:$M$148</definedName>
    <definedName function="false" hidden="false" name="Sim_tg" vbProcedure="false">시뮬레이션!$S$5:$S$148</definedName>
    <definedName function="false" hidden="false" name="Sim_tt" vbProcedure="false">시뮬레이션!$X$5:$X$148</definedName>
    <definedName function="false" hidden="false" name="SLo" vbProcedure="false">세율표!$A$24:$A$27</definedName>
    <definedName function="false" hidden="false" name="SpcLimit" vbProcedure="false">입력!$B$20</definedName>
    <definedName function="false" hidden="false" name="Stress" vbProcedure="false">입력!$B$10</definedName>
    <definedName function="false" hidden="false" name="VAT" vbProcedure="false">입력!$B$26</definedName>
    <definedName function="false" hidden="false" name="X_aA" vbProcedure="false">안별비교!$AJ$5:$AJ$334</definedName>
    <definedName function="false" hidden="false" name="X_aB" vbProcedure="false">안별비교!$AK$5:$AK$334</definedName>
    <definedName function="false" hidden="false" name="X_aC" vbProcedure="false">안별비교!$AL$5:$AL$334</definedName>
    <definedName function="false" hidden="false" name="X_acq" vbProcedure="false">안별비교!$K$5:$K$334</definedName>
    <definedName function="false" hidden="false" name="X_adv" vbProcedure="false">안별비교!$AD$5:$AD$334</definedName>
    <definedName function="false" hidden="false" name="X_ak" vbProcedure="false">안별비교!$C$5:$C$334</definedName>
    <definedName function="false" hidden="false" name="X_base" vbProcedure="false">안별비교!$Y$5:$Y$334</definedName>
    <definedName function="false" hidden="false" name="X_ctax" vbProcedure="false">안별비교!$Z$5:$Z$334</definedName>
    <definedName function="false" hidden="false" name="X_ded" vbProcedure="false">안별비교!$X$5:$X$334</definedName>
    <definedName function="false" hidden="false" name="X_exp" vbProcedure="false">안별비교!$U$5:$U$334</definedName>
    <definedName function="false" hidden="false" name="X_fa" vbProcedure="false">안별비교!$AG$5:$AG$334</definedName>
    <definedName function="false" hidden="false" name="X_fb" vbProcedure="false">안별비교!$AH$5:$AH$334</definedName>
    <definedName function="false" hidden="false" name="X_fc" vbProcedure="false">안별비교!$AI$5:$AI$334</definedName>
    <definedName function="false" hidden="false" name="X_fee" vbProcedure="false">안별비교!$L$5:$L$334</definedName>
    <definedName function="false" hidden="false" name="X_g" vbProcedure="false">안별비교!$F$5:$F$334</definedName>
    <definedName function="false" hidden="false" name="X_gain" vbProcedure="false">안별비교!$V$5:$V$334</definedName>
    <definedName function="false" hidden="false" name="X_idx" vbProcedure="false">안별비교!$A$5:$A$334</definedName>
    <definedName function="false" hidden="false" name="X_inc" vbProcedure="false">안별비교!$AF$5:$AF$334</definedName>
    <definedName function="false" hidden="false" name="X_int" vbProcedure="false">안별비교!$S$5:$S$334</definedName>
    <definedName function="false" hidden="false" name="X_inv" vbProcedure="false">안별비교!$N$5:$N$334</definedName>
    <definedName function="false" hidden="false" name="X_J" vbProcedure="false">안별비교!$I$5:$I$334</definedName>
    <definedName function="false" hidden="false" name="X_kA" vbProcedure="false">안별비교!$AM$5:$AM$334</definedName>
    <definedName function="false" hidden="false" name="X_kB" vbProcedure="false">안별비교!$AN$5:$AN$334</definedName>
    <definedName function="false" hidden="false" name="X_kC" vbProcedure="false">안별비교!$AO$5:$AO$334</definedName>
    <definedName function="false" hidden="false" name="X_kn" vbProcedure="false">안별비교!$D$5:$D$334</definedName>
    <definedName function="false" hidden="false" name="X_L" vbProcedure="false">안별비교!$J$5:$J$334</definedName>
    <definedName function="false" hidden="false" name="X_live" vbProcedure="false">안별비교!$P$5:$P$334</definedName>
    <definedName function="false" hidden="false" name="X_N" vbProcedure="false">안별비교!$G$5:$G$334</definedName>
    <definedName function="false" hidden="false" name="X_name" vbProcedure="false">안별비교!$B$5:$B$334</definedName>
    <definedName function="false" hidden="false" name="X_net" vbProcedure="false">안별비교!$AB$5:$AB$334</definedName>
    <definedName function="false" hidden="false" name="X_opp" vbProcedure="false">안별비교!$AC$5:$AC$334</definedName>
    <definedName function="false" hidden="false" name="X_P" vbProcedure="false">안별비교!$H$5:$H$334</definedName>
    <definedName function="false" hidden="false" name="X_pay" vbProcedure="false">안별비교!$AE$5:$AE$334</definedName>
    <definedName function="false" hidden="false" name="X_ptax" vbProcedure="false">안별비교!$T$5:$T$334</definedName>
    <definedName function="false" hidden="false" name="X_Ry" vbProcedure="false">안별비교!$O$5:$O$334</definedName>
    <definedName function="false" hidden="false" name="X_sc" vbProcedure="false">안별비교!$E$5:$E$334</definedName>
    <definedName function="false" hidden="false" name="X_sell" vbProcedure="false">안별비교!$Q$5:$Q$334</definedName>
    <definedName function="false" hidden="false" name="X_sfee" vbProcedure="false">안별비교!$R$5:$R$334</definedName>
    <definedName function="false" hidden="false" name="X_tg" vbProcedure="false">안별비교!$W$5:$W$334</definedName>
    <definedName function="false" hidden="false" name="X_tt" vbProcedure="false">안별비교!$AA$5:$AA$334</definedName>
    <definedName function="false" hidden="false" name="X_X" vbProcedure="false">안별비교!$M$5:$M$334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<sst xmlns="http://schemas.openxmlformats.org/spreadsheetml/2006/main" count="459" uniqueCount="302">
  <si>
    <r>
      <rPr>
        <b val="true"/>
        <sz val="14"/>
        <rFont val="WenQuanYi Zen Hei"/>
        <family val="2"/>
      </rPr>
      <t xml:space="preserve">서울 무주택 진입 –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안 시나리오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타깃 단지별 취득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보유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양도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단계 시뮬레이션</t>
    </r>
  </si>
  <si>
    <t xml:space="preserve">작성일</t>
  </si>
  <si>
    <r>
      <rPr>
        <sz val="10"/>
        <rFont val="Arial"/>
        <family val="0"/>
        <charset val="1"/>
      </rPr>
      <t xml:space="preserve">2026-10-20 (</t>
    </r>
    <r>
      <rPr>
        <sz val="10"/>
        <rFont val="WenQuanYi Zen Hei"/>
        <family val="2"/>
      </rPr>
      <t xml:space="preserve">가격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규제는 </t>
    </r>
    <r>
      <rPr>
        <sz val="10"/>
        <rFont val="Arial"/>
        <family val="0"/>
        <charset val="1"/>
      </rPr>
      <t xml:space="preserve">2026-10</t>
    </r>
    <r>
      <rPr>
        <sz val="10"/>
        <rFont val="WenQuanYi Zen Hei"/>
        <family val="2"/>
      </rPr>
      <t xml:space="preserve">월 검색 기준</t>
    </r>
    <r>
      <rPr>
        <sz val="10"/>
        <rFont val="Arial"/>
        <family val="0"/>
        <charset val="1"/>
      </rPr>
      <t xml:space="preserve">)</t>
    </r>
  </si>
  <si>
    <t xml:space="preserve">전제</t>
  </si>
  <si>
    <r>
      <rPr>
        <sz val="10"/>
        <rFont val="WenQuanYi Zen Hei"/>
        <family val="2"/>
      </rPr>
      <t xml:space="preserve">지방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주택을 처분해 서울에서 무주택자로 진입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12·14·16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세후 가용 현금으로 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입력 시트에서 변경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실거주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장기보유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주택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구조</t>
    </r>
    <r>
      <rPr>
        <sz val="10"/>
        <rFont val="Arial"/>
        <family val="0"/>
        <charset val="1"/>
      </rPr>
      <t xml:space="preserve">.</t>
    </r>
  </si>
  <si>
    <t xml:space="preserve">셀 색 규칙</t>
  </si>
  <si>
    <r>
      <rPr>
        <sz val="10"/>
        <rFont val="WenQuanYi Zen Hei"/>
        <family val="2"/>
      </rPr>
      <t xml:space="preserve">파란 글씨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입력값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변경 가능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노란 배경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핵심 입력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검정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수식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초록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다른 시트에서 가져온 값</t>
    </r>
  </si>
  <si>
    <t xml:space="preserve">바꿔 볼 곳</t>
  </si>
  <si>
    <r>
      <rPr>
        <sz val="10"/>
        <rFont val="Arial"/>
        <family val="0"/>
        <charset val="1"/>
      </rPr>
      <t xml:space="preserve">① '</t>
    </r>
    <r>
      <rPr>
        <sz val="10"/>
        <rFont val="WenQuanYi Zen Hei"/>
        <family val="2"/>
      </rPr>
      <t xml:space="preserve">입력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자기자본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금리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상승률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전세가율 등 </t>
    </r>
    <r>
      <rPr>
        <sz val="10"/>
        <rFont val="Arial"/>
        <family val="0"/>
        <charset val="1"/>
      </rPr>
      <t xml:space="preserve">/ ② '</t>
    </r>
    <r>
      <rPr>
        <sz val="10"/>
        <rFont val="WenQuanYi Zen Hei"/>
        <family val="2"/>
      </rPr>
      <t xml:space="preserve">단지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 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열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매매가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). 12</t>
    </r>
    <r>
      <rPr>
        <sz val="10"/>
        <rFont val="WenQuanYi Zen Hei"/>
        <family val="2"/>
      </rPr>
      <t xml:space="preserve">번 행은 직접 입력하는 예시 행입니다</t>
    </r>
    <r>
      <rPr>
        <sz val="10"/>
        <rFont val="Arial"/>
        <family val="0"/>
        <charset val="1"/>
      </rPr>
      <t xml:space="preserve">.</t>
    </r>
  </si>
  <si>
    <t xml:space="preserve">시트 구성</t>
  </si>
  <si>
    <r>
      <rPr>
        <sz val="10"/>
        <rFont val="WenQuanYi Zen Hei"/>
        <family val="2"/>
      </rPr>
      <t xml:space="preserve">안별요약</t>
    </r>
    <r>
      <rPr>
        <sz val="10"/>
        <rFont val="Arial"/>
        <family val="0"/>
        <charset val="1"/>
      </rPr>
      <t xml:space="preserve">(5</t>
    </r>
    <r>
      <rPr>
        <sz val="10"/>
        <rFont val="WenQuanYi Zen Hei"/>
        <family val="2"/>
      </rPr>
      <t xml:space="preserve">안 최적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안별비교 → 요약 → 입력 → 세율표 → 단지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매수 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대출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취득세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필요 자기자본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보유세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스케줄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보유 단계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시뮬레이션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양도 단계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손익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요약 → 최대매수가능액</t>
    </r>
  </si>
  <si>
    <t xml:space="preserve">단위</t>
  </si>
  <si>
    <r>
      <rPr>
        <sz val="10"/>
        <rFont val="WenQuanYi Zen Hei"/>
        <family val="2"/>
      </rPr>
      <t xml:space="preserve">금액은 억 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보유세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월 원리금은 만원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수익률은 투자금 대비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누적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연환산은 단순 계산</t>
    </r>
    <r>
      <rPr>
        <sz val="10"/>
        <rFont val="Arial"/>
        <family val="0"/>
        <charset val="1"/>
      </rPr>
      <t xml:space="preserve">).</t>
    </r>
  </si>
  <si>
    <t xml:space="preserve">데이터 한계</t>
  </si>
  <si>
    <r>
      <rPr>
        <sz val="10"/>
        <rFont val="WenQuanYi Zen Hei"/>
        <family val="2"/>
      </rPr>
      <t xml:space="preserve">단지 가격은 뉴스</t>
    </r>
    <r>
      <rPr>
        <sz val="10"/>
        <rFont val="Arial"/>
        <family val="0"/>
        <charset val="1"/>
      </rPr>
      <t xml:space="preserve">·KB</t>
    </r>
    <r>
      <rPr>
        <sz val="10"/>
        <rFont val="WenQuanYi Zen Hei"/>
        <family val="2"/>
      </rPr>
      <t xml:space="preserve">시세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시세사이트 기반 참고값이며 일부는 추정입니다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계약 전 국토부 실거래가 공개시스템과 네이버부동산 중층 매물로 교차검증하세요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단지 시트의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신뢰도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 참고</t>
    </r>
    <r>
      <rPr>
        <sz val="10"/>
        <rFont val="Arial"/>
        <family val="0"/>
        <charset val="1"/>
      </rPr>
      <t xml:space="preserve">).</t>
    </r>
  </si>
  <si>
    <t xml:space="preserve">모델 단순화</t>
  </si>
  <si>
    <r>
      <rPr>
        <sz val="10"/>
        <rFont val="WenQuanYi Zen Hei"/>
        <family val="2"/>
      </rPr>
      <t xml:space="preserve">① 종부세는 재산세 중복분 공제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고령자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장기보유 세액공제를 반영하지 않음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보수적</t>
    </r>
    <r>
      <rPr>
        <sz val="10"/>
        <rFont val="Arial"/>
        <family val="0"/>
        <charset val="1"/>
      </rPr>
      <t xml:space="preserve">) ② </t>
    </r>
    <r>
      <rPr>
        <sz val="10"/>
        <rFont val="WenQuanYi Zen Hei"/>
        <family val="2"/>
      </rPr>
      <t xml:space="preserve">공시가 현실화율 </t>
    </r>
    <r>
      <rPr>
        <sz val="10"/>
        <rFont val="Arial"/>
        <family val="0"/>
        <charset val="1"/>
      </rPr>
      <t xml:space="preserve">69%·</t>
    </r>
    <r>
      <rPr>
        <sz val="10"/>
        <rFont val="WenQuanYi Zen Hei"/>
        <family val="2"/>
      </rPr>
      <t xml:space="preserve">공정시장가액비율 </t>
    </r>
    <r>
      <rPr>
        <sz val="10"/>
        <rFont val="Arial"/>
        <family val="0"/>
        <charset val="1"/>
      </rPr>
      <t xml:space="preserve">60% </t>
    </r>
    <r>
      <rPr>
        <sz val="10"/>
        <rFont val="WenQuanYi Zen Hei"/>
        <family val="2"/>
      </rPr>
      <t xml:space="preserve">고정 ③ </t>
    </r>
    <r>
      <rPr>
        <sz val="10"/>
        <rFont val="Arial"/>
        <family val="0"/>
        <charset val="1"/>
      </rPr>
      <t xml:space="preserve">2026.8</t>
    </r>
    <r>
      <rPr>
        <sz val="10"/>
        <rFont val="WenQuanYi Zen Hei"/>
        <family val="2"/>
      </rPr>
      <t xml:space="preserve">월 세제개편안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종부세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장특공 한도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중과 완화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국회 통과 미확인으로 미반영 ④ 지방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주택 처분 양도세와 처분 일정은 별도 검토 대상 ⑤ 실거주로 절감되는 주거비는 미반영</t>
    </r>
    <r>
      <rPr>
        <sz val="10"/>
        <rFont val="Arial"/>
        <family val="0"/>
        <charset val="1"/>
      </rPr>
      <t xml:space="preserve">.</t>
    </r>
  </si>
  <si>
    <t xml:space="preserve">면책</t>
  </si>
  <si>
    <r>
      <rPr>
        <sz val="10"/>
        <rFont val="WenQuanYi Zen Hei"/>
        <family val="2"/>
      </rPr>
      <t xml:space="preserve">세무사 확정 계산을 대체하지 않는 의사결정 참고용 모델입니다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</si>
  <si>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안 정의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</si>
  <si>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안 표준형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대출 한도 최대</t>
    </r>
    <r>
      <rPr>
        <sz val="10"/>
        <rFont val="Arial"/>
        <family val="0"/>
        <charset val="1"/>
      </rPr>
      <t xml:space="preserve">(LTV 40%·</t>
    </r>
    <r>
      <rPr>
        <sz val="10"/>
        <rFont val="WenQuanYi Zen Hei"/>
        <family val="2"/>
      </rPr>
      <t xml:space="preserve">구간 한도</t>
    </r>
    <r>
      <rPr>
        <sz val="10"/>
        <rFont val="Arial"/>
        <family val="0"/>
        <charset val="1"/>
      </rPr>
      <t xml:space="preserve">) / 2</t>
    </r>
    <r>
      <rPr>
        <sz val="10"/>
        <rFont val="WenQuanYi Zen Hei"/>
        <family val="2"/>
      </rPr>
      <t xml:space="preserve">안 절충형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한도의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만 대출 </t>
    </r>
    <r>
      <rPr>
        <sz val="10"/>
        <rFont val="Arial"/>
        <family val="0"/>
        <charset val="1"/>
      </rPr>
      <t xml:space="preserve">/ 3</t>
    </r>
    <r>
      <rPr>
        <sz val="10"/>
        <rFont val="WenQuanYi Zen Hei"/>
        <family val="2"/>
      </rPr>
      <t xml:space="preserve">안 무대출형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자기자금 </t>
    </r>
    <r>
      <rPr>
        <sz val="10"/>
        <rFont val="Arial"/>
        <family val="0"/>
        <charset val="1"/>
      </rPr>
      <t xml:space="preserve">100% / 4</t>
    </r>
    <r>
      <rPr>
        <sz val="10"/>
        <rFont val="WenQuanYi Zen Hei"/>
        <family val="2"/>
      </rPr>
      <t xml:space="preserve">안 임대차 승계 후 입주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세입자 있는 주택 승계 매수 → 임대 종료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후 입주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전세금 반환은 대출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자기자금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법적 조건부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공식 확인 필요</t>
    </r>
    <r>
      <rPr>
        <sz val="10"/>
        <rFont val="Arial"/>
        <family val="0"/>
        <charset val="1"/>
      </rPr>
      <t xml:space="preserve">) / 5</t>
    </r>
    <r>
      <rPr>
        <sz val="10"/>
        <rFont val="WenQuanYi Zen Hei"/>
        <family val="2"/>
      </rPr>
      <t xml:space="preserve">안 매수 보류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전세 거주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자본 예금 운용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기준선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선대출 후전세는 토허제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개월 내 입주</t>
    </r>
    <r>
      <rPr>
        <sz val="10"/>
        <rFont val="Arial"/>
        <family val="0"/>
        <charset val="1"/>
      </rPr>
      <t xml:space="preserve">·2</t>
    </r>
    <r>
      <rPr>
        <sz val="10"/>
        <rFont val="WenQuanYi Zen Hei"/>
        <family val="2"/>
      </rPr>
      <t xml:space="preserve">년 실거주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불가라 제외했습니다</t>
    </r>
    <r>
      <rPr>
        <sz val="10"/>
        <rFont val="Arial"/>
        <family val="0"/>
        <charset val="1"/>
      </rPr>
      <t xml:space="preserve">.</t>
    </r>
  </si>
  <si>
    <t xml:space="preserve">우위 지표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</si>
  <si>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전세 대비 우위</t>
    </r>
    <r>
      <rPr>
        <sz val="10"/>
        <rFont val="Arial"/>
        <family val="0"/>
        <charset val="1"/>
      </rPr>
      <t xml:space="preserve">' = </t>
    </r>
    <r>
      <rPr>
        <sz val="10"/>
        <rFont val="WenQuanYi Zen Hei"/>
        <family val="2"/>
      </rPr>
      <t xml:space="preserve">세후 순이익 − 투자금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예금대안수익률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전세가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거주기간 예금수익률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같은 집을 전세로 빌려 살며 자본을 예금에 둔 경우를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으로 둔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년 순자산 차이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 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입니다</t>
    </r>
    <r>
      <rPr>
        <sz val="10"/>
        <rFont val="Arial"/>
        <family val="0"/>
        <charset val="1"/>
      </rPr>
      <t xml:space="preserve">. 5</t>
    </r>
    <r>
      <rPr>
        <sz val="10"/>
        <rFont val="WenQuanYi Zen Hei"/>
        <family val="2"/>
      </rPr>
      <t xml:space="preserve">안이 항상 </t>
    </r>
    <r>
      <rPr>
        <sz val="10"/>
        <rFont val="Arial"/>
        <family val="0"/>
        <charset val="1"/>
      </rPr>
      <t xml:space="preserve">0(</t>
    </r>
    <r>
      <rPr>
        <sz val="10"/>
        <rFont val="WenQuanYi Zen Hei"/>
        <family val="2"/>
      </rPr>
      <t xml:space="preserve">기준선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</si>
  <si>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t xml:space="preserve">핵심 원리</t>
  </si>
  <si>
    <r>
      <rPr>
        <sz val="10"/>
        <rFont val="WenQuanYi Zen Hei"/>
        <family val="2"/>
      </rPr>
      <t xml:space="preserve">대출 금리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4.0%)</t>
    </r>
    <r>
      <rPr>
        <sz val="10"/>
        <rFont val="WenQuanYi Zen Hei"/>
        <family val="2"/>
      </rPr>
      <t xml:space="preserve">가 잔여자금의 세후 운용수익률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예금 </t>
    </r>
    <r>
      <rPr>
        <sz val="10"/>
        <rFont val="Arial"/>
        <family val="0"/>
        <charset val="1"/>
      </rPr>
      <t xml:space="preserve">3.0% → </t>
    </r>
    <r>
      <rPr>
        <sz val="10"/>
        <rFont val="WenQuanYi Zen Hei"/>
        <family val="2"/>
      </rPr>
      <t xml:space="preserve">세후 </t>
    </r>
    <r>
      <rPr>
        <sz val="10"/>
        <rFont val="Arial"/>
        <family val="0"/>
        <charset val="1"/>
      </rPr>
      <t xml:space="preserve">2.54%)</t>
    </r>
    <r>
      <rPr>
        <sz val="10"/>
        <rFont val="WenQuanYi Zen Hei"/>
        <family val="2"/>
      </rPr>
      <t xml:space="preserve">보다 높으면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시세 상승률과 무관하게 대출을 줄일수록 순자산이 늘어납니다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잔여자금을 세후 </t>
    </r>
    <r>
      <rPr>
        <sz val="10"/>
        <rFont val="Arial"/>
        <family val="0"/>
        <charset val="1"/>
      </rPr>
      <t xml:space="preserve">4% </t>
    </r>
    <r>
      <rPr>
        <sz val="10"/>
        <rFont val="WenQuanYi Zen Hei"/>
        <family val="2"/>
      </rPr>
      <t xml:space="preserve">이상으로 굴릴 수 있다면 입력 시트의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예금금리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를 올려 결과가 바뀌는지 확인하세요</t>
    </r>
    <r>
      <rPr>
        <sz val="10"/>
        <rFont val="Arial"/>
        <family val="0"/>
        <charset val="1"/>
      </rPr>
      <t xml:space="preserve">.</t>
    </r>
  </si>
  <si>
    <t xml:space="preserve">사용 순서</t>
  </si>
  <si>
    <r>
      <rPr>
        <sz val="10"/>
        <rFont val="WenQuanYi Zen Hei"/>
        <family val="2"/>
      </rPr>
      <t xml:space="preserve">① 입력 시트에서 자기자본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금리 확인 → ② 단지 시트 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열 가격 갱신 → ③ 안별요약에서 상승률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매도시점 선택 → ④ 안별비교에서 전체 행 확인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</si>
  <si>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안 요약 – 자기자본별 최적 단지와 안</t>
    </r>
  </si>
  <si>
    <r>
      <rPr>
        <b val="true"/>
        <sz val="10"/>
        <rFont val="WenQuanYi Zen Hei"/>
        <family val="2"/>
      </rPr>
      <t xml:space="preserve">상승률 시나리오</t>
    </r>
    <r>
      <rPr>
        <b val="true"/>
        <sz val="10"/>
        <rFont val="Arial"/>
        <family val="0"/>
        <charset val="1"/>
      </rPr>
      <t xml:space="preserve">(1=</t>
    </r>
    <r>
      <rPr>
        <b val="true"/>
        <sz val="10"/>
        <rFont val="WenQuanYi Zen Hei"/>
        <family val="2"/>
      </rPr>
      <t xml:space="preserve">보수 </t>
    </r>
    <r>
      <rPr>
        <b val="true"/>
        <sz val="10"/>
        <rFont val="Arial"/>
        <family val="0"/>
        <charset val="1"/>
      </rPr>
      <t xml:space="preserve">2=</t>
    </r>
    <r>
      <rPr>
        <b val="true"/>
        <sz val="10"/>
        <rFont val="WenQuanYi Zen Hei"/>
        <family val="2"/>
      </rPr>
      <t xml:space="preserve">기준 </t>
    </r>
    <r>
      <rPr>
        <b val="true"/>
        <sz val="10"/>
        <rFont val="Arial"/>
        <family val="0"/>
        <charset val="1"/>
      </rPr>
      <t xml:space="preserve">3=</t>
    </r>
    <r>
      <rPr>
        <b val="true"/>
        <sz val="10"/>
        <rFont val="WenQuanYi Zen Hei"/>
        <family val="2"/>
      </rPr>
      <t xml:space="preserve">낙관</t>
    </r>
    <r>
      <rPr>
        <b val="true"/>
        <sz val="10"/>
        <rFont val="Arial"/>
        <family val="0"/>
        <charset val="1"/>
      </rPr>
      <t xml:space="preserve">)</t>
    </r>
  </si>
  <si>
    <t xml:space="preserve">상승률</t>
  </si>
  <si>
    <r>
      <rPr>
        <b val="true"/>
        <sz val="10"/>
        <rFont val="WenQuanYi Zen Hei"/>
        <family val="2"/>
      </rPr>
      <t xml:space="preserve">매도 시점</t>
    </r>
    <r>
      <rPr>
        <b val="true"/>
        <sz val="10"/>
        <rFont val="Arial"/>
        <family val="0"/>
        <charset val="1"/>
      </rPr>
      <t xml:space="preserve">(5 </t>
    </r>
    <r>
      <rPr>
        <b val="true"/>
        <sz val="10"/>
        <rFont val="WenQuanYi Zen Hei"/>
        <family val="2"/>
      </rPr>
      <t xml:space="preserve">또는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</si>
  <si>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각 안에서 해당 자기자본으로 가능한 단지 중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전세 대비 우위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가 가장 큰 단지를 고릅니다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가능한 단지가 없으면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해당 없음</t>
    </r>
    <r>
      <rPr>
        <i val="true"/>
        <sz val="9"/>
        <color rgb="FF595959"/>
        <rFont val="Arial"/>
        <family val="0"/>
        <charset val="1"/>
      </rPr>
      <t xml:space="preserve">'. 5</t>
    </r>
    <r>
      <rPr>
        <i val="true"/>
        <sz val="9"/>
        <color rgb="FF595959"/>
        <rFont val="WenQuanYi Zen Hei"/>
        <family val="2"/>
      </rPr>
      <t xml:space="preserve">안은 기준선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우위 </t>
    </r>
    <r>
      <rPr>
        <i val="true"/>
        <sz val="9"/>
        <color rgb="FF595959"/>
        <rFont val="Arial"/>
        <family val="0"/>
        <charset val="1"/>
      </rPr>
      <t xml:space="preserve">0)</t>
    </r>
    <r>
      <rPr>
        <i val="true"/>
        <sz val="9"/>
        <color rgb="FF595959"/>
        <rFont val="WenQuanYi Zen Hei"/>
        <family val="2"/>
      </rPr>
      <t xml:space="preserve">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</si>
  <si>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안</t>
  </si>
  <si>
    <t xml:space="preserve">최고 단지</t>
  </si>
  <si>
    <t xml:space="preserve">매수가</t>
  </si>
  <si>
    <t xml:space="preserve">대출</t>
  </si>
  <si>
    <r>
      <rPr>
        <b val="true"/>
        <sz val="10"/>
        <color rgb="FFFFFFFF"/>
        <rFont val="WenQuanYi Zen Hei"/>
        <family val="2"/>
      </rPr>
      <t xml:space="preserve">투자금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피크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</si>
  <si>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① 취득세</t>
  </si>
  <si>
    <t xml:space="preserve">② 보유세 누계</t>
  </si>
  <si>
    <t xml:space="preserve">③ 양도세</t>
  </si>
  <si>
    <t xml:space="preserve">세금 합계</t>
  </si>
  <si>
    <t xml:space="preserve">세후 순이익</t>
  </si>
  <si>
    <t xml:space="preserve">전세 대비 우위</t>
  </si>
  <si>
    <r>
      <rPr>
        <b val="true"/>
        <sz val="10"/>
        <color rgb="FFFFFFFF"/>
        <rFont val="WenQuanYi Zen Hei"/>
        <family val="2"/>
      </rPr>
      <t xml:space="preserve">월 원리금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</si>
  <si>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필요 연소득</t>
  </si>
  <si>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행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</si>
  <si>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우위값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</si>
  <si>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안 표준형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대출 최대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</si>
  <si>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안 절충형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대출 </t>
    </r>
    <r>
      <rPr>
        <b val="true"/>
        <sz val="10"/>
        <rFont val="Arial"/>
        <family val="0"/>
        <charset val="1"/>
      </rPr>
      <t xml:space="preserve">50%)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</si>
  <si>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안 무대출형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</si>
  <si>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안 임대차 승계 후 입주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</si>
  <si>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안 매수 보류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전세 거주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</si>
  <si>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전세 거주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예금 운용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기준선</t>
    </r>
    <r>
      <rPr>
        <sz val="10"/>
        <rFont val="Arial"/>
        <family val="0"/>
        <charset val="1"/>
      </rPr>
      <t xml:space="preserve">)</t>
    </r>
  </si>
  <si>
    <t xml:space="preserve">-</t>
  </si>
  <si>
    <r>
      <rPr>
        <b val="true"/>
        <sz val="10"/>
        <rFont val="WenQuanYi Zen Hei"/>
        <family val="2"/>
      </rPr>
      <t xml:space="preserve">★ 최적 </t>
    </r>
    <r>
      <rPr>
        <b val="true"/>
        <sz val="10"/>
        <rFont val="Arial"/>
        <family val="0"/>
        <charset val="1"/>
      </rPr>
      <t xml:space="preserve">(1~4</t>
    </r>
    <r>
      <rPr>
        <b val="true"/>
        <sz val="10"/>
        <rFont val="WenQuanYi Zen Hei"/>
        <family val="2"/>
      </rPr>
      <t xml:space="preserve">안 중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</si>
  <si>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안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단지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상승률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매도시점 비교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억 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</si>
  <si>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전세 대비 우위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순이익 − 투자금</t>
    </r>
    <r>
      <rPr>
        <i val="true"/>
        <sz val="9"/>
        <color rgb="FF595959"/>
        <rFont val="Arial"/>
        <family val="0"/>
        <charset val="1"/>
      </rPr>
      <t xml:space="preserve">×</t>
    </r>
    <r>
      <rPr>
        <i val="true"/>
        <sz val="9"/>
        <color rgb="FF595959"/>
        <rFont val="WenQuanYi Zen Hei"/>
        <family val="2"/>
      </rPr>
      <t xml:space="preserve">예금대안수익률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전세가</t>
    </r>
    <r>
      <rPr>
        <i val="true"/>
        <sz val="9"/>
        <color rgb="FF595959"/>
        <rFont val="Arial"/>
        <family val="0"/>
        <charset val="1"/>
      </rPr>
      <t xml:space="preserve">×(</t>
    </r>
    <r>
      <rPr>
        <i val="true"/>
        <sz val="9"/>
        <color rgb="FF595959"/>
        <rFont val="WenQuanYi Zen Hei"/>
        <family val="2"/>
      </rPr>
      <t xml:space="preserve">거주기간 예금수익률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같은 집을 전세로 빌려 살며 자본을 예금에 둔 경우</t>
    </r>
    <r>
      <rPr>
        <i val="true"/>
        <sz val="9"/>
        <color rgb="FF595959"/>
        <rFont val="Arial"/>
        <family val="0"/>
        <charset val="1"/>
      </rPr>
      <t xml:space="preserve">(5</t>
    </r>
    <r>
      <rPr>
        <i val="true"/>
        <sz val="9"/>
        <color rgb="FF595959"/>
        <rFont val="WenQuanYi Zen Hei"/>
        <family val="2"/>
      </rPr>
      <t xml:space="preserve">안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를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WenQuanYi Zen Hei"/>
        <family val="2"/>
      </rPr>
      <t xml:space="preserve">으로 둔 </t>
    </r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년 순자산 차이입니다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가능</t>
    </r>
    <r>
      <rPr>
        <i val="true"/>
        <sz val="9"/>
        <color rgb="FF595959"/>
        <rFont val="Arial"/>
        <family val="0"/>
        <charset val="1"/>
      </rPr>
      <t xml:space="preserve">(A/B/C)=1</t>
    </r>
    <r>
      <rPr>
        <i val="true"/>
        <sz val="9"/>
        <color rgb="FF595959"/>
        <rFont val="WenQuanYi Zen Hei"/>
        <family val="2"/>
      </rPr>
      <t xml:space="preserve">이면 해당 자기자본으로 투자금 충당 가능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</si>
  <si>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단지번호</t>
  </si>
  <si>
    <t xml:space="preserve">단지</t>
  </si>
  <si>
    <t xml:space="preserve">안 이름</t>
  </si>
  <si>
    <t xml:space="preserve">시나리오</t>
  </si>
  <si>
    <r>
      <rPr>
        <b val="true"/>
        <sz val="10"/>
        <color rgb="FFFFFFFF"/>
        <rFont val="WenQuanYi Zen Hei"/>
        <family val="2"/>
      </rPr>
      <t xml:space="preserve">매도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</si>
  <si>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전세가</t>
  </si>
  <si>
    <t xml:space="preserve">① 취득세 등</t>
  </si>
  <si>
    <t xml:space="preserve">매수비용</t>
  </si>
  <si>
    <r>
      <rPr>
        <b val="true"/>
        <sz val="10"/>
        <color rgb="FFFFFFFF"/>
        <rFont val="WenQuanYi Zen Hei"/>
        <family val="2"/>
      </rPr>
      <t xml:space="preserve">추가 자기자금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임대 종료 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</si>
  <si>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임대 기간</t>
  </si>
  <si>
    <r>
      <rPr>
        <b val="true"/>
        <sz val="10"/>
        <color rgb="FFFFFFFF"/>
        <rFont val="WenQuanYi Zen Hei"/>
        <family val="2"/>
      </rPr>
      <t xml:space="preserve">거주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</si>
  <si>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매도가</t>
  </si>
  <si>
    <t xml:space="preserve">매도 중개</t>
  </si>
  <si>
    <t xml:space="preserve">대출이자 누계</t>
  </si>
  <si>
    <t xml:space="preserve">필요경비</t>
  </si>
  <si>
    <t xml:space="preserve">양도차익</t>
  </si>
  <si>
    <t xml:space="preserve">과세대상 차익</t>
  </si>
  <si>
    <t xml:space="preserve">장특공 공제율</t>
  </si>
  <si>
    <t xml:space="preserve">과세표준</t>
  </si>
  <si>
    <t xml:space="preserve">예금 대안수익</t>
  </si>
  <si>
    <r>
      <rPr>
        <b val="true"/>
        <sz val="10"/>
        <color rgb="FFFFFFFF"/>
        <rFont val="WenQuanYi Zen Hei"/>
        <family val="2"/>
      </rPr>
      <t xml:space="preserve">가능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</si>
  <si>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가능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</si>
  <si>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WenQuanYi Zen Hei"/>
        <family val="2"/>
      </rPr>
      <t xml:space="preserve">가능 </t>
    </r>
    <r>
      <rPr>
        <b val="true"/>
        <sz val="10"/>
        <color rgb="FFFFFFFF"/>
        <rFont val="Arial"/>
        <family val="0"/>
        <charset val="1"/>
      </rPr>
      <t xml:space="preserve">C</t>
    </r>
  </si>
  <si>
    <r>
      <rPr>
        <b val="true"/>
        <sz val="10"/>
        <color rgb="FFFFFFFF"/>
        <rFont val="WenQuanYi Zen Hei"/>
        <family val="2"/>
      </rPr>
      <t xml:space="preserve">우위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</si>
  <si>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우위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</si>
  <si>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WenQuanYi Zen Hei"/>
        <family val="2"/>
      </rPr>
      <t xml:space="preserve">우위 </t>
    </r>
    <r>
      <rPr>
        <b val="true"/>
        <sz val="10"/>
        <color rgb="FFFFFFFF"/>
        <rFont val="Arial"/>
        <family val="0"/>
        <charset val="1"/>
      </rPr>
      <t xml:space="preserve">C</t>
    </r>
  </si>
  <si>
    <r>
      <rPr>
        <b val="true"/>
        <sz val="10"/>
        <color rgb="FFFFFFFF"/>
        <rFont val="WenQuanYi Zen Hei"/>
        <family val="2"/>
      </rPr>
      <t xml:space="preserve">키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</si>
  <si>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키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</si>
  <si>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WenQuanYi Zen Hei"/>
        <family val="2"/>
      </rPr>
      <t xml:space="preserve">키 </t>
    </r>
    <r>
      <rPr>
        <b val="true"/>
        <sz val="10"/>
        <color rgb="FFFFFFFF"/>
        <rFont val="Arial"/>
        <family val="0"/>
        <charset val="1"/>
      </rPr>
      <t xml:space="preserve">C</t>
    </r>
  </si>
  <si>
    <r>
      <rPr>
        <b val="true"/>
        <sz val="14"/>
        <rFont val="WenQuanYi Zen Hei"/>
        <family val="2"/>
      </rPr>
      <t xml:space="preserve">요약 – 타깃 단지별 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단계 세금과 손익</t>
    </r>
  </si>
  <si>
    <r>
      <rPr>
        <b val="true"/>
        <sz val="10"/>
        <rFont val="WenQuanYi Zen Hei"/>
        <family val="2"/>
      </rPr>
      <t xml:space="preserve">기준 시나리오</t>
    </r>
    <r>
      <rPr>
        <b val="true"/>
        <sz val="10"/>
        <rFont val="Arial"/>
        <family val="0"/>
        <charset val="1"/>
      </rPr>
      <t xml:space="preserve">(1=</t>
    </r>
    <r>
      <rPr>
        <b val="true"/>
        <sz val="10"/>
        <rFont val="WenQuanYi Zen Hei"/>
        <family val="2"/>
      </rPr>
      <t xml:space="preserve">보수 </t>
    </r>
    <r>
      <rPr>
        <b val="true"/>
        <sz val="10"/>
        <rFont val="Arial"/>
        <family val="0"/>
        <charset val="1"/>
      </rPr>
      <t xml:space="preserve">2=</t>
    </r>
    <r>
      <rPr>
        <b val="true"/>
        <sz val="10"/>
        <rFont val="WenQuanYi Zen Hei"/>
        <family val="2"/>
      </rPr>
      <t xml:space="preserve">기준 </t>
    </r>
    <r>
      <rPr>
        <b val="true"/>
        <sz val="10"/>
        <rFont val="Arial"/>
        <family val="0"/>
        <charset val="1"/>
      </rPr>
      <t xml:space="preserve">3=</t>
    </r>
    <r>
      <rPr>
        <b val="true"/>
        <sz val="10"/>
        <rFont val="WenQuanYi Zen Hei"/>
        <family val="2"/>
      </rPr>
      <t xml:space="preserve">낙관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</si>
  <si>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매도 시점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년</t>
    </r>
    <r>
      <rPr>
        <b val="true"/>
        <sz val="10"/>
        <rFont val="Arial"/>
        <family val="0"/>
        <charset val="1"/>
      </rPr>
      <t xml:space="preserve">: 3·5·7·10 </t>
    </r>
    <r>
      <rPr>
        <b val="true"/>
        <sz val="10"/>
        <rFont val="WenQuanYi Zen Hei"/>
        <family val="2"/>
      </rPr>
      <t xml:space="preserve">중 선택</t>
    </r>
    <r>
      <rPr>
        <b val="true"/>
        <sz val="10"/>
        <rFont val="Arial"/>
        <family val="0"/>
        <charset val="1"/>
      </rPr>
      <t xml:space="preserve">)</t>
    </r>
  </si>
  <si>
    <t xml:space="preserve">매매가</t>
  </si>
  <si>
    <t xml:space="preserve">필요 자기자본</t>
  </si>
  <si>
    <r>
      <rPr>
        <b val="true"/>
        <sz val="10"/>
        <color rgb="FFFFFFFF"/>
        <rFont val="Arial"/>
        <family val="0"/>
        <charset val="1"/>
      </rPr>
      <t xml:space="preserve">A(12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</si>
  <si>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B(14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</si>
  <si>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C(16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</si>
  <si>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보유세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년차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</si>
  <si>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세금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시세차익</t>
    </r>
  </si>
  <si>
    <t xml:space="preserve">시세차익</t>
  </si>
  <si>
    <t xml:space="preserve">수익률</t>
  </si>
  <si>
    <t xml:space="preserve">연환산</t>
  </si>
  <si>
    <r>
      <rPr>
        <b val="true"/>
        <sz val="10"/>
        <color rgb="FFFFFFFF"/>
        <rFont val="WenQuanYi Zen Hei"/>
        <family val="2"/>
      </rPr>
      <t xml:space="preserve">회수율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</si>
  <si>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예금 대비 초과수익</t>
  </si>
  <si>
    <r>
      <rPr>
        <b val="true"/>
        <sz val="10"/>
        <rFont val="WenQuanYi Zen Hei"/>
        <family val="2"/>
      </rPr>
      <t xml:space="preserve">민감도 ① 세후 순이익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상승률 시나리오별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매도 시점 </t>
    </r>
    <r>
      <rPr>
        <b val="true"/>
        <sz val="10"/>
        <rFont val="Arial"/>
        <family val="0"/>
        <charset val="1"/>
      </rPr>
      <t xml:space="preserve">= C3)</t>
    </r>
  </si>
  <si>
    <t xml:space="preserve">보수</t>
  </si>
  <si>
    <t xml:space="preserve">기준</t>
  </si>
  <si>
    <t xml:space="preserve">낙관</t>
  </si>
  <si>
    <r>
      <rPr>
        <b val="true"/>
        <sz val="10"/>
        <rFont val="WenQuanYi Zen Hei"/>
        <family val="2"/>
      </rPr>
      <t xml:space="preserve">민감도 ② 세후 순이익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매도 시점별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상승률 시나리오 </t>
    </r>
    <r>
      <rPr>
        <b val="true"/>
        <sz val="10"/>
        <rFont val="Arial"/>
        <family val="0"/>
        <charset val="1"/>
      </rPr>
      <t xml:space="preserve">= C2)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</si>
  <si>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</si>
  <si>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</si>
  <si>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</si>
  <si>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년</t>
    </r>
  </si>
  <si>
    <r>
      <rPr>
        <b val="true"/>
        <sz val="10"/>
        <rFont val="WenQuanYi Zen Hei"/>
        <family val="2"/>
      </rPr>
      <t xml:space="preserve">민감도 ③ 양도세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매도 시점별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상승률 시나리오 </t>
    </r>
    <r>
      <rPr>
        <b val="true"/>
        <sz val="10"/>
        <rFont val="Arial"/>
        <family val="0"/>
        <charset val="1"/>
      </rPr>
      <t xml:space="preserve">= C2)</t>
    </r>
  </si>
  <si>
    <r>
      <rPr>
        <b val="true"/>
        <sz val="14"/>
        <rFont val="WenQuanYi Zen Hei"/>
        <family val="2"/>
      </rPr>
      <t xml:space="preserve">타깃 단지 – 매수 단계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대출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취득세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필요 자기자본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</si>
  <si>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F</t>
    </r>
    <r>
      <rPr>
        <i val="true"/>
        <sz val="9"/>
        <color rgb="FF595959"/>
        <rFont val="WenQuanYi Zen Hei"/>
        <family val="2"/>
      </rPr>
      <t xml:space="preserve">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매매가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이 핵심 입력입니다</t>
    </r>
    <r>
      <rPr>
        <i val="true"/>
        <sz val="9"/>
        <color rgb="FF595959"/>
        <rFont val="Arial"/>
        <family val="0"/>
        <charset val="1"/>
      </rPr>
      <t xml:space="preserve">. '</t>
    </r>
    <r>
      <rPr>
        <i val="true"/>
        <sz val="9"/>
        <color rgb="FF595959"/>
        <rFont val="WenQuanYi Zen Hei"/>
        <family val="2"/>
      </rPr>
      <t xml:space="preserve">신뢰도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가 낮은 행은 국토부 실거래가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네이버 중층 매물로 교체하세요</t>
    </r>
    <r>
      <rPr>
        <i val="true"/>
        <sz val="9"/>
        <color rgb="FF595959"/>
        <rFont val="Arial"/>
        <family val="0"/>
        <charset val="1"/>
      </rPr>
      <t xml:space="preserve">. 12</t>
    </r>
    <r>
      <rPr>
        <i val="true"/>
        <sz val="9"/>
        <color rgb="FF595959"/>
        <rFont val="WenQuanYi Zen Hei"/>
        <family val="2"/>
      </rPr>
      <t xml:space="preserve">번 행은 직접 입력하는 예시 행입니다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</si>
  <si>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번호</t>
  </si>
  <si>
    <t xml:space="preserve">권역</t>
  </si>
  <si>
    <t xml:space="preserve">노선</t>
  </si>
  <si>
    <r>
      <rPr>
        <b val="true"/>
        <sz val="10"/>
        <color rgb="FFFFFFFF"/>
        <rFont val="WenQuanYi Zen Hei"/>
        <family val="2"/>
      </rPr>
      <t xml:space="preserve">단지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기준</t>
    </r>
  </si>
  <si>
    <r>
      <rPr>
        <b val="true"/>
        <sz val="10"/>
        <color rgb="FFFFFFFF"/>
        <rFont val="WenQuanYi Zen Hei"/>
        <family val="2"/>
      </rPr>
      <t xml:space="preserve">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</si>
  <si>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매매가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</si>
  <si>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가격 근거</t>
  </si>
  <si>
    <t xml:space="preserve">신뢰도</t>
  </si>
  <si>
    <t xml:space="preserve">전세가율</t>
  </si>
  <si>
    <r>
      <rPr>
        <b val="true"/>
        <sz val="10"/>
        <color rgb="FFFFFFFF"/>
        <rFont val="WenQuanYi Zen Hei"/>
        <family val="2"/>
      </rPr>
      <t xml:space="preserve">전세가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</si>
  <si>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갭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</si>
  <si>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공시가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</si>
  <si>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대출 가능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</si>
  <si>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취득세 등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</si>
  <si>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매수 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</si>
  <si>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필요 자기자본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</si>
  <si>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자기자본 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충족</t>
    </r>
  </si>
  <si>
    <r>
      <rPr>
        <b val="true"/>
        <sz val="10"/>
        <color rgb="FFFFFFFF"/>
        <rFont val="WenQuanYi Zen Hei"/>
        <family val="2"/>
      </rPr>
      <t xml:space="preserve">자기자본 </t>
    </r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충족</t>
    </r>
  </si>
  <si>
    <r>
      <rPr>
        <b val="true"/>
        <sz val="10"/>
        <color rgb="FFFFFFFF"/>
        <rFont val="WenQuanYi Zen Hei"/>
        <family val="2"/>
      </rPr>
      <t xml:space="preserve">자기자본 </t>
    </r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WenQuanYi Zen Hei"/>
        <family val="2"/>
      </rPr>
      <t xml:space="preserve">충족</t>
    </r>
  </si>
  <si>
    <r>
      <rPr>
        <b val="true"/>
        <sz val="10"/>
        <color rgb="FFFFFFFF"/>
        <rFont val="WenQuanYi Zen Hei"/>
        <family val="2"/>
      </rPr>
      <t xml:space="preserve">필요 연소득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</si>
  <si>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문래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</si>
  <si>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호선 문래</t>
    </r>
  </si>
  <si>
    <r>
      <rPr>
        <sz val="10"/>
        <color rgb="FF0000FF"/>
        <rFont val="WenQuanYi Zen Hei"/>
        <family val="2"/>
      </rPr>
      <t xml:space="preserve">문래건영아파트 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</si>
  <si>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2026.7.8 12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13.9</t>
    </r>
    <r>
      <rPr>
        <i val="true"/>
        <sz val="9"/>
        <color rgb="FF595959"/>
        <rFont val="WenQuanYi Zen Hei"/>
        <family val="2"/>
      </rPr>
      <t xml:space="preserve">억 실거래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헤럴드경제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네이트 보도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</si>
  <si>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뉴스 보도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</si>
  <si>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WenQuanYi Zen Hei"/>
        <family val="2"/>
      </rPr>
      <t xml:space="preserve">편한세상 문래 에듀플라츠 </t>
    </r>
    <r>
      <rPr>
        <sz val="10"/>
        <color rgb="FF0000FF"/>
        <rFont val="Arial"/>
        <family val="0"/>
        <charset val="1"/>
      </rPr>
      <t xml:space="preserve">84.99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</si>
  <si>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2026.4.14 14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14.9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실거래 정리 사이트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국토부 원본 확인 필요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</si>
  <si>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시세 사이트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</si>
  <si>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문래자이 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</si>
  <si>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2026.7.9 14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19.5</t>
    </r>
    <r>
      <rPr>
        <i val="true"/>
        <sz val="9"/>
        <color rgb="FF595959"/>
        <rFont val="WenQuanYi Zen Hei"/>
        <family val="2"/>
      </rPr>
      <t xml:space="preserve">억 신고가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헤럴드경제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네이트 보도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</si>
  <si>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신길</t>
  </si>
  <si>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WenQuanYi Zen Hei"/>
        <family val="2"/>
      </rPr>
      <t xml:space="preserve">호선 신길 </t>
    </r>
    <r>
      <rPr>
        <sz val="10"/>
        <color rgb="FF0000FF"/>
        <rFont val="Arial"/>
        <family val="0"/>
        <charset val="1"/>
      </rPr>
      <t xml:space="preserve">/ 1</t>
    </r>
    <r>
      <rPr>
        <sz val="10"/>
        <color rgb="FF0000FF"/>
        <rFont val="WenQuanYi Zen Hei"/>
        <family val="2"/>
      </rPr>
      <t xml:space="preserve">호선</t>
    </r>
  </si>
  <si>
    <r>
      <rPr>
        <sz val="10"/>
        <color rgb="FF0000FF"/>
        <rFont val="WenQuanYi Zen Hei"/>
        <family val="2"/>
      </rPr>
      <t xml:space="preserve">신길삼성래미안 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</si>
  <si>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2026.6</t>
    </r>
    <r>
      <rPr>
        <i val="true"/>
        <sz val="9"/>
        <color rgb="FF595959"/>
        <rFont val="WenQuanYi Zen Hei"/>
        <family val="2"/>
      </rPr>
      <t xml:space="preserve">월 실거래 </t>
    </r>
    <r>
      <rPr>
        <i val="true"/>
        <sz val="9"/>
        <color rgb="FF595959"/>
        <rFont val="Arial"/>
        <family val="0"/>
        <charset val="1"/>
      </rPr>
      <t xml:space="preserve">13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네이트뉴스 보도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</si>
  <si>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신길 래미안에스티움 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</si>
  <si>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2026.5.26 2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18.8</t>
    </r>
    <r>
      <rPr>
        <i val="true"/>
        <sz val="9"/>
        <color rgb="FF595959"/>
        <rFont val="WenQuanYi Zen Hei"/>
        <family val="2"/>
      </rPr>
      <t xml:space="preserve">억 실거래 보도</t>
    </r>
    <r>
      <rPr>
        <i val="true"/>
        <sz val="9"/>
        <color rgb="FF595959"/>
        <rFont val="Arial"/>
        <family val="0"/>
        <charset val="1"/>
      </rPr>
      <t xml:space="preserve">, 84</t>
    </r>
    <r>
      <rPr>
        <i val="true"/>
        <sz val="9"/>
        <color rgb="FF595959"/>
        <rFont val="WenQuanYi Zen Hei"/>
        <family val="2"/>
      </rPr>
      <t xml:space="preserve">㎡ 평균 </t>
    </r>
    <r>
      <rPr>
        <i val="true"/>
        <sz val="9"/>
        <color rgb="FF595959"/>
        <rFont val="Arial"/>
        <family val="0"/>
        <charset val="1"/>
      </rPr>
      <t xml:space="preserve">18.66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중층 이상은 더 높을 수 있음</t>
    </r>
  </si>
  <si>
    <r>
      <rPr>
        <sz val="10"/>
        <color rgb="FF0000FF"/>
        <rFont val="WenQuanYi Zen Hei"/>
        <family val="2"/>
      </rPr>
      <t xml:space="preserve">신길 보라매</t>
    </r>
    <r>
      <rPr>
        <sz val="10"/>
        <color rgb="FF0000FF"/>
        <rFont val="Arial"/>
        <family val="0"/>
        <charset val="1"/>
      </rPr>
      <t xml:space="preserve">SK</t>
    </r>
    <r>
      <rPr>
        <sz val="10"/>
        <color rgb="FF0000FF"/>
        <rFont val="WenQuanYi Zen Hei"/>
        <family val="2"/>
      </rPr>
      <t xml:space="preserve">뷰 </t>
    </r>
    <r>
      <rPr>
        <sz val="10"/>
        <color rgb="FF0000FF"/>
        <rFont val="Arial"/>
        <family val="0"/>
        <charset val="1"/>
      </rPr>
      <t xml:space="preserve">84.98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</si>
  <si>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2026.9.1 18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20.4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, 2026.10.6 27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20.9</t>
    </r>
    <r>
      <rPr>
        <i val="true"/>
        <sz val="9"/>
        <color rgb="FF595959"/>
        <rFont val="WenQuanYi Zen Hei"/>
        <family val="2"/>
      </rPr>
      <t xml:space="preserve">억 실거래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시세 사이트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</si>
  <si>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노량진</t>
  </si>
  <si>
    <r>
      <rPr>
        <sz val="10"/>
        <color rgb="FF0000FF"/>
        <rFont val="Arial"/>
        <family val="0"/>
        <charset val="1"/>
      </rPr>
      <t xml:space="preserve">1·9</t>
    </r>
    <r>
      <rPr>
        <sz val="10"/>
        <color rgb="FF0000FF"/>
        <rFont val="WenQuanYi Zen Hei"/>
        <family val="2"/>
      </rPr>
      <t xml:space="preserve">호선 노량진</t>
    </r>
  </si>
  <si>
    <r>
      <rPr>
        <sz val="10"/>
        <color rgb="FF0000FF"/>
        <rFont val="WenQuanYi Zen Hei"/>
        <family val="2"/>
      </rPr>
      <t xml:space="preserve">노량진동 쌍용예가 </t>
    </r>
    <r>
      <rPr>
        <sz val="10"/>
        <color rgb="FF0000FF"/>
        <rFont val="Arial"/>
        <family val="0"/>
        <charset val="1"/>
      </rPr>
      <t xml:space="preserve">85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</si>
  <si>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85</t>
    </r>
    <r>
      <rPr>
        <i val="true"/>
        <sz val="9"/>
        <color rgb="FF595959"/>
        <rFont val="WenQuanYi Zen Hei"/>
        <family val="2"/>
      </rPr>
      <t xml:space="preserve">㎡ </t>
    </r>
    <r>
      <rPr>
        <i val="true"/>
        <sz val="9"/>
        <color rgb="FF595959"/>
        <rFont val="Arial"/>
        <family val="0"/>
        <charset val="1"/>
      </rPr>
      <t xml:space="preserve">2025</t>
    </r>
    <r>
      <rPr>
        <i val="true"/>
        <sz val="9"/>
        <color rgb="FF595959"/>
        <rFont val="WenQuanYi Zen Hei"/>
        <family val="2"/>
      </rPr>
      <t xml:space="preserve">년 평균 </t>
    </r>
    <r>
      <rPr>
        <i val="true"/>
        <sz val="9"/>
        <color rgb="FF595959"/>
        <rFont val="Arial"/>
        <family val="0"/>
        <charset val="1"/>
      </rPr>
      <t xml:space="preserve">14.48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, 2026</t>
    </r>
    <r>
      <rPr>
        <i val="true"/>
        <sz val="9"/>
        <color rgb="FF595959"/>
        <rFont val="WenQuanYi Zen Hei"/>
        <family val="2"/>
      </rPr>
      <t xml:space="preserve">년 값 미확인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자동집계 사이트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자료 상충 가능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</si>
  <si>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낮음</t>
    </r>
    <r>
      <rPr>
        <sz val="10"/>
        <color rgb="FF0000FF"/>
        <rFont val="Arial"/>
        <family val="0"/>
        <charset val="1"/>
      </rPr>
      <t xml:space="preserve">(2025 </t>
    </r>
    <r>
      <rPr>
        <sz val="10"/>
        <color rgb="FF0000FF"/>
        <rFont val="WenQuanYi Zen Hei"/>
        <family val="2"/>
      </rPr>
      <t xml:space="preserve">평균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</si>
  <si>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노량진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본동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</si>
  <si>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호선 노들</t>
    </r>
    <r>
      <rPr>
        <sz val="10"/>
        <color rgb="FF0000FF"/>
        <rFont val="Arial"/>
        <family val="0"/>
        <charset val="1"/>
      </rPr>
      <t xml:space="preserve">·1</t>
    </r>
    <r>
      <rPr>
        <sz val="10"/>
        <color rgb="FF0000FF"/>
        <rFont val="WenQuanYi Zen Hei"/>
        <family val="2"/>
      </rPr>
      <t xml:space="preserve">호선 노량진 인근</t>
    </r>
  </si>
  <si>
    <r>
      <rPr>
        <sz val="10"/>
        <color rgb="FF0000FF"/>
        <rFont val="WenQuanYi Zen Hei"/>
        <family val="2"/>
      </rPr>
      <t xml:space="preserve">본동 래미안트윈파크 </t>
    </r>
    <r>
      <rPr>
        <sz val="10"/>
        <color rgb="FF0000FF"/>
        <rFont val="Arial"/>
        <family val="0"/>
        <charset val="1"/>
      </rPr>
      <t xml:space="preserve">(32</t>
    </r>
    <r>
      <rPr>
        <sz val="10"/>
        <color rgb="FF0000FF"/>
        <rFont val="WenQuanYi Zen Hei"/>
        <family val="2"/>
      </rPr>
      <t xml:space="preserve">평형</t>
    </r>
    <r>
      <rPr>
        <sz val="10"/>
        <color rgb="FF0000FF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</si>
  <si>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리치고 </t>
    </r>
    <r>
      <rPr>
        <i val="true"/>
        <sz val="9"/>
        <color rgb="FF595959"/>
        <rFont val="Arial"/>
        <family val="0"/>
        <charset val="1"/>
      </rPr>
      <t xml:space="preserve">2026.9.3 </t>
    </r>
    <r>
      <rPr>
        <i val="true"/>
        <sz val="9"/>
        <color rgb="FF595959"/>
        <rFont val="WenQuanYi Zen Hei"/>
        <family val="2"/>
      </rPr>
      <t xml:space="preserve">시세 </t>
    </r>
    <r>
      <rPr>
        <i val="true"/>
        <sz val="9"/>
        <color rgb="FF595959"/>
        <rFont val="Arial"/>
        <family val="0"/>
        <charset val="1"/>
      </rPr>
      <t xml:space="preserve">32</t>
    </r>
    <r>
      <rPr>
        <i val="true"/>
        <sz val="9"/>
        <color rgb="FF595959"/>
        <rFont val="WenQuanYi Zen Hei"/>
        <family val="2"/>
      </rPr>
      <t xml:space="preserve">평형 </t>
    </r>
    <r>
      <rPr>
        <i val="true"/>
        <sz val="9"/>
        <color rgb="FF595959"/>
        <rFont val="Arial"/>
        <family val="0"/>
        <charset val="1"/>
      </rPr>
      <t xml:space="preserve">24.2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(AI </t>
    </r>
    <r>
      <rPr>
        <i val="true"/>
        <sz val="9"/>
        <color rgb="FF595959"/>
        <rFont val="WenQuanYi Zen Hei"/>
        <family val="2"/>
      </rPr>
      <t xml:space="preserve">추정 성격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호갱노노 수치와 상충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노량진뉴타운 신규 분양가는 </t>
    </r>
    <r>
      <rPr>
        <i val="true"/>
        <sz val="9"/>
        <color rgb="FF595959"/>
        <rFont val="Arial"/>
        <family val="0"/>
        <charset val="1"/>
      </rPr>
      <t xml:space="preserve">84</t>
    </r>
    <r>
      <rPr>
        <i val="true"/>
        <sz val="9"/>
        <color rgb="FF595959"/>
        <rFont val="WenQuanYi Zen Hei"/>
        <family val="2"/>
      </rPr>
      <t xml:space="preserve">㎡ 약 </t>
    </r>
    <r>
      <rPr>
        <i val="true"/>
        <sz val="9"/>
        <color rgb="FF595959"/>
        <rFont val="Arial"/>
        <family val="0"/>
        <charset val="1"/>
      </rPr>
      <t xml:space="preserve">25.5</t>
    </r>
    <r>
      <rPr>
        <i val="true"/>
        <sz val="9"/>
        <color rgb="FF595959"/>
        <rFont val="WenQuanYi Zen Hei"/>
        <family val="2"/>
      </rPr>
      <t xml:space="preserve">억</t>
    </r>
  </si>
  <si>
    <r>
      <rPr>
        <sz val="10"/>
        <color rgb="FF0000FF"/>
        <rFont val="WenQuanYi Zen Hei"/>
        <family val="2"/>
      </rPr>
      <t xml:space="preserve">낮음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자료 상충</t>
    </r>
    <r>
      <rPr>
        <sz val="10"/>
        <color rgb="FF0000FF"/>
        <rFont val="Arial"/>
        <family val="0"/>
        <charset val="1"/>
      </rPr>
      <t xml:space="preserve">)</t>
    </r>
  </si>
  <si>
    <t xml:space="preserve">흑석</t>
  </si>
  <si>
    <r>
      <rPr>
        <sz val="10"/>
        <color rgb="FF0000FF"/>
        <rFont val="Arial"/>
        <family val="0"/>
        <charset val="1"/>
      </rPr>
      <t xml:space="preserve">9</t>
    </r>
    <r>
      <rPr>
        <sz val="10"/>
        <color rgb="FF0000FF"/>
        <rFont val="WenQuanYi Zen Hei"/>
        <family val="2"/>
      </rPr>
      <t xml:space="preserve">호선 흑석</t>
    </r>
  </si>
  <si>
    <r>
      <rPr>
        <sz val="10"/>
        <color rgb="FF0000FF"/>
        <rFont val="WenQuanYi Zen Hei"/>
        <family val="2"/>
      </rPr>
      <t xml:space="preserve">흑석한강푸르지오 </t>
    </r>
    <r>
      <rPr>
        <sz val="10"/>
        <color rgb="FF0000FF"/>
        <rFont val="Arial"/>
        <family val="0"/>
        <charset val="1"/>
      </rPr>
      <t xml:space="preserve">84.98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</si>
  <si>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2025.9.27 12</t>
    </r>
    <r>
      <rPr>
        <i val="true"/>
        <sz val="9"/>
        <color rgb="FF595959"/>
        <rFont val="WenQuanYi Zen Hei"/>
        <family val="2"/>
      </rPr>
      <t xml:space="preserve">층 </t>
    </r>
    <r>
      <rPr>
        <i val="true"/>
        <sz val="9"/>
        <color rgb="FF595959"/>
        <rFont val="Arial"/>
        <family val="0"/>
        <charset val="1"/>
      </rPr>
      <t xml:space="preserve">20.0</t>
    </r>
    <r>
      <rPr>
        <i val="true"/>
        <sz val="9"/>
        <color rgb="FF595959"/>
        <rFont val="WenQuanYi Zen Hei"/>
        <family val="2"/>
      </rPr>
      <t xml:space="preserve">억 실거래</t>
    </r>
    <r>
      <rPr>
        <i val="true"/>
        <sz val="9"/>
        <color rgb="FF595959"/>
        <rFont val="Arial"/>
        <family val="0"/>
        <charset val="1"/>
      </rPr>
      <t xml:space="preserve">. 2026</t>
    </r>
    <r>
      <rPr>
        <i val="true"/>
        <sz val="9"/>
        <color rgb="FF595959"/>
        <rFont val="WenQuanYi Zen Hei"/>
        <family val="2"/>
      </rPr>
      <t xml:space="preserve">년 거래 미확인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현재가는 더 높을 수 있음</t>
    </r>
  </si>
  <si>
    <r>
      <rPr>
        <sz val="10"/>
        <color rgb="FF0000FF"/>
        <rFont val="WenQuanYi Zen Hei"/>
        <family val="2"/>
      </rPr>
      <t xml:space="preserve">낮음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WenQuanYi Zen Hei"/>
        <family val="2"/>
      </rPr>
      <t xml:space="preserve">년 전 거래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</si>
  <si>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흑석리버파크자이 </t>
    </r>
    <r>
      <rPr>
        <sz val="10"/>
        <color rgb="FF0000FF"/>
        <rFont val="Arial"/>
        <family val="0"/>
        <charset val="1"/>
      </rPr>
      <t xml:space="preserve">85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</si>
  <si>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 </t>
    </r>
    <r>
      <rPr>
        <i val="true"/>
        <sz val="9"/>
        <color rgb="FF595959"/>
        <rFont val="Arial"/>
        <family val="0"/>
        <charset val="1"/>
      </rPr>
      <t xml:space="preserve">85</t>
    </r>
    <r>
      <rPr>
        <i val="true"/>
        <sz val="9"/>
        <color rgb="FF595959"/>
        <rFont val="WenQuanYi Zen Hei"/>
        <family val="2"/>
      </rPr>
      <t xml:space="preserve">㎡ 평균 </t>
    </r>
    <r>
      <rPr>
        <i val="true"/>
        <sz val="9"/>
        <color rgb="FF595959"/>
        <rFont val="Arial"/>
        <family val="0"/>
        <charset val="1"/>
      </rPr>
      <t xml:space="preserve">23.07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최고 </t>
    </r>
    <r>
      <rPr>
        <i val="true"/>
        <sz val="9"/>
        <color rgb="FF595959"/>
        <rFont val="Arial"/>
        <family val="0"/>
        <charset val="1"/>
      </rPr>
      <t xml:space="preserve">25.7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(2026.1.26) (</t>
    </r>
    <r>
      <rPr>
        <i val="true"/>
        <sz val="9"/>
        <color rgb="FF595959"/>
        <rFont val="WenQuanYi Zen Hei"/>
        <family val="2"/>
      </rPr>
      <t xml:space="preserve">자동집계 사이트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</si>
  <si>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흑석 아크로리버하임 </t>
    </r>
    <r>
      <rPr>
        <sz val="10"/>
        <color rgb="FF0000FF"/>
        <rFont val="Arial"/>
        <family val="0"/>
        <charset val="1"/>
      </rPr>
      <t xml:space="preserve">84.75</t>
    </r>
    <r>
      <rPr>
        <sz val="10"/>
        <color rgb="FF0000FF"/>
        <rFont val="WenQuanYi Zen Hei"/>
        <family val="2"/>
      </rPr>
      <t xml:space="preserve">㎡</t>
    </r>
  </si>
  <si>
    <r>
      <rPr>
        <i val="true"/>
        <sz val="9"/>
        <color rgb="FF595959"/>
        <rFont val="Arial"/>
        <family val="0"/>
        <charset val="1"/>
      </rPr>
      <t xml:space="preserve">KB</t>
    </r>
    <r>
      <rPr>
        <i val="true"/>
        <sz val="9"/>
        <color rgb="FF595959"/>
        <rFont val="WenQuanYi Zen Hei"/>
        <family val="2"/>
      </rPr>
      <t xml:space="preserve">시세 일반가 </t>
    </r>
    <r>
      <rPr>
        <i val="true"/>
        <sz val="9"/>
        <color rgb="FF595959"/>
        <rFont val="Arial"/>
        <family val="0"/>
        <charset val="1"/>
      </rPr>
      <t xml:space="preserve">28.75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(2026.9.11). </t>
    </r>
    <r>
      <rPr>
        <i val="true"/>
        <sz val="9"/>
        <color rgb="FF595959"/>
        <rFont val="WenQuanYi Zen Hei"/>
        <family val="2"/>
      </rPr>
      <t xml:space="preserve">최근 실거래 </t>
    </r>
    <r>
      <rPr>
        <i val="true"/>
        <sz val="9"/>
        <color rgb="FF595959"/>
        <rFont val="Arial"/>
        <family val="0"/>
        <charset val="1"/>
      </rPr>
      <t xml:space="preserve">25.1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(2025.10), </t>
    </r>
    <r>
      <rPr>
        <i val="true"/>
        <sz val="9"/>
        <color rgb="FF595959"/>
        <rFont val="WenQuanYi Zen Hei"/>
        <family val="2"/>
      </rPr>
      <t xml:space="preserve">호가 </t>
    </r>
    <r>
      <rPr>
        <i val="true"/>
        <sz val="9"/>
        <color rgb="FF595959"/>
        <rFont val="Arial"/>
        <family val="0"/>
        <charset val="1"/>
      </rPr>
      <t xml:space="preserve">29.5</t>
    </r>
    <r>
      <rPr>
        <i val="true"/>
        <sz val="9"/>
        <color rgb="FF595959"/>
        <rFont val="WenQuanYi Zen Hei"/>
        <family val="2"/>
      </rPr>
      <t xml:space="preserve">억</t>
    </r>
    <r>
      <rPr>
        <i val="true"/>
        <sz val="9"/>
        <color rgb="FF595959"/>
        <rFont val="Arial"/>
        <family val="0"/>
        <charset val="1"/>
      </rPr>
      <t xml:space="preserve">~</t>
    </r>
  </si>
  <si>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Arial"/>
        <family val="0"/>
        <charset val="1"/>
      </rPr>
      <t xml:space="preserve">(KB</t>
    </r>
    <r>
      <rPr>
        <sz val="10"/>
        <color rgb="FF0000FF"/>
        <rFont val="WenQuanYi Zen Hei"/>
        <family val="2"/>
      </rPr>
      <t xml:space="preserve">시세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</si>
  <si>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사용자 입력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</si>
  <si>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입력</t>
    </r>
    <r>
      <rPr>
        <sz val="10"/>
        <color rgb="FF0000FF"/>
        <rFont val="Arial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</si>
  <si>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예시 행</t>
    </r>
    <r>
      <rPr>
        <sz val="10"/>
        <color rgb="FF0000FF"/>
        <rFont val="Arial"/>
        <family val="0"/>
        <charset val="1"/>
      </rPr>
      <t xml:space="preserve">: </t>
    </r>
    <r>
      <rPr>
        <sz val="10"/>
        <color rgb="FF0000FF"/>
        <rFont val="WenQuanYi Zen Hei"/>
        <family val="2"/>
      </rPr>
      <t xml:space="preserve">직접 입력 </t>
    </r>
    <r>
      <rPr>
        <sz val="10"/>
        <color rgb="FF0000FF"/>
        <rFont val="Arial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비교 시트 제외</t>
    </r>
    <r>
      <rPr>
        <sz val="10"/>
        <color rgb="FF0000FF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</si>
  <si>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예시값입니다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실제 단지로 바꿔 쓰세요</t>
    </r>
  </si>
  <si>
    <t xml:space="preserve">예시</t>
  </si>
  <si>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WenQuanYi Zen Hei"/>
        <family val="2"/>
      </rPr>
      <t xml:space="preserve">단계 시뮬레이션 – 취득 → 보유 → 양도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손익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억 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</si>
  <si>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순이익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시세차익 − 취득세 − 매수비용 − 매도중개 − 대출이자 − 보유세 누계 − 양도세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양도차익에서는 취득세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중개 등을 필요경비로 공제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주거비 절감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임대수익은 미반영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</si>
  <si>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보유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</si>
  <si>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투자금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자기자본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비용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</si>
  <si>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대출 잔액</t>
  </si>
  <si>
    <t xml:space="preserve">양도소득금액</t>
  </si>
  <si>
    <r>
      <rPr>
        <b val="true"/>
        <sz val="10"/>
        <color rgb="FFFFFFFF"/>
        <rFont val="WenQuanYi Zen Hei"/>
        <family val="2"/>
      </rPr>
      <t xml:space="preserve">③ 양도세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지방세 포함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</si>
  <si>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세금 합계</t>
    </r>
    <r>
      <rPr>
        <b val="true"/>
        <sz val="10"/>
        <color rgb="FFFFFFFF"/>
        <rFont val="Arial"/>
        <family val="0"/>
        <charset val="1"/>
      </rPr>
      <t xml:space="preserve">(①+②+③)</t>
    </r>
  </si>
  <si>
    <t xml:space="preserve">투자금 대비 수익률</t>
  </si>
  <si>
    <r>
      <rPr>
        <b val="true"/>
        <sz val="10"/>
        <color rgb="FFFFFFFF"/>
        <rFont val="WenQuanYi Zen Hei"/>
        <family val="2"/>
      </rPr>
      <t xml:space="preserve">연환산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단순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</si>
  <si>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매도 후 회수금</t>
  </si>
  <si>
    <r>
      <rPr>
        <b val="true"/>
        <sz val="10"/>
        <color rgb="FFFFFFFF"/>
        <rFont val="WenQuanYi Zen Hei"/>
        <family val="2"/>
      </rPr>
      <t xml:space="preserve">예금 대안수익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세후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</si>
  <si>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초과수익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순이익−대안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</si>
  <si>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보유 단계 – 연도별 보유세 스케줄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단지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상승률 시나리오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보유연차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억 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</si>
  <si>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연도별 주택가격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매수가 </t>
    </r>
    <r>
      <rPr>
        <i val="true"/>
        <sz val="9"/>
        <color rgb="FF595959"/>
        <rFont val="Arial"/>
        <family val="0"/>
        <charset val="1"/>
      </rPr>
      <t xml:space="preserve">× (1+</t>
    </r>
    <r>
      <rPr>
        <i val="true"/>
        <sz val="9"/>
        <color rgb="FF595959"/>
        <rFont val="WenQuanYi Zen Hei"/>
        <family val="2"/>
      </rPr>
      <t xml:space="preserve">상승률</t>
    </r>
    <r>
      <rPr>
        <i val="true"/>
        <sz val="9"/>
        <color rgb="FF595959"/>
        <rFont val="Arial"/>
        <family val="0"/>
        <charset val="1"/>
      </rPr>
      <t xml:space="preserve">)^(</t>
    </r>
    <r>
      <rPr>
        <i val="true"/>
        <sz val="9"/>
        <color rgb="FF595959"/>
        <rFont val="WenQuanYi Zen Hei"/>
        <family val="2"/>
      </rPr>
      <t xml:space="preserve">연차−</t>
    </r>
    <r>
      <rPr>
        <i val="true"/>
        <sz val="9"/>
        <color rgb="FF595959"/>
        <rFont val="Arial"/>
        <family val="0"/>
        <charset val="1"/>
      </rPr>
      <t xml:space="preserve">1). </t>
    </r>
    <r>
      <rPr>
        <i val="true"/>
        <sz val="9"/>
        <color rgb="FF595959"/>
        <rFont val="WenQuanYi Zen Hei"/>
        <family val="2"/>
      </rPr>
      <t xml:space="preserve">종부세는 재산세 중복분 공제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세액공제 미반영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보수적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</si>
  <si>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연차</t>
  </si>
  <si>
    <t xml:space="preserve">해당 연도 시세</t>
  </si>
  <si>
    <t xml:space="preserve">공시가</t>
  </si>
  <si>
    <t xml:space="preserve">재산세 과표</t>
  </si>
  <si>
    <t xml:space="preserve">재산세</t>
  </si>
  <si>
    <t xml:space="preserve">도시지역분</t>
  </si>
  <si>
    <t xml:space="preserve">지방교육세</t>
  </si>
  <si>
    <t xml:space="preserve">종부세 과표</t>
  </si>
  <si>
    <t xml:space="preserve">종부세</t>
  </si>
  <si>
    <t xml:space="preserve">농특세</t>
  </si>
  <si>
    <t xml:space="preserve">보유세 합계</t>
  </si>
  <si>
    <r>
      <rPr>
        <b val="true"/>
        <sz val="14"/>
        <rFont val="WenQuanYi Zen Hei"/>
        <family val="2"/>
      </rPr>
      <t xml:space="preserve">자기자본별 최대 매수 가능 가격 </t>
    </r>
    <r>
      <rPr>
        <b val="true"/>
        <sz val="14"/>
        <rFont val="Arial"/>
        <family val="0"/>
        <charset val="1"/>
      </rPr>
      <t xml:space="preserve">(LTV 40%·</t>
    </r>
    <r>
      <rPr>
        <b val="true"/>
        <sz val="14"/>
        <rFont val="WenQuanYi Zen Hei"/>
        <family val="2"/>
      </rPr>
      <t xml:space="preserve">대출한도 반영</t>
    </r>
    <r>
      <rPr>
        <b val="true"/>
        <sz val="14"/>
        <rFont val="Arial"/>
        <family val="0"/>
        <charset val="1"/>
      </rPr>
      <t xml:space="preserve">, </t>
    </r>
    <r>
      <rPr>
        <b val="true"/>
        <sz val="14"/>
        <rFont val="WenQuanYi Zen Hei"/>
        <family val="2"/>
      </rPr>
      <t xml:space="preserve">전용 </t>
    </r>
    <r>
      <rPr>
        <b val="true"/>
        <sz val="14"/>
        <rFont val="Arial"/>
        <family val="0"/>
        <charset val="1"/>
      </rPr>
      <t xml:space="preserve">85</t>
    </r>
    <r>
      <rPr>
        <b val="true"/>
        <sz val="14"/>
        <rFont val="WenQuanYi Zen Hei"/>
        <family val="2"/>
      </rPr>
      <t xml:space="preserve">㎡ 이하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</si>
  <si>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필요 자기자본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매매가 − 대출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취득세 등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매수비용</t>
    </r>
    <r>
      <rPr>
        <i val="true"/>
        <sz val="9"/>
        <color rgb="FF595959"/>
        <rFont val="Arial"/>
        <family val="0"/>
        <charset val="1"/>
      </rPr>
      <t xml:space="preserve">. 15</t>
    </r>
    <r>
      <rPr>
        <i val="true"/>
        <sz val="9"/>
        <color rgb="FF595959"/>
        <rFont val="WenQuanYi Zen Hei"/>
        <family val="2"/>
      </rPr>
      <t xml:space="preserve">억 초과 시 대출이 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억→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억으로 줄어 필요 자기자본이 불연속적으로 뛰는 점에 유의하세요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</si>
  <si>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자기자본</t>
  </si>
  <si>
    <r>
      <rPr>
        <b val="true"/>
        <sz val="10"/>
        <color rgb="FFFFFFFF"/>
        <rFont val="WenQuanYi Zen Hei"/>
        <family val="2"/>
      </rPr>
      <t xml:space="preserve">최대 매수가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</si>
  <si>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그때 대출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</si>
  <si>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그때 필요 자기자본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</si>
  <si>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15</t>
    </r>
    <r>
      <rPr>
        <b val="true"/>
        <sz val="10"/>
        <color rgb="FFFFFFFF"/>
        <rFont val="WenQuanYi Zen Hei"/>
        <family val="2"/>
      </rPr>
      <t xml:space="preserve">억 이하 최대 매수가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</si>
  <si>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대출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</si>
  <si>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매수비용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</si>
  <si>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입력 가정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파란 글씨 </t>
    </r>
    <r>
      <rPr>
        <b val="true"/>
        <sz val="14"/>
        <rFont val="Arial"/>
        <family val="0"/>
        <charset val="1"/>
      </rPr>
      <t xml:space="preserve">= </t>
    </r>
    <r>
      <rPr>
        <b val="true"/>
        <sz val="14"/>
        <rFont val="WenQuanYi Zen Hei"/>
        <family val="2"/>
      </rPr>
      <t xml:space="preserve">입력값</t>
    </r>
    <r>
      <rPr>
        <b val="true"/>
        <sz val="14"/>
        <rFont val="Arial"/>
        <family val="0"/>
        <charset val="1"/>
      </rPr>
      <t xml:space="preserve">)</t>
    </r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</si>
  <si>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</si>
  <si>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</si>
  <si>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근거</t>
    </r>
  </si>
  <si>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A 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</si>
  <si>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사용자 제시 범위 </t>
    </r>
    <r>
      <rPr>
        <i val="true"/>
        <sz val="9"/>
        <color rgb="FF595959"/>
        <rFont val="Arial"/>
        <family val="0"/>
        <charset val="1"/>
      </rPr>
      <t xml:space="preserve">12~16</t>
    </r>
    <r>
      <rPr>
        <i val="true"/>
        <sz val="9"/>
        <color rgb="FF595959"/>
        <rFont val="WenQuanYi Zen Hei"/>
        <family val="2"/>
      </rPr>
      <t xml:space="preserve">억의 하단</t>
    </r>
  </si>
  <si>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B 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</si>
  <si>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중간값 가정</t>
  </si>
  <si>
    <r>
      <rPr>
        <sz val="10"/>
        <rFont val="WenQuanYi Zen Hei"/>
        <family val="2"/>
      </rPr>
      <t xml:space="preserve">자기자본 </t>
    </r>
    <r>
      <rPr>
        <sz val="10"/>
        <rFont val="Arial"/>
        <family val="0"/>
        <charset val="1"/>
      </rPr>
      <t xml:space="preserve">C 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</si>
  <si>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사용자 제시 범위의 상단</t>
  </si>
  <si>
    <r>
      <rPr>
        <sz val="10"/>
        <rFont val="WenQuanYi Zen Hei"/>
        <family val="2"/>
      </rPr>
      <t xml:space="preserve">주담대 금리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</si>
  <si>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가정치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실제 금리는 은행 확인</t>
    </r>
  </si>
  <si>
    <r>
      <rPr>
        <sz val="10"/>
        <rFont val="WenQuanYi Zen Hei"/>
        <family val="2"/>
      </rPr>
      <t xml:space="preserve">대출 만기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</si>
  <si>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원리금균등 가정</t>
  </si>
  <si>
    <r>
      <rPr>
        <sz val="10"/>
        <rFont val="Arial"/>
        <family val="0"/>
        <charset val="1"/>
      </rPr>
      <t xml:space="preserve">LTV(</t>
    </r>
    <r>
      <rPr>
        <sz val="10"/>
        <rFont val="WenQuanYi Zen Hei"/>
        <family val="2"/>
      </rPr>
      <t xml:space="preserve">무주택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서울 규제지역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</si>
  <si>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10·15 </t>
    </r>
    <r>
      <rPr>
        <i val="true"/>
        <sz val="9"/>
        <color rgb="FF595959"/>
        <rFont val="WenQuanYi Zen Hei"/>
        <family val="2"/>
      </rPr>
      <t xml:space="preserve">대책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서울 전역 규제지역 무주택자 </t>
    </r>
    <r>
      <rPr>
        <i val="true"/>
        <sz val="9"/>
        <color rgb="FF595959"/>
        <rFont val="Arial"/>
        <family val="0"/>
        <charset val="1"/>
      </rPr>
      <t xml:space="preserve">LTV 40% (</t>
    </r>
    <r>
      <rPr>
        <i val="true"/>
        <sz val="9"/>
        <color rgb="FF595959"/>
        <rFont val="WenQuanYi Zen Hei"/>
        <family val="2"/>
      </rPr>
      <t xml:space="preserve">기사 확인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</si>
  <si>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DSR </t>
    </r>
    <r>
      <rPr>
        <sz val="10"/>
        <rFont val="WenQuanYi Zen Hei"/>
        <family val="2"/>
      </rPr>
      <t xml:space="preserve">스트레스 금리 가산</t>
    </r>
  </si>
  <si>
    <r>
      <rPr>
        <i val="true"/>
        <sz val="9"/>
        <color rgb="FF595959"/>
        <rFont val="WenQuanYi Zen Hei"/>
        <family val="2"/>
      </rPr>
      <t xml:space="preserve">스트레스 </t>
    </r>
    <r>
      <rPr>
        <i val="true"/>
        <sz val="9"/>
        <color rgb="FF595959"/>
        <rFont val="Arial"/>
        <family val="0"/>
        <charset val="1"/>
      </rPr>
      <t xml:space="preserve">DSR 3% (</t>
    </r>
    <r>
      <rPr>
        <i val="true"/>
        <sz val="9"/>
        <color rgb="FF595959"/>
        <rFont val="WenQuanYi Zen Hei"/>
        <family val="2"/>
      </rPr>
      <t xml:space="preserve">기사 확인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</si>
  <si>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DSR </t>
    </r>
    <r>
      <rPr>
        <sz val="10"/>
        <rFont val="WenQuanYi Zen Hei"/>
        <family val="2"/>
      </rPr>
      <t xml:space="preserve">한도</t>
    </r>
  </si>
  <si>
    <r>
      <rPr>
        <i val="true"/>
        <sz val="9"/>
        <color rgb="FF595959"/>
        <rFont val="WenQuanYi Zen Hei"/>
        <family val="2"/>
      </rPr>
      <t xml:space="preserve">은행권 </t>
    </r>
    <r>
      <rPr>
        <i val="true"/>
        <sz val="9"/>
        <color rgb="FF595959"/>
        <rFont val="Arial"/>
        <family val="0"/>
        <charset val="1"/>
      </rPr>
      <t xml:space="preserve">DSR 40% </t>
    </r>
    <r>
      <rPr>
        <i val="true"/>
        <sz val="9"/>
        <color rgb="FF595959"/>
        <rFont val="WenQuanYi Zen Hei"/>
        <family val="2"/>
      </rPr>
      <t xml:space="preserve">가정</t>
    </r>
  </si>
  <si>
    <t xml:space="preserve">연 가격상승률 – 보수</t>
  </si>
  <si>
    <r>
      <rPr>
        <i val="true"/>
        <sz val="9"/>
        <color rgb="FF595959"/>
        <rFont val="WenQuanYi Zen Hei"/>
        <family val="2"/>
      </rPr>
      <t xml:space="preserve">시나리오 </t>
    </r>
    <r>
      <rPr>
        <i val="true"/>
        <sz val="9"/>
        <color rgb="FF595959"/>
        <rFont val="Arial"/>
        <family val="0"/>
        <charset val="1"/>
      </rPr>
      <t xml:space="preserve">1</t>
    </r>
  </si>
  <si>
    <t xml:space="preserve">연 가격상승률 – 기준</t>
  </si>
  <si>
    <r>
      <rPr>
        <i val="true"/>
        <sz val="9"/>
        <color rgb="FF595959"/>
        <rFont val="WenQuanYi Zen Hei"/>
        <family val="2"/>
      </rPr>
      <t xml:space="preserve">시나리오 </t>
    </r>
    <r>
      <rPr>
        <i val="true"/>
        <sz val="9"/>
        <color rgb="FF595959"/>
        <rFont val="Arial"/>
        <family val="0"/>
        <charset val="1"/>
      </rPr>
      <t xml:space="preserve">2</t>
    </r>
  </si>
  <si>
    <t xml:space="preserve">연 가격상승률 – 낙관</t>
  </si>
  <si>
    <r>
      <rPr>
        <i val="true"/>
        <sz val="9"/>
        <color rgb="FF595959"/>
        <rFont val="WenQuanYi Zen Hei"/>
        <family val="2"/>
      </rPr>
      <t xml:space="preserve">시나리오 </t>
    </r>
    <r>
      <rPr>
        <i val="true"/>
        <sz val="9"/>
        <color rgb="FF595959"/>
        <rFont val="Arial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</si>
  <si>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전세가율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참고용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</si>
  <si>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서울 전세가율 </t>
    </r>
    <r>
      <rPr>
        <i val="true"/>
        <sz val="9"/>
        <color rgb="FF595959"/>
        <rFont val="Arial"/>
        <family val="0"/>
        <charset val="1"/>
      </rPr>
      <t xml:space="preserve">2026.1</t>
    </r>
    <r>
      <rPr>
        <i val="true"/>
        <sz val="9"/>
        <color rgb="FF595959"/>
        <rFont val="WenQuanYi Zen Hei"/>
        <family val="2"/>
      </rPr>
      <t xml:space="preserve">월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년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WenQuanYi Zen Hei"/>
        <family val="2"/>
      </rPr>
      <t xml:space="preserve">개월 최저 보도</t>
    </r>
    <r>
      <rPr>
        <i val="true"/>
        <sz val="9"/>
        <color rgb="FF595959"/>
        <rFont val="Arial"/>
        <family val="0"/>
        <charset val="1"/>
      </rPr>
      <t xml:space="preserve">, 9</t>
    </r>
    <r>
      <rPr>
        <i val="true"/>
        <sz val="9"/>
        <color rgb="FF595959"/>
        <rFont val="WenQuanYi Zen Hei"/>
        <family val="2"/>
      </rPr>
      <t xml:space="preserve">월 수치 미확인 → 가정</t>
    </r>
  </si>
  <si>
    <t xml:space="preserve">공시가격 현실화율</t>
  </si>
  <si>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WenQuanYi Zen Hei"/>
        <family val="2"/>
      </rPr>
      <t xml:space="preserve">공동주택 </t>
    </r>
    <r>
      <rPr>
        <i val="true"/>
        <sz val="9"/>
        <color rgb="FF595959"/>
        <rFont val="Arial"/>
        <family val="0"/>
        <charset val="1"/>
      </rPr>
      <t xml:space="preserve">69% </t>
    </r>
    <r>
      <rPr>
        <i val="true"/>
        <sz val="9"/>
        <color rgb="FF595959"/>
        <rFont val="WenQuanYi Zen Hei"/>
        <family val="2"/>
      </rPr>
      <t xml:space="preserve">유지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검색 확인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</si>
  <si>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재산세 공정시장가액비율</t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</si>
  <si>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세대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특례 아닌 일반 </t>
    </r>
    <r>
      <rPr>
        <i val="true"/>
        <sz val="9"/>
        <color rgb="FF595959"/>
        <rFont val="Arial"/>
        <family val="0"/>
        <charset val="1"/>
      </rPr>
      <t xml:space="preserve">60% </t>
    </r>
    <r>
      <rPr>
        <i val="true"/>
        <sz val="9"/>
        <color rgb="FF595959"/>
        <rFont val="WenQuanYi Zen Hei"/>
        <family val="2"/>
      </rPr>
      <t xml:space="preserve">가정</t>
    </r>
  </si>
  <si>
    <t xml:space="preserve">종부세 공정시장가액비율</t>
  </si>
  <si>
    <r>
      <rPr>
        <i val="true"/>
        <sz val="9"/>
        <color rgb="FF595959"/>
        <rFont val="WenQuanYi Zen Hei"/>
        <family val="2"/>
      </rPr>
      <t xml:space="preserve">가정치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개편안 미반영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</si>
  <si>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종부세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주택 공제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공시가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</si>
  <si>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세대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억</t>
    </r>
  </si>
  <si>
    <r>
      <rPr>
        <sz val="10"/>
        <rFont val="WenQuanYi Zen Hei"/>
        <family val="2"/>
      </rPr>
      <t xml:space="preserve">재산세 특례세율 적용 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공시가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</si>
  <si>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공시가 </t>
    </r>
    <r>
      <rPr>
        <i val="true"/>
        <sz val="9"/>
        <color rgb="FF595959"/>
        <rFont val="Arial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억 이하 특례세율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지방세법 기준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검색으로 미확인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</si>
  <si>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재산세 도시지역분 세율</t>
  </si>
  <si>
    <r>
      <rPr>
        <i val="true"/>
        <sz val="9"/>
        <color rgb="FF595959"/>
        <rFont val="WenQuanYi Zen Hei"/>
        <family val="2"/>
      </rPr>
      <t xml:space="preserve">과세표준</t>
    </r>
    <r>
      <rPr>
        <i val="true"/>
        <sz val="9"/>
        <color rgb="FF595959"/>
        <rFont val="Arial"/>
        <family val="0"/>
        <charset val="1"/>
      </rPr>
      <t xml:space="preserve">×0.14%</t>
    </r>
  </si>
  <si>
    <t xml:space="preserve">재산세 지방교육세 비율</t>
  </si>
  <si>
    <r>
      <rPr>
        <i val="true"/>
        <sz val="9"/>
        <color rgb="FF595959"/>
        <rFont val="WenQuanYi Zen Hei"/>
        <family val="2"/>
      </rPr>
      <t xml:space="preserve">재산세액의 </t>
    </r>
    <r>
      <rPr>
        <i val="true"/>
        <sz val="9"/>
        <color rgb="FF595959"/>
        <rFont val="Arial"/>
        <family val="0"/>
        <charset val="1"/>
      </rPr>
      <t xml:space="preserve">20%</t>
    </r>
  </si>
  <si>
    <t xml:space="preserve">종부세 농어촌특별세 비율</t>
  </si>
  <si>
    <r>
      <rPr>
        <i val="true"/>
        <sz val="9"/>
        <color rgb="FF595959"/>
        <rFont val="WenQuanYi Zen Hei"/>
        <family val="2"/>
      </rPr>
      <t xml:space="preserve">종부세액의 </t>
    </r>
    <r>
      <rPr>
        <i val="true"/>
        <sz val="9"/>
        <color rgb="FF595959"/>
        <rFont val="Arial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</si>
  <si>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취득세 지방교육세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취득세의 비율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</si>
  <si>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취득세율 구간 기준 근사</t>
    </r>
  </si>
  <si>
    <r>
      <rPr>
        <sz val="10"/>
        <rFont val="WenQuanYi Zen Hei"/>
        <family val="2"/>
      </rPr>
      <t xml:space="preserve">농특세율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전용 </t>
    </r>
    <r>
      <rPr>
        <sz val="10"/>
        <rFont val="Arial"/>
        <family val="0"/>
        <charset val="1"/>
      </rPr>
      <t xml:space="preserve">85</t>
    </r>
    <r>
      <rPr>
        <sz val="10"/>
        <rFont val="WenQuanYi Zen Hei"/>
        <family val="2"/>
      </rPr>
      <t xml:space="preserve">㎡ 초과 시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</si>
  <si>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전용 </t>
    </r>
    <r>
      <rPr>
        <i val="true"/>
        <sz val="9"/>
        <color rgb="FF595959"/>
        <rFont val="Arial"/>
        <family val="0"/>
        <charset val="1"/>
      </rPr>
      <t xml:space="preserve">85</t>
    </r>
    <r>
      <rPr>
        <i val="true"/>
        <sz val="9"/>
        <color rgb="FF595959"/>
        <rFont val="WenQuanYi Zen Hei"/>
        <family val="2"/>
      </rPr>
      <t xml:space="preserve">㎡ 이하는 면제</t>
    </r>
  </si>
  <si>
    <t xml:space="preserve">중개보수 부가세</t>
  </si>
  <si>
    <t xml:space="preserve">일반과세 중개사 가정</t>
  </si>
  <si>
    <r>
      <rPr>
        <sz val="10"/>
        <rFont val="WenQuanYi Zen Hei"/>
        <family val="2"/>
      </rPr>
      <t xml:space="preserve">법무사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등기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채권 등 기타 매수비용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</si>
  <si>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t xml:space="preserve">가정치</t>
  </si>
  <si>
    <r>
      <rPr>
        <sz val="10"/>
        <rFont val="WenQuanYi Zen Hei"/>
        <family val="2"/>
      </rPr>
      <t xml:space="preserve">양도소득 기본공제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</si>
  <si>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연 </t>
    </r>
    <r>
      <rPr>
        <i val="true"/>
        <sz val="9"/>
        <color rgb="FF595959"/>
        <rFont val="Arial"/>
        <family val="0"/>
        <charset val="1"/>
      </rPr>
      <t xml:space="preserve">250</t>
    </r>
    <r>
      <rPr>
        <i val="true"/>
        <sz val="9"/>
        <color rgb="FF595959"/>
        <rFont val="WenQuanYi Zen Hei"/>
        <family val="2"/>
      </rPr>
      <t xml:space="preserve">만 원</t>
    </r>
  </si>
  <si>
    <t xml:space="preserve">양도세 지방소득세율</t>
  </si>
  <si>
    <r>
      <rPr>
        <i val="true"/>
        <sz val="9"/>
        <color rgb="FF595959"/>
        <rFont val="WenQuanYi Zen Hei"/>
        <family val="2"/>
      </rPr>
      <t xml:space="preserve">양도세의 </t>
    </r>
    <r>
      <rPr>
        <i val="true"/>
        <sz val="9"/>
        <color rgb="FF595959"/>
        <rFont val="Arial"/>
        <family val="0"/>
        <charset val="1"/>
      </rPr>
      <t xml:space="preserve">10%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</si>
  <si>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세대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주택 비과세 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</si>
  <si>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억 초과분 과세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안분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</si>
  <si>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장기보유공제율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</si>
  <si>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비과세 대상 보유 연 </t>
    </r>
    <r>
      <rPr>
        <i val="true"/>
        <sz val="9"/>
        <color rgb="FF595959"/>
        <rFont val="Arial"/>
        <family val="0"/>
        <charset val="1"/>
      </rPr>
      <t xml:space="preserve">4%(</t>
    </r>
    <r>
      <rPr>
        <i val="true"/>
        <sz val="9"/>
        <color rgb="FF595959"/>
        <rFont val="WenQuanYi Zen Hei"/>
        <family val="2"/>
      </rPr>
      <t xml:space="preserve">최대 </t>
    </r>
    <r>
      <rPr>
        <i val="true"/>
        <sz val="9"/>
        <color rgb="FF595959"/>
        <rFont val="Arial"/>
        <family val="0"/>
        <charset val="1"/>
      </rPr>
      <t xml:space="preserve">40%)</t>
    </r>
  </si>
  <si>
    <r>
      <rPr>
        <sz val="10"/>
        <rFont val="WenQuanYi Zen Hei"/>
        <family val="2"/>
      </rPr>
      <t xml:space="preserve">장기거주공제율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</si>
  <si>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거주 연 </t>
    </r>
    <r>
      <rPr>
        <i val="true"/>
        <sz val="9"/>
        <color rgb="FF595959"/>
        <rFont val="Arial"/>
        <family val="0"/>
        <charset val="1"/>
      </rPr>
      <t xml:space="preserve">4%(</t>
    </r>
    <r>
      <rPr>
        <i val="true"/>
        <sz val="9"/>
        <color rgb="FF595959"/>
        <rFont val="WenQuanYi Zen Hei"/>
        <family val="2"/>
      </rPr>
      <t xml:space="preserve">최대 </t>
    </r>
    <r>
      <rPr>
        <i val="true"/>
        <sz val="9"/>
        <color rgb="FF595959"/>
        <rFont val="Arial"/>
        <family val="0"/>
        <charset val="1"/>
      </rPr>
      <t xml:space="preserve">40%), </t>
    </r>
    <r>
      <rPr>
        <i val="true"/>
        <sz val="9"/>
        <color rgb="FF595959"/>
        <rFont val="WenQuanYi Zen Hei"/>
        <family val="2"/>
      </rPr>
      <t xml:space="preserve">합산 최대 </t>
    </r>
    <r>
      <rPr>
        <i val="true"/>
        <sz val="9"/>
        <color rgb="FF595959"/>
        <rFont val="Arial"/>
        <family val="0"/>
        <charset val="1"/>
      </rPr>
      <t xml:space="preserve">80%</t>
    </r>
  </si>
  <si>
    <t xml:space="preserve">장특공 합산 한도</t>
  </si>
  <si>
    <r>
      <rPr>
        <sz val="10"/>
        <rFont val="WenQuanYi Zen Hei"/>
        <family val="2"/>
      </rPr>
      <t xml:space="preserve">비거주 기간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</si>
  <si>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보유 중 실거주하지 않은 기간</t>
    </r>
    <r>
      <rPr>
        <i val="true"/>
        <sz val="9"/>
        <color rgb="FF595959"/>
        <rFont val="Arial"/>
        <family val="0"/>
        <charset val="1"/>
      </rPr>
      <t xml:space="preserve">. 0</t>
    </r>
    <r>
      <rPr>
        <i val="true"/>
        <sz val="9"/>
        <color rgb="FF595959"/>
        <rFont val="WenQuanYi Zen Hei"/>
        <family val="2"/>
      </rPr>
      <t xml:space="preserve">이면 보유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WenQuanYi Zen Hei"/>
        <family val="2"/>
      </rPr>
      <t xml:space="preserve">거주</t>
    </r>
  </si>
  <si>
    <r>
      <rPr>
        <sz val="10"/>
        <rFont val="WenQuanYi Zen Hei"/>
        <family val="2"/>
      </rPr>
      <t xml:space="preserve">안</t>
    </r>
    <r>
      <rPr>
        <sz val="10"/>
        <rFont val="Arial"/>
        <family val="0"/>
        <charset val="1"/>
      </rPr>
      <t xml:space="preserve">4: </t>
    </r>
    <r>
      <rPr>
        <sz val="10"/>
        <rFont val="WenQuanYi Zen Hei"/>
        <family val="2"/>
      </rPr>
      <t xml:space="preserve">세입자 승계 임대기간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</si>
  <si>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입주 유예 기간 가정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승계한 임대차의 잔여기간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</si>
  <si>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안</t>
    </r>
    <r>
      <rPr>
        <sz val="10"/>
        <rFont val="Arial"/>
        <family val="0"/>
        <charset val="1"/>
      </rPr>
      <t xml:space="preserve">2: </t>
    </r>
    <r>
      <rPr>
        <sz val="10"/>
        <rFont val="WenQuanYi Zen Hei"/>
        <family val="2"/>
      </rPr>
      <t xml:space="preserve">대출 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한도 대비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</si>
  <si>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절충형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대출 한도의 </t>
    </r>
    <r>
      <rPr>
        <i val="true"/>
        <sz val="9"/>
        <color rgb="FF595959"/>
        <rFont val="Arial"/>
        <family val="0"/>
        <charset val="1"/>
      </rPr>
      <t xml:space="preserve">50%</t>
    </r>
    <r>
      <rPr>
        <i val="true"/>
        <sz val="9"/>
        <color rgb="FF595959"/>
        <rFont val="WenQuanYi Zen Hei"/>
        <family val="2"/>
      </rPr>
      <t xml:space="preserve">만 사용</t>
    </r>
  </si>
  <si>
    <r>
      <rPr>
        <sz val="10"/>
        <rFont val="WenQuanYi Zen Hei"/>
        <family val="2"/>
      </rPr>
      <t xml:space="preserve">기회비용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예금금리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연</t>
    </r>
    <r>
      <rPr>
        <sz val="10"/>
        <rFont val="Arial"/>
        <family val="0"/>
        <charset val="1"/>
      </rPr>
      <t xml:space="preserve">)</t>
    </r>
  </si>
  <si>
    <t xml:space="preserve">자기자금을 예금에 둘 때의 대안수익</t>
  </si>
  <si>
    <r>
      <rPr>
        <sz val="10"/>
        <rFont val="WenQuanYi Zen Hei"/>
        <family val="2"/>
      </rPr>
      <t xml:space="preserve">기회비용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이자소득세율</t>
    </r>
  </si>
  <si>
    <t xml:space="preserve">15.4%</t>
  </si>
  <si>
    <r>
      <rPr>
        <sz val="10"/>
        <rFont val="WenQuanYi Zen Hei"/>
        <family val="2"/>
      </rPr>
      <t xml:space="preserve">월 이자율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</t>
    </r>
  </si>
  <si>
    <t xml:space="preserve">Rate÷12</t>
  </si>
  <si>
    <r>
      <rPr>
        <b val="true"/>
        <sz val="14"/>
        <rFont val="WenQuanYi Zen Hei"/>
        <family val="2"/>
      </rPr>
      <t xml:space="preserve">세율표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구간 하한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세율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WenQuanYi Zen Hei"/>
        <family val="2"/>
      </rPr>
      <t xml:space="preserve">증분세율 방식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</si>
  <si>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증분세율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해당 구간 세율 − 직전 구간 세율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세액 </t>
    </r>
    <r>
      <rPr>
        <i val="true"/>
        <sz val="9"/>
        <color rgb="FF595959"/>
        <rFont val="Arial"/>
        <family val="0"/>
        <charset val="1"/>
      </rPr>
      <t xml:space="preserve">= Σ[(</t>
    </r>
    <r>
      <rPr>
        <i val="true"/>
        <sz val="9"/>
        <color rgb="FF595959"/>
        <rFont val="WenQuanYi Zen Hei"/>
        <family val="2"/>
      </rPr>
      <t xml:space="preserve">과세표준 − 구간하한</t>
    </r>
    <r>
      <rPr>
        <i val="true"/>
        <sz val="9"/>
        <color rgb="FF595959"/>
        <rFont val="Arial"/>
        <family val="0"/>
        <charset val="1"/>
      </rPr>
      <t xml:space="preserve">) × </t>
    </r>
    <r>
      <rPr>
        <i val="true"/>
        <sz val="9"/>
        <color rgb="FF595959"/>
        <rFont val="WenQuanYi Zen Hei"/>
        <family val="2"/>
      </rPr>
      <t xml:space="preserve">증분세율</t>
    </r>
    <r>
      <rPr>
        <i val="true"/>
        <sz val="9"/>
        <color rgb="FF595959"/>
        <rFont val="Arial"/>
        <family val="0"/>
        <charset val="1"/>
      </rPr>
      <t xml:space="preserve">] (</t>
    </r>
    <r>
      <rPr>
        <i val="true"/>
        <sz val="9"/>
        <color rgb="FF595959"/>
        <rFont val="WenQuanYi Zen Hei"/>
        <family val="2"/>
      </rPr>
      <t xml:space="preserve">과세표준 </t>
    </r>
    <r>
      <rPr>
        <i val="true"/>
        <sz val="9"/>
        <color rgb="FF595959"/>
        <rFont val="Arial"/>
        <family val="0"/>
        <charset val="1"/>
      </rPr>
      <t xml:space="preserve">&gt; </t>
    </r>
    <r>
      <rPr>
        <i val="true"/>
        <sz val="9"/>
        <color rgb="FF595959"/>
        <rFont val="WenQuanYi Zen Hei"/>
        <family val="2"/>
      </rPr>
      <t xml:space="preserve">하한인 구간만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금액은 억 원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</si>
  <si>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양도소득세 기본세율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과세표준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</si>
  <si>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2026</t>
    </r>
    <r>
      <rPr>
        <i val="true"/>
        <sz val="9"/>
        <color rgb="FF595959"/>
        <rFont val="WenQuanYi Zen Hei"/>
        <family val="2"/>
      </rPr>
      <t xml:space="preserve">년 현행 기본세율 </t>
    </r>
    <r>
      <rPr>
        <i val="true"/>
        <sz val="9"/>
        <color rgb="FF595959"/>
        <rFont val="Arial"/>
        <family val="0"/>
        <charset val="1"/>
      </rPr>
      <t xml:space="preserve">8</t>
    </r>
    <r>
      <rPr>
        <i val="true"/>
        <sz val="9"/>
        <color rgb="FF595959"/>
        <rFont val="WenQuanYi Zen Hei"/>
        <family val="2"/>
      </rPr>
      <t xml:space="preserve">단계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중과 미적용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무주택 진입 후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주택 가정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</si>
  <si>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하한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</si>
  <si>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세율</t>
  </si>
  <si>
    <t xml:space="preserve">증분세율</t>
  </si>
  <si>
    <r>
      <rPr>
        <b val="true"/>
        <sz val="10"/>
        <rFont val="WenQuanYi Zen Hei"/>
        <family val="2"/>
      </rPr>
      <t xml:space="preserve">재산세 일반세율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과세표준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</si>
  <si>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재산세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세대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주택 특례세율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공시가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억 이하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</si>
  <si>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종합부동산세율</t>
    </r>
    <r>
      <rPr>
        <b val="true"/>
        <sz val="10"/>
        <rFont val="Arial"/>
        <family val="0"/>
        <charset val="1"/>
      </rPr>
      <t xml:space="preserve">(2</t>
    </r>
    <r>
      <rPr>
        <b val="true"/>
        <sz val="10"/>
        <rFont val="WenQuanYi Zen Hei"/>
        <family val="2"/>
      </rPr>
      <t xml:space="preserve">주택 이하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과세표준 억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</si>
  <si>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중개보수 상한요율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매매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서울</t>
    </r>
    <r>
      <rPr>
        <b val="true"/>
        <sz val="10"/>
        <rFont val="Arial"/>
        <family val="0"/>
        <charset val="1"/>
      </rPr>
      <t xml:space="preserve">) – </t>
    </r>
    <r>
      <rPr>
        <b val="true"/>
        <sz val="10"/>
        <rFont val="WenQuanYi Zen Hei"/>
        <family val="2"/>
      </rPr>
      <t xml:space="preserve">거래가 하한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</si>
  <si>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9</t>
    </r>
    <r>
      <rPr>
        <i val="true"/>
        <sz val="9"/>
        <color rgb="FF595959"/>
        <rFont val="WenQuanYi Zen Hei"/>
        <family val="2"/>
      </rPr>
      <t xml:space="preserve">억 미만 </t>
    </r>
    <r>
      <rPr>
        <i val="true"/>
        <sz val="9"/>
        <color rgb="FF595959"/>
        <rFont val="Arial"/>
        <family val="0"/>
        <charset val="1"/>
      </rPr>
      <t xml:space="preserve">0.4%, 9~12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0.5%, 12~15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0.6%, 15</t>
    </r>
    <r>
      <rPr>
        <i val="true"/>
        <sz val="9"/>
        <color rgb="FF595959"/>
        <rFont val="WenQuanYi Zen Hei"/>
        <family val="2"/>
      </rPr>
      <t xml:space="preserve">억 이상 </t>
    </r>
    <r>
      <rPr>
        <i val="true"/>
        <sz val="9"/>
        <color rgb="FF595959"/>
        <rFont val="Arial"/>
        <family val="0"/>
        <charset val="1"/>
      </rPr>
      <t xml:space="preserve">0.7% (</t>
    </r>
    <r>
      <rPr>
        <i val="true"/>
        <sz val="9"/>
        <color rgb="FF595959"/>
        <rFont val="WenQuanYi Zen Hei"/>
        <family val="2"/>
      </rPr>
      <t xml:space="preserve">협의 가능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부가세 별도</t>
    </r>
    <r>
      <rPr>
        <i val="true"/>
        <sz val="9"/>
        <color rgb="FF595959"/>
        <rFont val="Arial"/>
        <family val="0"/>
        <charset val="1"/>
      </rPr>
      <t xml:space="preserve">)</t>
    </r>
  </si>
  <si>
    <t xml:space="preserve">요율</t>
  </si>
  <si>
    <r>
      <rPr>
        <b val="true"/>
        <sz val="10"/>
        <rFont val="WenQuanYi Zen Hei"/>
        <family val="2"/>
      </rPr>
      <t xml:space="preserve">주담대 한도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시가 구간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억</t>
    </r>
    <r>
      <rPr>
        <b val="true"/>
        <sz val="10"/>
        <rFont val="Arial"/>
        <family val="0"/>
        <charset val="1"/>
      </rPr>
      <t xml:space="preserve">) – 15</t>
    </r>
    <r>
      <rPr>
        <b val="true"/>
        <sz val="10"/>
        <rFont val="WenQuanYi Zen Hei"/>
        <family val="2"/>
      </rPr>
      <t xml:space="preserve">억 초과부터 적용</t>
    </r>
  </si>
  <si>
    <r>
      <rPr>
        <i val="true"/>
        <sz val="9"/>
        <color rgb="FF595959"/>
        <rFont val="WenQuanYi Zen Hei"/>
        <family val="2"/>
      </rPr>
      <t xml:space="preserve">시가 </t>
    </r>
    <r>
      <rPr>
        <i val="true"/>
        <sz val="9"/>
        <color rgb="FF595959"/>
        <rFont val="Arial"/>
        <family val="0"/>
        <charset val="1"/>
      </rPr>
      <t xml:space="preserve">15</t>
    </r>
    <r>
      <rPr>
        <i val="true"/>
        <sz val="9"/>
        <color rgb="FF595959"/>
        <rFont val="WenQuanYi Zen Hei"/>
        <family val="2"/>
      </rPr>
      <t xml:space="preserve">억 이하 </t>
    </r>
    <r>
      <rPr>
        <i val="true"/>
        <sz val="9"/>
        <color rgb="FF595959"/>
        <rFont val="Arial"/>
        <family val="0"/>
        <charset val="1"/>
      </rPr>
      <t xml:space="preserve">6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/ 15~25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4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/ 25</t>
    </r>
    <r>
      <rPr>
        <i val="true"/>
        <sz val="9"/>
        <color rgb="FF595959"/>
        <rFont val="WenQuanYi Zen Hei"/>
        <family val="2"/>
      </rPr>
      <t xml:space="preserve">억 초과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억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기사 확인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출처마다 표현 상이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</si>
  <si>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대출 한도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억</t>
    </r>
    <r>
      <rPr>
        <b val="true"/>
        <sz val="10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</si>
</sst>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%"/>
    <numFmt numFmtId="167" formatCode="0.00"/>
    <numFmt numFmtId="168" formatCode="0.000"/>
    <numFmt numFmtId="169" formatCode="#,##0"/>
    <numFmt numFmtId="170" formatCode="0%"/>
    <numFmt numFmtId="171" formatCode="0.0000"/>
    <numFmt numFmtId="172" formatCode="0.0"/>
    <numFmt numFmtId="173" formatCode="0.00%"/>
    <numFmt numFmtId="174" formatCode="0.00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8000"/>
      <name val="WenQuanYi Zen Hei"/>
      <family val="2"/>
    </font>
    <font>
      <sz val="10"/>
      <color rgb="FF0000FF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9.4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4" t="s">
        <v>4</v>
      </c>
    </row>
    <row r="5" customFormat="false" ht="48" hidden="false" customHeight="true" outlineLevel="0" collapsed="false">
      <c r="A5" s="2" t="s">
        <v>5</v>
      </c>
      <c r="B5" s="4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4" t="s">
        <v>10</v>
      </c>
    </row>
    <row r="8" customFormat="false" ht="48" hidden="false" customHeight="true" outlineLevel="0" collapsed="false">
      <c r="A8" s="2" t="s">
        <v>11</v>
      </c>
      <c r="B8" s="4" t="s">
        <v>12</v>
      </c>
    </row>
    <row r="9" customFormat="false" ht="48" hidden="false" customHeight="true" outlineLevel="0" collapsed="false">
      <c r="A9" s="2" t="s">
        <v>13</v>
      </c>
      <c r="B9" s="4" t="s">
        <v>14</v>
      </c>
    </row>
    <row r="10" customFormat="false" ht="48" hidden="false" customHeight="true" outlineLevel="0" collapsed="false">
      <c r="A10" s="2" t="s">
        <v>15</v>
      </c>
      <c r="B10" s="4" t="s">
        <v>16</v>
      </c>
    </row>
    <row r="11" customFormat="false" ht="48" hidden="false" customHeight="true" outlineLevel="0" collapsed="false">
      <c r="A11" s="2" t="s">
        <v>17</v>
      </c>
      <c r="B11" s="4" t="s">
        <v>18</v>
      </c>
    </row>
    <row r="12" customFormat="false" ht="61.5" hidden="false" customHeight="true" outlineLevel="0" collapsed="false">
      <c r="A12" s="5" t="s">
        <v>19</v>
      </c>
      <c r="B12" s="3" t="s">
        <v>20</v>
      </c>
    </row>
    <row r="13" customFormat="false" ht="61.5" hidden="false" customHeight="true" outlineLevel="0" collapsed="false">
      <c r="A13" s="2" t="s">
        <v>21</v>
      </c>
      <c r="B13" s="3" t="s">
        <v>22</v>
      </c>
    </row>
    <row r="14" customFormat="false" ht="61.5" hidden="false" customHeight="true" outlineLevel="0" collapsed="false">
      <c r="A14" s="2" t="s">
        <v>23</v>
      </c>
      <c r="B14" s="4" t="s">
        <v>24</v>
      </c>
    </row>
    <row r="15" customFormat="false" ht="61.5" hidden="false" customHeight="true" outlineLevel="0" collapsed="false">
      <c r="A15" s="2" t="s">
        <v>25</v>
      </c>
      <c r="B15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3" min="3" style="0" width="12"/>
    <col collapsed="false" customWidth="true" hidden="false" outlineLevel="0" max="14" min="14" style="0" width="6"/>
    <col collapsed="false" customWidth="true" hidden="false" outlineLevel="0" max="15" min="15" style="0" width="9"/>
    <col collapsed="false" customWidth="true" hidden="false" outlineLevel="0" max="16" min="16" style="0" width="6"/>
  </cols>
  <sheetData>
    <row r="1" customFormat="false" ht="19.4" hidden="false" customHeight="false" outlineLevel="0" collapsed="false">
      <c r="A1" s="6" t="s">
        <v>27</v>
      </c>
    </row>
    <row r="2" customFormat="false" ht="15" hidden="false" customHeight="false" outlineLevel="0" collapsed="false">
      <c r="A2" s="7" t="s">
        <v>28</v>
      </c>
      <c r="C2" s="8" t="n">
        <v>2</v>
      </c>
      <c r="E2" s="9" t="s">
        <v>29</v>
      </c>
      <c r="F2" s="10" t="n">
        <f aca="false">CHOOSE(SelS2,GrowLo,GrowMid,GrowHi)</f>
        <v>0.04</v>
      </c>
    </row>
    <row r="3" customFormat="false" ht="15" hidden="false" customHeight="false" outlineLevel="0" collapsed="false">
      <c r="A3" s="7" t="s">
        <v>30</v>
      </c>
      <c r="C3" s="8" t="n">
        <v>10</v>
      </c>
    </row>
    <row r="4" customFormat="false" ht="15" hidden="false" customHeight="false" outlineLevel="0" collapsed="false">
      <c r="A4" s="11" t="s">
        <v>31</v>
      </c>
    </row>
    <row r="6" customFormat="false" ht="15" hidden="false" customHeight="false" outlineLevel="0" collapsed="false">
      <c r="A6" s="12" t="str">
        <f aca="false">"자기자본 "&amp;TEXT(CapA,"0")&amp;"억 ("&amp;"A)"</f>
        <v>자기자본 12억 (A)</v>
      </c>
    </row>
    <row r="7" customFormat="false" ht="42" hidden="false" customHeight="true" outlineLevel="0" collapsed="false">
      <c r="A7" s="13" t="s">
        <v>32</v>
      </c>
      <c r="B7" s="13" t="s">
        <v>33</v>
      </c>
      <c r="C7" s="13" t="s">
        <v>34</v>
      </c>
      <c r="D7" s="13" t="s">
        <v>35</v>
      </c>
      <c r="E7" s="13" t="s">
        <v>36</v>
      </c>
      <c r="F7" s="13" t="s">
        <v>37</v>
      </c>
      <c r="G7" s="13" t="s">
        <v>38</v>
      </c>
      <c r="H7" s="13" t="s">
        <v>39</v>
      </c>
      <c r="I7" s="13" t="s">
        <v>40</v>
      </c>
      <c r="J7" s="13" t="s">
        <v>41</v>
      </c>
      <c r="K7" s="13" t="s">
        <v>42</v>
      </c>
      <c r="L7" s="13" t="s">
        <v>43</v>
      </c>
      <c r="M7" s="13" t="s">
        <v>44</v>
      </c>
      <c r="N7" s="14" t="s">
        <v>45</v>
      </c>
      <c r="O7" s="14" t="s">
        <v>46</v>
      </c>
    </row>
    <row r="8" customFormat="false" ht="30" hidden="false" customHeight="true" outlineLevel="0" collapsed="false">
      <c r="A8" s="15" t="s">
        <v>47</v>
      </c>
      <c r="B8" s="16" t="str">
        <f aca="false">IF(N8="","해당 없음(자본 부족)",INDEX(X_name,N8))</f>
        <v>e편한세상 문래 에듀플라츠 84.99㎡</v>
      </c>
      <c r="C8" s="17" t="n">
        <f aca="false">IF(N8="","-",INDEX(X_P,N8))</f>
        <v>14.9</v>
      </c>
      <c r="D8" s="17" t="n">
        <f aca="false">IF(N8="","-",INDEX(X_L,N8))</f>
        <v>5.96</v>
      </c>
      <c r="E8" s="17" t="n">
        <f aca="false">IF(N8="","-",INDEX(X_inv,N8))</f>
        <v>9.55004</v>
      </c>
      <c r="F8" s="18" t="n">
        <f aca="false">IF(N8="","-",INDEX(X_acq,N8))</f>
        <v>0.4917</v>
      </c>
      <c r="G8" s="18" t="n">
        <f aca="false">IF(N8="","-",INDEX(X_ptax,N8))</f>
        <v>0.411574216281525</v>
      </c>
      <c r="H8" s="18" t="n">
        <f aca="false">IF(N8="","-",INDEX(X_ctax,N8))</f>
        <v>0.083521738497903</v>
      </c>
      <c r="I8" s="18" t="n">
        <f aca="false">IF(N8="","-",INDEX(X_tt,N8))</f>
        <v>0.986795954779429</v>
      </c>
      <c r="J8" s="17" t="n">
        <f aca="false">IF(N8="","-",INDEX(X_net,N8))</f>
        <v>3.73067730151602</v>
      </c>
      <c r="K8" s="17" t="n">
        <f aca="false">IF(N8="","-",INDEX(X_adv,N8))</f>
        <v>3.21738756439969</v>
      </c>
      <c r="L8" s="19" t="n">
        <f aca="false">IF(N8="","-",INDEX(X_pay,N8))</f>
        <v>284.539516097414</v>
      </c>
      <c r="M8" s="17" t="n">
        <f aca="false">IF(N8="","-",INDEX(X_inc,N8))</f>
        <v>1.18956086138038</v>
      </c>
      <c r="N8" s="20" t="n">
        <f aca="false">IF(O8&lt;=-998,"",MATCH(1&amp;"|"&amp;SelS2&amp;"|"&amp;SelN2&amp;"|"&amp;TEXT(O8,"0.00000"),X_kA,0))</f>
        <v>34</v>
      </c>
      <c r="O8" s="21" t="n">
        <f aca="false">_xlfn.MAXIFS(X_aA,X_ak,1,X_sc,SelS2,X_N,SelN2)</f>
        <v>3.21738756439969</v>
      </c>
    </row>
    <row r="9" customFormat="false" ht="30" hidden="false" customHeight="true" outlineLevel="0" collapsed="false">
      <c r="A9" s="15" t="s">
        <v>48</v>
      </c>
      <c r="B9" s="16" t="str">
        <f aca="false">IF(N9="","해당 없음(자본 부족)",INDEX(X_name,N9))</f>
        <v>문래건영아파트 84㎡</v>
      </c>
      <c r="C9" s="17" t="n">
        <f aca="false">IF(N9="","-",INDEX(X_P,N9))</f>
        <v>13.9</v>
      </c>
      <c r="D9" s="17" t="n">
        <f aca="false">IF(N9="","-",INDEX(X_L,N9))</f>
        <v>2.78</v>
      </c>
      <c r="E9" s="17" t="n">
        <f aca="false">IF(N9="","-",INDEX(X_inv,N9))</f>
        <v>11.69044</v>
      </c>
      <c r="F9" s="18" t="n">
        <f aca="false">IF(N9="","-",INDEX(X_acq,N9))</f>
        <v>0.4587</v>
      </c>
      <c r="G9" s="18" t="n">
        <f aca="false">IF(N9="","-",INDEX(X_ptax,N9))</f>
        <v>0.365481473831724</v>
      </c>
      <c r="H9" s="18" t="n">
        <f aca="false">IF(N9="","-",INDEX(X_ctax,N9))</f>
        <v>0.0638017891760452</v>
      </c>
      <c r="I9" s="18" t="n">
        <f aca="false">IF(N9="","-",INDEX(X_tt,N9))</f>
        <v>0.887983263007769</v>
      </c>
      <c r="J9" s="17" t="n">
        <f aca="false">IF(N9="","-",INDEX(X_net,N9))</f>
        <v>4.51439025978768</v>
      </c>
      <c r="K9" s="17" t="n">
        <f aca="false">IF(N9="","-",INDEX(X_adv,N9))</f>
        <v>3.2433171124117</v>
      </c>
      <c r="L9" s="19" t="n">
        <f aca="false">IF(N9="","-",INDEX(X_pay,N9))</f>
        <v>132.721452139398</v>
      </c>
      <c r="M9" s="17" t="n">
        <f aca="false">IF(N9="","-",INDEX(X_inc,N9))</f>
        <v>0.554862280979439</v>
      </c>
      <c r="N9" s="20" t="n">
        <f aca="false">IF(O9&lt;=-998,"",MATCH(2&amp;"|"&amp;SelS2&amp;"|"&amp;SelN2&amp;"|"&amp;TEXT(O9,"0.00000"),X_kA,0))</f>
        <v>10</v>
      </c>
      <c r="O9" s="21" t="n">
        <f aca="false">_xlfn.MAXIFS(X_aA,X_ak,2,X_sc,SelS2,X_N,SelN2)</f>
        <v>3.2433171124117</v>
      </c>
    </row>
    <row r="10" customFormat="false" ht="30" hidden="false" customHeight="true" outlineLevel="0" collapsed="false">
      <c r="A10" s="15" t="s">
        <v>49</v>
      </c>
      <c r="B10" s="16" t="str">
        <f aca="false">IF(N10="","해당 없음(자본 부족)",INDEX(X_name,N10))</f>
        <v>해당 없음(자본 부족)</v>
      </c>
      <c r="C10" s="17" t="str">
        <f aca="false">IF(N10="","-",INDEX(X_P,N10))</f>
        <v>-</v>
      </c>
      <c r="D10" s="17" t="str">
        <f aca="false">IF(N10="","-",INDEX(X_L,N10))</f>
        <v>-</v>
      </c>
      <c r="E10" s="17" t="str">
        <f aca="false">IF(N10="","-",INDEX(X_inv,N10))</f>
        <v>-</v>
      </c>
      <c r="F10" s="18" t="str">
        <f aca="false">IF(N10="","-",INDEX(X_acq,N10))</f>
        <v>-</v>
      </c>
      <c r="G10" s="18" t="str">
        <f aca="false">IF(N10="","-",INDEX(X_ptax,N10))</f>
        <v>-</v>
      </c>
      <c r="H10" s="18" t="str">
        <f aca="false">IF(N10="","-",INDEX(X_ctax,N10))</f>
        <v>-</v>
      </c>
      <c r="I10" s="18" t="str">
        <f aca="false">IF(N10="","-",INDEX(X_tt,N10))</f>
        <v>-</v>
      </c>
      <c r="J10" s="17" t="str">
        <f aca="false">IF(N10="","-",INDEX(X_net,N10))</f>
        <v>-</v>
      </c>
      <c r="K10" s="17" t="str">
        <f aca="false">IF(N10="","-",INDEX(X_adv,N10))</f>
        <v>-</v>
      </c>
      <c r="L10" s="19" t="str">
        <f aca="false">IF(N10="","-",INDEX(X_pay,N10))</f>
        <v>-</v>
      </c>
      <c r="M10" s="17" t="str">
        <f aca="false">IF(N10="","-",INDEX(X_inc,N10))</f>
        <v>-</v>
      </c>
      <c r="N10" s="20" t="str">
        <f aca="false">IF(O10&lt;=-998,"",MATCH(3&amp;"|"&amp;SelS2&amp;"|"&amp;SelN2&amp;"|"&amp;TEXT(O10,"0.00000"),X_kA,0))</f>
        <v/>
      </c>
      <c r="O10" s="21" t="n">
        <f aca="false">_xlfn.MAXIFS(X_aA,X_ak,3,X_sc,SelS2,X_N,SelN2)</f>
        <v>-999</v>
      </c>
    </row>
    <row r="11" customFormat="false" ht="30" hidden="false" customHeight="true" outlineLevel="0" collapsed="false">
      <c r="A11" s="15" t="s">
        <v>50</v>
      </c>
      <c r="B11" s="16" t="str">
        <f aca="false">IF(N11="","해당 없음(자본 부족)",INDEX(X_name,N11))</f>
        <v>e편한세상 문래 에듀플라츠 84.99㎡</v>
      </c>
      <c r="C11" s="17" t="n">
        <f aca="false">IF(N11="","-",INDEX(X_P,N11))</f>
        <v>14.9</v>
      </c>
      <c r="D11" s="17" t="n">
        <f aca="false">IF(N11="","-",INDEX(X_L,N11))</f>
        <v>5.96</v>
      </c>
      <c r="E11" s="17" t="n">
        <f aca="false">IF(N11="","-",INDEX(X_inv,N11))</f>
        <v>9.55004</v>
      </c>
      <c r="F11" s="18" t="n">
        <f aca="false">IF(N11="","-",INDEX(X_acq,N11))</f>
        <v>0.4917</v>
      </c>
      <c r="G11" s="18" t="n">
        <f aca="false">IF(N11="","-",INDEX(X_ptax,N11))</f>
        <v>0.411574216281525</v>
      </c>
      <c r="H11" s="18" t="n">
        <f aca="false">IF(N11="","-",INDEX(X_ctax,N11))</f>
        <v>0.144914433897064</v>
      </c>
      <c r="I11" s="18" t="n">
        <f aca="false">IF(N11="","-",INDEX(X_tt,N11))</f>
        <v>1.04818865017859</v>
      </c>
      <c r="J11" s="17" t="n">
        <f aca="false">IF(N11="","-",INDEX(X_net,N11))</f>
        <v>4.05736705577209</v>
      </c>
      <c r="K11" s="17" t="n">
        <f aca="false">IF(N11="","-",INDEX(X_adv,N11))</f>
        <v>3.14579800784456</v>
      </c>
      <c r="L11" s="19" t="n">
        <f aca="false">IF(N11="","-",INDEX(X_pay,N11))</f>
        <v>284.539516097414</v>
      </c>
      <c r="M11" s="17" t="n">
        <f aca="false">IF(N11="","-",INDEX(X_inc,N11))</f>
        <v>1.18956086138038</v>
      </c>
      <c r="N11" s="20" t="n">
        <f aca="false">IF(O11&lt;=-998,"",MATCH(4&amp;"|"&amp;SelS2&amp;"|"&amp;SelN2&amp;"|"&amp;TEXT(O11,"0.00000"),X_kA,0))</f>
        <v>52</v>
      </c>
      <c r="O11" s="21" t="n">
        <f aca="false">_xlfn.MAXIFS(X_aA,X_ak,4,X_sc,SelS2,X_N,SelN2)</f>
        <v>3.14579800784456</v>
      </c>
    </row>
    <row r="12" customFormat="false" ht="30" hidden="false" customHeight="true" outlineLevel="0" collapsed="false">
      <c r="A12" s="15" t="s">
        <v>51</v>
      </c>
      <c r="B12" s="4" t="s">
        <v>52</v>
      </c>
      <c r="C12" s="22" t="s">
        <v>53</v>
      </c>
      <c r="D12" s="22" t="s">
        <v>53</v>
      </c>
      <c r="E12" s="22" t="s">
        <v>53</v>
      </c>
      <c r="F12" s="22" t="s">
        <v>53</v>
      </c>
      <c r="G12" s="22" t="s">
        <v>53</v>
      </c>
      <c r="H12" s="22" t="s">
        <v>53</v>
      </c>
      <c r="I12" s="22" t="s">
        <v>53</v>
      </c>
      <c r="J12" s="22" t="s">
        <v>53</v>
      </c>
      <c r="K12" s="23" t="n">
        <v>0</v>
      </c>
      <c r="L12" s="22" t="s">
        <v>53</v>
      </c>
      <c r="M12" s="22" t="s">
        <v>53</v>
      </c>
      <c r="N12" s="20" t="n">
        <v>1</v>
      </c>
      <c r="O12" s="24" t="n">
        <v>0</v>
      </c>
    </row>
    <row r="13" customFormat="false" ht="33.75" hidden="false" customHeight="true" outlineLevel="0" collapsed="false">
      <c r="A13" s="25" t="s">
        <v>54</v>
      </c>
      <c r="B13" s="25" t="str">
        <f aca="false">IF(MAX(O8:O11)&lt;=-998,"해당 없음",INDEX(A8:A11,P13)&amp;" – "&amp;INDEX(B8:B11,P13))</f>
        <v>2안 절충형(대출 50%) – 문래건영아파트 84㎡</v>
      </c>
      <c r="C13" s="26" t="n">
        <f aca="false">IF(MAX(O8:O11)&lt;=-998,"-",INDEX(C8:C11,P13))</f>
        <v>13.9</v>
      </c>
      <c r="D13" s="26" t="n">
        <f aca="false">IF(MAX(O8:O11)&lt;=-998,"-",INDEX(D8:D11,P13))</f>
        <v>2.78</v>
      </c>
      <c r="E13" s="26" t="n">
        <f aca="false">IF(MAX(O8:O11)&lt;=-998,"-",INDEX(E8:E11,P13))</f>
        <v>11.69044</v>
      </c>
      <c r="F13" s="27" t="n">
        <f aca="false">IF(MAX(O8:O11)&lt;=-998,"-",INDEX(F8:F11,P13))</f>
        <v>0.4587</v>
      </c>
      <c r="G13" s="27" t="n">
        <f aca="false">IF(MAX(O8:O11)&lt;=-998,"-",INDEX(G8:G11,P13))</f>
        <v>0.365481473831724</v>
      </c>
      <c r="H13" s="27" t="n">
        <f aca="false">IF(MAX(O8:O11)&lt;=-998,"-",INDEX(H8:H11,P13))</f>
        <v>0.0638017891760452</v>
      </c>
      <c r="I13" s="27" t="n">
        <f aca="false">IF(MAX(O8:O11)&lt;=-998,"-",INDEX(I8:I11,P13))</f>
        <v>0.887983263007769</v>
      </c>
      <c r="J13" s="26" t="n">
        <f aca="false">IF(MAX(O8:O11)&lt;=-998,"-",INDEX(J8:J11,P13))</f>
        <v>4.51439025978768</v>
      </c>
      <c r="K13" s="26" t="n">
        <f aca="false">IF(MAX(O8:O11)&lt;=-998,"-",INDEX(K8:K11,P13))</f>
        <v>3.2433171124117</v>
      </c>
      <c r="L13" s="28" t="n">
        <f aca="false">IF(MAX(O8:O11)&lt;=-998,"-",INDEX(L8:L11,P13))</f>
        <v>132.721452139398</v>
      </c>
      <c r="M13" s="26" t="n">
        <f aca="false">IF(MAX(O8:O11)&lt;=-998,"-",INDEX(M8:M11,P13))</f>
        <v>0.554862280979439</v>
      </c>
      <c r="P13" s="20" t="n">
        <f aca="false">MATCH(MAX(O8:O11),O8:O11,0)</f>
        <v>2</v>
      </c>
    </row>
    <row r="16" customFormat="false" ht="15" hidden="false" customHeight="false" outlineLevel="0" collapsed="false">
      <c r="A16" s="12" t="str">
        <f aca="false">"자기자본 "&amp;TEXT(CapB,"0")&amp;"억 ("&amp;"B)"</f>
        <v>자기자본 14억 (B)</v>
      </c>
    </row>
    <row r="17" customFormat="false" ht="42" hidden="false" customHeight="true" outlineLevel="0" collapsed="false">
      <c r="A17" s="13" t="s">
        <v>32</v>
      </c>
      <c r="B17" s="13" t="s">
        <v>33</v>
      </c>
      <c r="C17" s="13" t="s">
        <v>34</v>
      </c>
      <c r="D17" s="13" t="s">
        <v>35</v>
      </c>
      <c r="E17" s="13" t="s">
        <v>36</v>
      </c>
      <c r="F17" s="13" t="s">
        <v>37</v>
      </c>
      <c r="G17" s="13" t="s">
        <v>38</v>
      </c>
      <c r="H17" s="13" t="s">
        <v>39</v>
      </c>
      <c r="I17" s="13" t="s">
        <v>40</v>
      </c>
      <c r="J17" s="13" t="s">
        <v>41</v>
      </c>
      <c r="K17" s="13" t="s">
        <v>42</v>
      </c>
      <c r="L17" s="13" t="s">
        <v>43</v>
      </c>
      <c r="M17" s="13" t="s">
        <v>44</v>
      </c>
      <c r="N17" s="14" t="s">
        <v>45</v>
      </c>
      <c r="O17" s="14" t="s">
        <v>46</v>
      </c>
    </row>
    <row r="18" customFormat="false" ht="30" hidden="false" customHeight="true" outlineLevel="0" collapsed="false">
      <c r="A18" s="15" t="s">
        <v>47</v>
      </c>
      <c r="B18" s="16" t="str">
        <f aca="false">IF(N18="","해당 없음(자본 부족)",INDEX(X_name,N18))</f>
        <v>e편한세상 문래 에듀플라츠 84.99㎡</v>
      </c>
      <c r="C18" s="17" t="n">
        <f aca="false">IF(N18="","-",INDEX(X_P,N18))</f>
        <v>14.9</v>
      </c>
      <c r="D18" s="17" t="n">
        <f aca="false">IF(N18="","-",INDEX(X_L,N18))</f>
        <v>5.96</v>
      </c>
      <c r="E18" s="17" t="n">
        <f aca="false">IF(N18="","-",INDEX(X_inv,N18))</f>
        <v>9.55004</v>
      </c>
      <c r="F18" s="18" t="n">
        <f aca="false">IF(N18="","-",INDEX(X_acq,N18))</f>
        <v>0.4917</v>
      </c>
      <c r="G18" s="18" t="n">
        <f aca="false">IF(N18="","-",INDEX(X_ptax,N18))</f>
        <v>0.411574216281525</v>
      </c>
      <c r="H18" s="18" t="n">
        <f aca="false">IF(N18="","-",INDEX(X_ctax,N18))</f>
        <v>0.083521738497903</v>
      </c>
      <c r="I18" s="18" t="n">
        <f aca="false">IF(N18="","-",INDEX(X_tt,N18))</f>
        <v>0.986795954779429</v>
      </c>
      <c r="J18" s="17" t="n">
        <f aca="false">IF(N18="","-",INDEX(X_net,N18))</f>
        <v>3.73067730151602</v>
      </c>
      <c r="K18" s="17" t="n">
        <f aca="false">IF(N18="","-",INDEX(X_adv,N18))</f>
        <v>3.21738756439969</v>
      </c>
      <c r="L18" s="19" t="n">
        <f aca="false">IF(N18="","-",INDEX(X_pay,N18))</f>
        <v>284.539516097414</v>
      </c>
      <c r="M18" s="17" t="n">
        <f aca="false">IF(N18="","-",INDEX(X_inc,N18))</f>
        <v>1.18956086138038</v>
      </c>
      <c r="N18" s="20" t="n">
        <f aca="false">IF(O18&lt;=-998,"",MATCH(1&amp;"|"&amp;SelS2&amp;"|"&amp;SelN2&amp;"|"&amp;TEXT(O18,"0.00000"),X_kB,0))</f>
        <v>34</v>
      </c>
      <c r="O18" s="21" t="n">
        <f aca="false">_xlfn.MAXIFS(X_aB,X_ak,1,X_sc,SelS2,X_N,SelN2)</f>
        <v>3.21738756439969</v>
      </c>
    </row>
    <row r="19" customFormat="false" ht="30" hidden="false" customHeight="true" outlineLevel="0" collapsed="false">
      <c r="A19" s="15" t="s">
        <v>48</v>
      </c>
      <c r="B19" s="16" t="str">
        <f aca="false">IF(N19="","해당 없음(자본 부족)",INDEX(X_name,N19))</f>
        <v>e편한세상 문래 에듀플라츠 84.99㎡</v>
      </c>
      <c r="C19" s="17" t="n">
        <f aca="false">IF(N19="","-",INDEX(X_P,N19))</f>
        <v>14.9</v>
      </c>
      <c r="D19" s="17" t="n">
        <f aca="false">IF(N19="","-",INDEX(X_L,N19))</f>
        <v>2.98</v>
      </c>
      <c r="E19" s="17" t="n">
        <f aca="false">IF(N19="","-",INDEX(X_inv,N19))</f>
        <v>12.53004</v>
      </c>
      <c r="F19" s="18" t="n">
        <f aca="false">IF(N19="","-",INDEX(X_acq,N19))</f>
        <v>0.4917</v>
      </c>
      <c r="G19" s="18" t="n">
        <f aca="false">IF(N19="","-",INDEX(X_ptax,N19))</f>
        <v>0.411574216281525</v>
      </c>
      <c r="H19" s="18" t="n">
        <f aca="false">IF(N19="","-",INDEX(X_ctax,N19))</f>
        <v>0.083521738497903</v>
      </c>
      <c r="I19" s="18" t="n">
        <f aca="false">IF(N19="","-",INDEX(X_tt,N19))</f>
        <v>0.986795954779429</v>
      </c>
      <c r="J19" s="17" t="n">
        <f aca="false">IF(N19="","-",INDEX(X_net,N19))</f>
        <v>4.80567638260562</v>
      </c>
      <c r="K19" s="17" t="n">
        <f aca="false">IF(N19="","-",INDEX(X_adv,N19))</f>
        <v>3.44356896297021</v>
      </c>
      <c r="L19" s="19" t="n">
        <f aca="false">IF(N19="","-",INDEX(X_pay,N19))</f>
        <v>142.269758048707</v>
      </c>
      <c r="M19" s="17" t="n">
        <f aca="false">IF(N19="","-",INDEX(X_inc,N19))</f>
        <v>0.59478043069019</v>
      </c>
      <c r="N19" s="20" t="n">
        <f aca="false">IF(O19&lt;=-998,"",MATCH(2&amp;"|"&amp;SelS2&amp;"|"&amp;SelN2&amp;"|"&amp;TEXT(O19,"0.00000"),X_kB,0))</f>
        <v>40</v>
      </c>
      <c r="O19" s="21" t="n">
        <f aca="false">_xlfn.MAXIFS(X_aB,X_ak,2,X_sc,SelS2,X_N,SelN2)</f>
        <v>3.44356896297021</v>
      </c>
    </row>
    <row r="20" customFormat="false" ht="30" hidden="false" customHeight="true" outlineLevel="0" collapsed="false">
      <c r="A20" s="15" t="s">
        <v>49</v>
      </c>
      <c r="B20" s="16" t="str">
        <f aca="false">IF(N20="","해당 없음(자본 부족)",INDEX(X_name,N20))</f>
        <v>신길삼성래미안 84㎡</v>
      </c>
      <c r="C20" s="17" t="n">
        <f aca="false">IF(N20="","-",INDEX(X_P,N20))</f>
        <v>13</v>
      </c>
      <c r="D20" s="17" t="n">
        <f aca="false">IF(N20="","-",INDEX(X_L,N20))</f>
        <v>0</v>
      </c>
      <c r="E20" s="17" t="n">
        <f aca="false">IF(N20="","-",INDEX(X_inv,N20))</f>
        <v>13.5348</v>
      </c>
      <c r="F20" s="18" t="n">
        <f aca="false">IF(N20="","-",INDEX(X_acq,N20))</f>
        <v>0.429</v>
      </c>
      <c r="G20" s="18" t="n">
        <f aca="false">IF(N20="","-",INDEX(X_ptax,N20))</f>
        <v>0.325550801744133</v>
      </c>
      <c r="H20" s="18" t="n">
        <f aca="false">IF(N20="","-",INDEX(X_ctax,N20))</f>
        <v>0.0510798196867123</v>
      </c>
      <c r="I20" s="18" t="n">
        <f aca="false">IF(N20="","-",INDEX(X_tt,N20))</f>
        <v>0.805630621430846</v>
      </c>
      <c r="J20" s="17" t="n">
        <f aca="false">IF(N20="","-",INDEX(X_net,N20))</f>
        <v>5.18357262958731</v>
      </c>
      <c r="K20" s="17" t="n">
        <f aca="false">IF(N20="","-",INDEX(X_adv,N20))</f>
        <v>3.25385114115434</v>
      </c>
      <c r="L20" s="19" t="n">
        <f aca="false">IF(N20="","-",INDEX(X_pay,N20))</f>
        <v>0</v>
      </c>
      <c r="M20" s="17" t="n">
        <f aca="false">IF(N20="","-",INDEX(X_inc,N20))</f>
        <v>0</v>
      </c>
      <c r="N20" s="20" t="n">
        <f aca="false">IF(O20&lt;=-998,"",MATCH(3&amp;"|"&amp;SelS2&amp;"|"&amp;SelN2&amp;"|"&amp;TEXT(O20,"0.00000"),X_kB,0))</f>
        <v>106</v>
      </c>
      <c r="O20" s="21" t="n">
        <f aca="false">_xlfn.MAXIFS(X_aB,X_ak,3,X_sc,SelS2,X_N,SelN2)</f>
        <v>3.25385114115434</v>
      </c>
    </row>
    <row r="21" customFormat="false" ht="30" hidden="false" customHeight="true" outlineLevel="0" collapsed="false">
      <c r="A21" s="15" t="s">
        <v>50</v>
      </c>
      <c r="B21" s="16" t="str">
        <f aca="false">IF(N21="","해당 없음(자본 부족)",INDEX(X_name,N21))</f>
        <v>e편한세상 문래 에듀플라츠 84.99㎡</v>
      </c>
      <c r="C21" s="17" t="n">
        <f aca="false">IF(N21="","-",INDEX(X_P,N21))</f>
        <v>14.9</v>
      </c>
      <c r="D21" s="17" t="n">
        <f aca="false">IF(N21="","-",INDEX(X_L,N21))</f>
        <v>5.96</v>
      </c>
      <c r="E21" s="17" t="n">
        <f aca="false">IF(N21="","-",INDEX(X_inv,N21))</f>
        <v>9.55004</v>
      </c>
      <c r="F21" s="18" t="n">
        <f aca="false">IF(N21="","-",INDEX(X_acq,N21))</f>
        <v>0.4917</v>
      </c>
      <c r="G21" s="18" t="n">
        <f aca="false">IF(N21="","-",INDEX(X_ptax,N21))</f>
        <v>0.411574216281525</v>
      </c>
      <c r="H21" s="18" t="n">
        <f aca="false">IF(N21="","-",INDEX(X_ctax,N21))</f>
        <v>0.144914433897064</v>
      </c>
      <c r="I21" s="18" t="n">
        <f aca="false">IF(N21="","-",INDEX(X_tt,N21))</f>
        <v>1.04818865017859</v>
      </c>
      <c r="J21" s="17" t="n">
        <f aca="false">IF(N21="","-",INDEX(X_net,N21))</f>
        <v>4.05736705577209</v>
      </c>
      <c r="K21" s="17" t="n">
        <f aca="false">IF(N21="","-",INDEX(X_adv,N21))</f>
        <v>3.14579800784456</v>
      </c>
      <c r="L21" s="19" t="n">
        <f aca="false">IF(N21="","-",INDEX(X_pay,N21))</f>
        <v>284.539516097414</v>
      </c>
      <c r="M21" s="17" t="n">
        <f aca="false">IF(N21="","-",INDEX(X_inc,N21))</f>
        <v>1.18956086138038</v>
      </c>
      <c r="N21" s="20" t="n">
        <f aca="false">IF(O21&lt;=-998,"",MATCH(4&amp;"|"&amp;SelS2&amp;"|"&amp;SelN2&amp;"|"&amp;TEXT(O21,"0.00000"),X_kB,0))</f>
        <v>52</v>
      </c>
      <c r="O21" s="21" t="n">
        <f aca="false">_xlfn.MAXIFS(X_aB,X_ak,4,X_sc,SelS2,X_N,SelN2)</f>
        <v>3.14579800784456</v>
      </c>
    </row>
    <row r="22" customFormat="false" ht="30" hidden="false" customHeight="true" outlineLevel="0" collapsed="false">
      <c r="A22" s="15" t="s">
        <v>51</v>
      </c>
      <c r="B22" s="4" t="s">
        <v>52</v>
      </c>
      <c r="C22" s="22" t="s">
        <v>53</v>
      </c>
      <c r="D22" s="22" t="s">
        <v>53</v>
      </c>
      <c r="E22" s="22" t="s">
        <v>53</v>
      </c>
      <c r="F22" s="22" t="s">
        <v>53</v>
      </c>
      <c r="G22" s="22" t="s">
        <v>53</v>
      </c>
      <c r="H22" s="22" t="s">
        <v>53</v>
      </c>
      <c r="I22" s="22" t="s">
        <v>53</v>
      </c>
      <c r="J22" s="22" t="s">
        <v>53</v>
      </c>
      <c r="K22" s="23" t="n">
        <v>0</v>
      </c>
      <c r="L22" s="22" t="s">
        <v>53</v>
      </c>
      <c r="M22" s="22" t="s">
        <v>53</v>
      </c>
      <c r="N22" s="20" t="n">
        <v>1</v>
      </c>
      <c r="O22" s="24" t="n">
        <v>0</v>
      </c>
    </row>
    <row r="23" customFormat="false" ht="33.75" hidden="false" customHeight="true" outlineLevel="0" collapsed="false">
      <c r="A23" s="25" t="s">
        <v>54</v>
      </c>
      <c r="B23" s="25" t="str">
        <f aca="false">IF(MAX(O18:O21)&lt;=-998,"해당 없음",INDEX(A18:A21,P23)&amp;" – "&amp;INDEX(B18:B21,P23))</f>
        <v>2안 절충형(대출 50%) – e편한세상 문래 에듀플라츠 84.99㎡</v>
      </c>
      <c r="C23" s="26" t="n">
        <f aca="false">IF(MAX(O18:O21)&lt;=-998,"-",INDEX(C18:C21,P23))</f>
        <v>14.9</v>
      </c>
      <c r="D23" s="26" t="n">
        <f aca="false">IF(MAX(O18:O21)&lt;=-998,"-",INDEX(D18:D21,P23))</f>
        <v>2.98</v>
      </c>
      <c r="E23" s="26" t="n">
        <f aca="false">IF(MAX(O18:O21)&lt;=-998,"-",INDEX(E18:E21,P23))</f>
        <v>12.53004</v>
      </c>
      <c r="F23" s="27" t="n">
        <f aca="false">IF(MAX(O18:O21)&lt;=-998,"-",INDEX(F18:F21,P23))</f>
        <v>0.4917</v>
      </c>
      <c r="G23" s="27" t="n">
        <f aca="false">IF(MAX(O18:O21)&lt;=-998,"-",INDEX(G18:G21,P23))</f>
        <v>0.411574216281525</v>
      </c>
      <c r="H23" s="27" t="n">
        <f aca="false">IF(MAX(O18:O21)&lt;=-998,"-",INDEX(H18:H21,P23))</f>
        <v>0.083521738497903</v>
      </c>
      <c r="I23" s="27" t="n">
        <f aca="false">IF(MAX(O18:O21)&lt;=-998,"-",INDEX(I18:I21,P23))</f>
        <v>0.986795954779429</v>
      </c>
      <c r="J23" s="26" t="n">
        <f aca="false">IF(MAX(O18:O21)&lt;=-998,"-",INDEX(J18:J21,P23))</f>
        <v>4.80567638260562</v>
      </c>
      <c r="K23" s="26" t="n">
        <f aca="false">IF(MAX(O18:O21)&lt;=-998,"-",INDEX(K18:K21,P23))</f>
        <v>3.44356896297021</v>
      </c>
      <c r="L23" s="28" t="n">
        <f aca="false">IF(MAX(O18:O21)&lt;=-998,"-",INDEX(L18:L21,P23))</f>
        <v>142.269758048707</v>
      </c>
      <c r="M23" s="26" t="n">
        <f aca="false">IF(MAX(O18:O21)&lt;=-998,"-",INDEX(M18:M21,P23))</f>
        <v>0.59478043069019</v>
      </c>
      <c r="P23" s="20" t="n">
        <f aca="false">MATCH(MAX(O18:O21),O18:O21,0)</f>
        <v>2</v>
      </c>
    </row>
    <row r="26" customFormat="false" ht="15" hidden="false" customHeight="false" outlineLevel="0" collapsed="false">
      <c r="A26" s="12" t="str">
        <f aca="false">"자기자본 "&amp;TEXT(CapC,"0")&amp;"억 ("&amp;"C)"</f>
        <v>자기자본 16억 (C)</v>
      </c>
    </row>
    <row r="27" customFormat="false" ht="42" hidden="false" customHeight="true" outlineLevel="0" collapsed="false">
      <c r="A27" s="13" t="s">
        <v>32</v>
      </c>
      <c r="B27" s="13" t="s">
        <v>33</v>
      </c>
      <c r="C27" s="13" t="s">
        <v>34</v>
      </c>
      <c r="D27" s="13" t="s">
        <v>35</v>
      </c>
      <c r="E27" s="13" t="s">
        <v>36</v>
      </c>
      <c r="F27" s="13" t="s">
        <v>37</v>
      </c>
      <c r="G27" s="13" t="s">
        <v>38</v>
      </c>
      <c r="H27" s="13" t="s">
        <v>39</v>
      </c>
      <c r="I27" s="13" t="s">
        <v>40</v>
      </c>
      <c r="J27" s="13" t="s">
        <v>41</v>
      </c>
      <c r="K27" s="13" t="s">
        <v>42</v>
      </c>
      <c r="L27" s="13" t="s">
        <v>43</v>
      </c>
      <c r="M27" s="13" t="s">
        <v>44</v>
      </c>
      <c r="N27" s="14" t="s">
        <v>45</v>
      </c>
      <c r="O27" s="14" t="s">
        <v>46</v>
      </c>
    </row>
    <row r="28" customFormat="false" ht="30" hidden="false" customHeight="true" outlineLevel="0" collapsed="false">
      <c r="A28" s="15" t="s">
        <v>47</v>
      </c>
      <c r="B28" s="16" t="str">
        <f aca="false">IF(N28="","해당 없음(자본 부족)",INDEX(X_name,N28))</f>
        <v>신길 래미안에스티움 84㎡</v>
      </c>
      <c r="C28" s="17" t="n">
        <f aca="false">IF(N28="","-",INDEX(X_P,N28))</f>
        <v>18.8</v>
      </c>
      <c r="D28" s="17" t="n">
        <f aca="false">IF(N28="","-",INDEX(X_L,N28))</f>
        <v>4</v>
      </c>
      <c r="E28" s="17" t="n">
        <f aca="false">IF(N28="","-",INDEX(X_inv,N28))</f>
        <v>15.58516</v>
      </c>
      <c r="F28" s="18" t="n">
        <f aca="false">IF(N28="","-",INDEX(X_acq,N28))</f>
        <v>0.6204</v>
      </c>
      <c r="G28" s="18" t="n">
        <f aca="false">IF(N28="","-",INDEX(X_ptax,N28))</f>
        <v>0.635733007758503</v>
      </c>
      <c r="H28" s="18" t="n">
        <f aca="false">IF(N28="","-",INDEX(X_ctax,N28))</f>
        <v>0.172185698104553</v>
      </c>
      <c r="I28" s="18" t="n">
        <f aca="false">IF(N28="","-",INDEX(X_tt,N28))</f>
        <v>1.42831870586306</v>
      </c>
      <c r="J28" s="17" t="n">
        <f aca="false">IF(N28="","-",INDEX(X_net,N28))</f>
        <v>5.77828190121959</v>
      </c>
      <c r="K28" s="17" t="n">
        <f aca="false">IF(N28="","-",INDEX(X_adv,N28))</f>
        <v>4.12361152250062</v>
      </c>
      <c r="L28" s="19" t="n">
        <f aca="false">IF(N28="","-",INDEX(X_pay,N28))</f>
        <v>190.966118186184</v>
      </c>
      <c r="M28" s="17" t="n">
        <f aca="false">IF(N28="","-",INDEX(X_inc,N28))</f>
        <v>0.79836299421502</v>
      </c>
      <c r="N28" s="20" t="n">
        <f aca="false">IF(O28&lt;=-998,"",MATCH(1&amp;"|"&amp;SelS2&amp;"|"&amp;SelN2&amp;"|"&amp;TEXT(O28,"0.00000"),X_kC,0))</f>
        <v>124</v>
      </c>
      <c r="O28" s="21" t="n">
        <f aca="false">_xlfn.MAXIFS(X_aC,X_ak,1,X_sc,SelS2,X_N,SelN2)</f>
        <v>4.12361152250062</v>
      </c>
    </row>
    <row r="29" customFormat="false" ht="30" hidden="false" customHeight="true" outlineLevel="0" collapsed="false">
      <c r="A29" s="15" t="s">
        <v>48</v>
      </c>
      <c r="B29" s="16" t="str">
        <f aca="false">IF(N29="","해당 없음(자본 부족)",INDEX(X_name,N29))</f>
        <v>e편한세상 문래 에듀플라츠 84.99㎡</v>
      </c>
      <c r="C29" s="17" t="n">
        <f aca="false">IF(N29="","-",INDEX(X_P,N29))</f>
        <v>14.9</v>
      </c>
      <c r="D29" s="17" t="n">
        <f aca="false">IF(N29="","-",INDEX(X_L,N29))</f>
        <v>2.98</v>
      </c>
      <c r="E29" s="17" t="n">
        <f aca="false">IF(N29="","-",INDEX(X_inv,N29))</f>
        <v>12.53004</v>
      </c>
      <c r="F29" s="18" t="n">
        <f aca="false">IF(N29="","-",INDEX(X_acq,N29))</f>
        <v>0.4917</v>
      </c>
      <c r="G29" s="18" t="n">
        <f aca="false">IF(N29="","-",INDEX(X_ptax,N29))</f>
        <v>0.411574216281525</v>
      </c>
      <c r="H29" s="18" t="n">
        <f aca="false">IF(N29="","-",INDEX(X_ctax,N29))</f>
        <v>0.083521738497903</v>
      </c>
      <c r="I29" s="18" t="n">
        <f aca="false">IF(N29="","-",INDEX(X_tt,N29))</f>
        <v>0.986795954779429</v>
      </c>
      <c r="J29" s="17" t="n">
        <f aca="false">IF(N29="","-",INDEX(X_net,N29))</f>
        <v>4.80567638260562</v>
      </c>
      <c r="K29" s="17" t="n">
        <f aca="false">IF(N29="","-",INDEX(X_adv,N29))</f>
        <v>3.44356896297021</v>
      </c>
      <c r="L29" s="19" t="n">
        <f aca="false">IF(N29="","-",INDEX(X_pay,N29))</f>
        <v>142.269758048707</v>
      </c>
      <c r="M29" s="17" t="n">
        <f aca="false">IF(N29="","-",INDEX(X_inc,N29))</f>
        <v>0.59478043069019</v>
      </c>
      <c r="N29" s="20" t="n">
        <f aca="false">IF(O29&lt;=-998,"",MATCH(2&amp;"|"&amp;SelS2&amp;"|"&amp;SelN2&amp;"|"&amp;TEXT(O29,"0.00000"),X_kC,0))</f>
        <v>40</v>
      </c>
      <c r="O29" s="21" t="n">
        <f aca="false">_xlfn.MAXIFS(X_aC,X_ak,2,X_sc,SelS2,X_N,SelN2)</f>
        <v>3.44356896297021</v>
      </c>
    </row>
    <row r="30" customFormat="false" ht="30" hidden="false" customHeight="true" outlineLevel="0" collapsed="false">
      <c r="A30" s="15" t="s">
        <v>49</v>
      </c>
      <c r="B30" s="16" t="str">
        <f aca="false">IF(N30="","해당 없음(자본 부족)",INDEX(X_name,N30))</f>
        <v>e편한세상 문래 에듀플라츠 84.99㎡</v>
      </c>
      <c r="C30" s="17" t="n">
        <f aca="false">IF(N30="","-",INDEX(X_P,N30))</f>
        <v>14.9</v>
      </c>
      <c r="D30" s="17" t="n">
        <f aca="false">IF(N30="","-",INDEX(X_L,N30))</f>
        <v>0</v>
      </c>
      <c r="E30" s="17" t="n">
        <f aca="false">IF(N30="","-",INDEX(X_inv,N30))</f>
        <v>15.51004</v>
      </c>
      <c r="F30" s="18" t="n">
        <f aca="false">IF(N30="","-",INDEX(X_acq,N30))</f>
        <v>0.4917</v>
      </c>
      <c r="G30" s="18" t="n">
        <f aca="false">IF(N30="","-",INDEX(X_ptax,N30))</f>
        <v>0.411574216281525</v>
      </c>
      <c r="H30" s="18" t="n">
        <f aca="false">IF(N30="","-",INDEX(X_ctax,N30))</f>
        <v>0.083521738497903</v>
      </c>
      <c r="I30" s="18" t="n">
        <f aca="false">IF(N30="","-",INDEX(X_tt,N30))</f>
        <v>0.986795954779429</v>
      </c>
      <c r="J30" s="17" t="n">
        <f aca="false">IF(N30="","-",INDEX(X_net,N30))</f>
        <v>5.88067546369522</v>
      </c>
      <c r="K30" s="17" t="n">
        <f aca="false">IF(N30="","-",INDEX(X_adv,N30))</f>
        <v>3.66975036154073</v>
      </c>
      <c r="L30" s="19" t="n">
        <f aca="false">IF(N30="","-",INDEX(X_pay,N30))</f>
        <v>0</v>
      </c>
      <c r="M30" s="17" t="n">
        <f aca="false">IF(N30="","-",INDEX(X_inc,N30))</f>
        <v>0</v>
      </c>
      <c r="N30" s="20" t="n">
        <f aca="false">IF(O30&lt;=-998,"",MATCH(3&amp;"|"&amp;SelS2&amp;"|"&amp;SelN2&amp;"|"&amp;TEXT(O30,"0.00000"),X_kC,0))</f>
        <v>46</v>
      </c>
      <c r="O30" s="21" t="n">
        <f aca="false">_xlfn.MAXIFS(X_aC,X_ak,3,X_sc,SelS2,X_N,SelN2)</f>
        <v>3.66975036154073</v>
      </c>
    </row>
    <row r="31" customFormat="false" ht="30" hidden="false" customHeight="true" outlineLevel="0" collapsed="false">
      <c r="A31" s="15" t="s">
        <v>50</v>
      </c>
      <c r="B31" s="16" t="str">
        <f aca="false">IF(N31="","해당 없음(자본 부족)",INDEX(X_name,N31))</f>
        <v>신길 래미안에스티움 84㎡</v>
      </c>
      <c r="C31" s="17" t="n">
        <f aca="false">IF(N31="","-",INDEX(X_P,N31))</f>
        <v>18.8</v>
      </c>
      <c r="D31" s="17" t="n">
        <f aca="false">IF(N31="","-",INDEX(X_L,N31))</f>
        <v>4</v>
      </c>
      <c r="E31" s="17" t="n">
        <f aca="false">IF(N31="","-",INDEX(X_inv,N31))</f>
        <v>15.58516</v>
      </c>
      <c r="F31" s="18" t="n">
        <f aca="false">IF(N31="","-",INDEX(X_acq,N31))</f>
        <v>0.6204</v>
      </c>
      <c r="G31" s="18" t="n">
        <f aca="false">IF(N31="","-",INDEX(X_ptax,N31))</f>
        <v>0.635733007758503</v>
      </c>
      <c r="H31" s="18" t="n">
        <f aca="false">IF(N31="","-",INDEX(X_ctax,N31))</f>
        <v>0.312845977346375</v>
      </c>
      <c r="I31" s="18" t="n">
        <f aca="false">IF(N31="","-",INDEX(X_tt,N31))</f>
        <v>1.56897898510488</v>
      </c>
      <c r="J31" s="17" t="n">
        <f aca="false">IF(N31="","-",INDEX(X_net,N31))</f>
        <v>5.89807964188061</v>
      </c>
      <c r="K31" s="17" t="n">
        <f aca="false">IF(N31="","-",INDEX(X_adv,N31))</f>
        <v>3.74088234750724</v>
      </c>
      <c r="L31" s="19" t="n">
        <f aca="false">IF(N31="","-",INDEX(X_pay,N31))</f>
        <v>190.966118186184</v>
      </c>
      <c r="M31" s="17" t="n">
        <f aca="false">IF(N31="","-",INDEX(X_inc,N31))</f>
        <v>0.79836299421502</v>
      </c>
      <c r="N31" s="20" t="n">
        <f aca="false">IF(O31&lt;=-998,"",MATCH(4&amp;"|"&amp;SelS2&amp;"|"&amp;SelN2&amp;"|"&amp;TEXT(O31,"0.00000"),X_kC,0))</f>
        <v>142</v>
      </c>
      <c r="O31" s="21" t="n">
        <f aca="false">_xlfn.MAXIFS(X_aC,X_ak,4,X_sc,SelS2,X_N,SelN2)</f>
        <v>3.74088234750724</v>
      </c>
    </row>
    <row r="32" customFormat="false" ht="30" hidden="false" customHeight="true" outlineLevel="0" collapsed="false">
      <c r="A32" s="15" t="s">
        <v>51</v>
      </c>
      <c r="B32" s="4" t="s">
        <v>52</v>
      </c>
      <c r="C32" s="22" t="s">
        <v>53</v>
      </c>
      <c r="D32" s="22" t="s">
        <v>53</v>
      </c>
      <c r="E32" s="22" t="s">
        <v>53</v>
      </c>
      <c r="F32" s="22" t="s">
        <v>53</v>
      </c>
      <c r="G32" s="22" t="s">
        <v>53</v>
      </c>
      <c r="H32" s="22" t="s">
        <v>53</v>
      </c>
      <c r="I32" s="22" t="s">
        <v>53</v>
      </c>
      <c r="J32" s="22" t="s">
        <v>53</v>
      </c>
      <c r="K32" s="23" t="n">
        <v>0</v>
      </c>
      <c r="L32" s="22" t="s">
        <v>53</v>
      </c>
      <c r="M32" s="22" t="s">
        <v>53</v>
      </c>
      <c r="N32" s="20" t="n">
        <v>1</v>
      </c>
      <c r="O32" s="24" t="n">
        <v>0</v>
      </c>
    </row>
    <row r="33" customFormat="false" ht="33.75" hidden="false" customHeight="true" outlineLevel="0" collapsed="false">
      <c r="A33" s="25" t="s">
        <v>54</v>
      </c>
      <c r="B33" s="25" t="str">
        <f aca="false">IF(MAX(O28:O31)&lt;=-998,"해당 없음",INDEX(A28:A31,P33)&amp;" – "&amp;INDEX(B28:B31,P33))</f>
        <v>1안 표준형(대출 최대) – 신길 래미안에스티움 84㎡</v>
      </c>
      <c r="C33" s="26" t="n">
        <f aca="false">IF(MAX(O28:O31)&lt;=-998,"-",INDEX(C28:C31,P33))</f>
        <v>18.8</v>
      </c>
      <c r="D33" s="26" t="n">
        <f aca="false">IF(MAX(O28:O31)&lt;=-998,"-",INDEX(D28:D31,P33))</f>
        <v>4</v>
      </c>
      <c r="E33" s="26" t="n">
        <f aca="false">IF(MAX(O28:O31)&lt;=-998,"-",INDEX(E28:E31,P33))</f>
        <v>15.58516</v>
      </c>
      <c r="F33" s="27" t="n">
        <f aca="false">IF(MAX(O28:O31)&lt;=-998,"-",INDEX(F28:F31,P33))</f>
        <v>0.6204</v>
      </c>
      <c r="G33" s="27" t="n">
        <f aca="false">IF(MAX(O28:O31)&lt;=-998,"-",INDEX(G28:G31,P33))</f>
        <v>0.635733007758503</v>
      </c>
      <c r="H33" s="27" t="n">
        <f aca="false">IF(MAX(O28:O31)&lt;=-998,"-",INDEX(H28:H31,P33))</f>
        <v>0.172185698104553</v>
      </c>
      <c r="I33" s="27" t="n">
        <f aca="false">IF(MAX(O28:O31)&lt;=-998,"-",INDEX(I28:I31,P33))</f>
        <v>1.42831870586306</v>
      </c>
      <c r="J33" s="26" t="n">
        <f aca="false">IF(MAX(O28:O31)&lt;=-998,"-",INDEX(J28:J31,P33))</f>
        <v>5.77828190121959</v>
      </c>
      <c r="K33" s="26" t="n">
        <f aca="false">IF(MAX(O28:O31)&lt;=-998,"-",INDEX(K28:K31,P33))</f>
        <v>4.12361152250062</v>
      </c>
      <c r="L33" s="28" t="n">
        <f aca="false">IF(MAX(O28:O31)&lt;=-998,"-",INDEX(L28:L31,P33))</f>
        <v>190.966118186184</v>
      </c>
      <c r="M33" s="26" t="n">
        <f aca="false">IF(MAX(O28:O31)&lt;=-998,"-",INDEX(M28:M31,P33))</f>
        <v>0.79836299421502</v>
      </c>
      <c r="P33" s="20" t="n">
        <f aca="false">MATCH(MAX(O28:O31),O28:O31,0)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38" min="5" style="0" width="11"/>
    <col collapsed="false" customWidth="true" hidden="false" outlineLevel="0" max="41" min="39" style="0" width="14"/>
  </cols>
  <sheetData>
    <row r="1" customFormat="false" ht="19.4" hidden="false" customHeight="false" outlineLevel="0" collapsed="false">
      <c r="A1" s="6" t="s">
        <v>55</v>
      </c>
    </row>
    <row r="2" customFormat="false" ht="15" hidden="false" customHeight="false" outlineLevel="0" collapsed="false">
      <c r="A2" s="11" t="s">
        <v>56</v>
      </c>
    </row>
    <row r="4" customFormat="false" ht="42" hidden="false" customHeight="true" outlineLevel="0" collapsed="false">
      <c r="A4" s="13" t="s">
        <v>57</v>
      </c>
      <c r="B4" s="13" t="s">
        <v>58</v>
      </c>
      <c r="C4" s="13" t="s">
        <v>32</v>
      </c>
      <c r="D4" s="13" t="s">
        <v>59</v>
      </c>
      <c r="E4" s="13" t="s">
        <v>60</v>
      </c>
      <c r="F4" s="13" t="s">
        <v>29</v>
      </c>
      <c r="G4" s="13" t="s">
        <v>61</v>
      </c>
      <c r="H4" s="13" t="s">
        <v>34</v>
      </c>
      <c r="I4" s="13" t="s">
        <v>62</v>
      </c>
      <c r="J4" s="13" t="s">
        <v>35</v>
      </c>
      <c r="K4" s="13" t="s">
        <v>63</v>
      </c>
      <c r="L4" s="13" t="s">
        <v>64</v>
      </c>
      <c r="M4" s="13" t="s">
        <v>65</v>
      </c>
      <c r="N4" s="13" t="s">
        <v>36</v>
      </c>
      <c r="O4" s="13" t="s">
        <v>66</v>
      </c>
      <c r="P4" s="13" t="s">
        <v>67</v>
      </c>
      <c r="Q4" s="13" t="s">
        <v>68</v>
      </c>
      <c r="R4" s="13" t="s">
        <v>69</v>
      </c>
      <c r="S4" s="13" t="s">
        <v>70</v>
      </c>
      <c r="T4" s="13" t="s">
        <v>38</v>
      </c>
      <c r="U4" s="13" t="s">
        <v>71</v>
      </c>
      <c r="V4" s="13" t="s">
        <v>72</v>
      </c>
      <c r="W4" s="13" t="s">
        <v>73</v>
      </c>
      <c r="X4" s="13" t="s">
        <v>74</v>
      </c>
      <c r="Y4" s="13" t="s">
        <v>75</v>
      </c>
      <c r="Z4" s="13" t="s">
        <v>39</v>
      </c>
      <c r="AA4" s="13" t="s">
        <v>40</v>
      </c>
      <c r="AB4" s="13" t="s">
        <v>41</v>
      </c>
      <c r="AC4" s="13" t="s">
        <v>76</v>
      </c>
      <c r="AD4" s="13" t="s">
        <v>42</v>
      </c>
      <c r="AE4" s="13" t="s">
        <v>43</v>
      </c>
      <c r="AF4" s="13" t="s">
        <v>44</v>
      </c>
      <c r="AG4" s="13" t="s">
        <v>77</v>
      </c>
      <c r="AH4" s="13" t="s">
        <v>78</v>
      </c>
      <c r="AI4" s="13" t="s">
        <v>79</v>
      </c>
      <c r="AJ4" s="13" t="s">
        <v>80</v>
      </c>
      <c r="AK4" s="13" t="s">
        <v>81</v>
      </c>
      <c r="AL4" s="13" t="s">
        <v>82</v>
      </c>
      <c r="AM4" s="13" t="s">
        <v>83</v>
      </c>
      <c r="AN4" s="13" t="s">
        <v>84</v>
      </c>
      <c r="AO4" s="13" t="s">
        <v>85</v>
      </c>
    </row>
    <row r="5" customFormat="false" ht="15" hidden="false" customHeight="false" outlineLevel="0" collapsed="false">
      <c r="A5" s="20" t="n">
        <v>1</v>
      </c>
      <c r="B5" s="18" t="str">
        <f aca="false">INDEX(C_Name,A5)</f>
        <v>문래건영아파트 84㎡</v>
      </c>
      <c r="C5" s="20" t="n">
        <v>1</v>
      </c>
      <c r="D5" s="21" t="str">
        <f aca="false">CHOOSE(C5,"1안 표준형(대출 최대)","2안 절충형(대출 50%)","3안 무대출형","4안 임대차 승계 후 입주","5안 매수 보류(전세 거주)")</f>
        <v>1안 표준형(대출 최대)</v>
      </c>
      <c r="E5" s="20" t="n">
        <v>1</v>
      </c>
      <c r="F5" s="10" t="n">
        <f aca="false">CHOOSE(E5,GrowLo,GrowMid,GrowHi)</f>
        <v>0.02</v>
      </c>
      <c r="G5" s="20" t="n">
        <v>5</v>
      </c>
      <c r="H5" s="18" t="n">
        <f aca="false">INDEX(C_Price,A5)</f>
        <v>13.9</v>
      </c>
      <c r="I5" s="18" t="n">
        <f aca="false">INDEX(C_Jeonse,A5)</f>
        <v>7.228</v>
      </c>
      <c r="J5" s="21" t="n">
        <f aca="false">IF(C5=5,0,IF(C5=1,INDEX(C_Loan,A5),IF(C5=2,INDEX(C_Loan,A5)*LoanShare2,IF(C5=3,0,MIN(INDEX(C_Loan,A5),I5)))))</f>
        <v>5.56</v>
      </c>
      <c r="K5" s="18" t="n">
        <f aca="false">IF(C5=5,0,INDEX(C_Acq,A5))</f>
        <v>0.4587</v>
      </c>
      <c r="L5" s="18" t="n">
        <f aca="false">IF(C5=5,0,INDEX(C_Fee,A5))</f>
        <v>0.11174</v>
      </c>
      <c r="M5" s="21" t="n">
        <f aca="false">IF(C5=4,MAX(0,I5-J5),0)</f>
        <v>0</v>
      </c>
      <c r="N5" s="21" t="n">
        <f aca="false">IF(C5=5,I5,IF(C5=4,(H5-I5)+K5+L5+M5,H5-J5+K5+L5))</f>
        <v>8.91044</v>
      </c>
      <c r="O5" s="20" t="n">
        <f aca="false">IF(C5=4,RentYears,0)</f>
        <v>0</v>
      </c>
      <c r="P5" s="20" t="n">
        <f aca="false">IF(C5=5,0,MAX(0,G5-O5-NonRes))</f>
        <v>5</v>
      </c>
      <c r="Q5" s="21" t="n">
        <f aca="false">IF(C5=5,0,H5*(1+F5)^G5)</f>
        <v>15.34672316448</v>
      </c>
      <c r="R5" s="21" t="n">
        <f aca="false">IF(C5=5,0,Q5*LOOKUP(Q5,FeeLo,FeeR)*(1+VAT))</f>
        <v>0.118169768366496</v>
      </c>
      <c r="S5" s="21" t="n">
        <f aca="false">IF(J5&gt;0,-CUMIPMT(Rm,LoanYears*12,J5,1,(G5-O5)*12,0),0)</f>
        <v>1.06153915603943</v>
      </c>
      <c r="T5" s="29" t="n">
        <f aca="false">IF(C5=5,0,SUMIFS(Sch_Total,Sch_Idx,A5,Sch_Scen,E5,Sch_Year,"&lt;="&amp;G5))</f>
        <v>0.147872450929363</v>
      </c>
      <c r="U5" s="21" t="n">
        <f aca="false">K5+L5+R5</f>
        <v>0.688609768366496</v>
      </c>
      <c r="V5" s="21" t="n">
        <f aca="false">IF(C5=5,0,Q5-H5-U5)</f>
        <v>0.758113396113504</v>
      </c>
      <c r="W5" s="21" t="n">
        <f aca="false">IF(C5=5,0,MAX(0,IF(P5&gt;=2,IF(Q5&gt;Exempt,V5*(Q5-Exempt)/Q5,0),V5)))</f>
        <v>0.165324912483468</v>
      </c>
      <c r="X5" s="10" t="n">
        <f aca="false">IF(P5&gt;=2,MIN(MaxDed,MIN(0.4,HoldRate*G5)+MIN(0.4,LiveRate*P5)),IF(G5&gt;=3,MIN(0.3,0.02*G5),0))</f>
        <v>0.4</v>
      </c>
      <c r="Y5" s="21" t="n">
        <f aca="false">MAX(0,W5*(1-X5)-InitDed)</f>
        <v>0.0741949474900807</v>
      </c>
      <c r="Z5" s="29" t="n">
        <f aca="false">SUMPRODUCT((Y5&gt;CLo)*(Y5-CLo)*CD)*(1+LocalTax)</f>
        <v>0.00489686653434533</v>
      </c>
      <c r="AA5" s="21" t="n">
        <f aca="false">K5+T5+Z5</f>
        <v>0.611469317463709</v>
      </c>
      <c r="AB5" s="29" t="n">
        <f aca="false">IF(C5=5,0,(Q5-H5)-K5-L5-R5-S5-T5-Z5)</f>
        <v>-0.456195077389634</v>
      </c>
      <c r="AC5" s="21" t="n">
        <f aca="false">IF(C5=5,0,N5*((1+DepRate*(1-DepTax))^G5-1))</f>
        <v>1.18960622882199</v>
      </c>
      <c r="AD5" s="29" t="n">
        <f aca="false">IF(C5=5,0,AB5-AC5+I5*(((1+DepRate*(1-DepTax))^G5-1)-((1+DepRate*(1-DepTax))^O5-1)))</f>
        <v>-0.680812616323655</v>
      </c>
      <c r="AE5" s="30" t="n">
        <f aca="false">IF(J5&gt;0,-PMT(Rm,LoanYears*12,J5)*10000,0)</f>
        <v>265.442904278796</v>
      </c>
      <c r="AF5" s="21" t="n">
        <f aca="false">IF(J5&gt;0,-PMT((Rate+Stress)/12,LoanYears*12,J5)*12/DSR,0)</f>
        <v>1.10972456195888</v>
      </c>
      <c r="AG5" s="20" t="n">
        <f aca="false">IF(N5&lt;=CapA,1,0)</f>
        <v>1</v>
      </c>
      <c r="AH5" s="20" t="n">
        <f aca="false">IF(N5&lt;=CapB,1,0)</f>
        <v>1</v>
      </c>
      <c r="AI5" s="20" t="n">
        <f aca="false">IF(N5&lt;=CapC,1,0)</f>
        <v>1</v>
      </c>
      <c r="AJ5" s="21" t="n">
        <f aca="false">IF(AG5=1,AD5,-999)</f>
        <v>-0.680812616323655</v>
      </c>
      <c r="AK5" s="21" t="n">
        <f aca="false">IF(AH5=1,AD5,-999)</f>
        <v>-0.680812616323655</v>
      </c>
      <c r="AL5" s="21" t="n">
        <f aca="false">IF(AI5=1,AD5,-999)</f>
        <v>-0.680812616323655</v>
      </c>
      <c r="AM5" s="21" t="str">
        <f aca="false">C5&amp;"|"&amp;E5&amp;"|"&amp;G5&amp;"|"&amp;TEXT(AJ5,"0.00000")</f>
        <v>1|1|5|-0.68081</v>
      </c>
      <c r="AN5" s="21" t="str">
        <f aca="false">C5&amp;"|"&amp;E5&amp;"|"&amp;G5&amp;"|"&amp;TEXT(AK5,"0.00000")</f>
        <v>1|1|5|-0.68081</v>
      </c>
      <c r="AO5" s="21" t="str">
        <f aca="false">C5&amp;"|"&amp;E5&amp;"|"&amp;G5&amp;"|"&amp;TEXT(AL5,"0.00000")</f>
        <v>1|1|5|-0.68081</v>
      </c>
    </row>
    <row r="6" customFormat="false" ht="15" hidden="false" customHeight="false" outlineLevel="0" collapsed="false">
      <c r="A6" s="20" t="n">
        <v>1</v>
      </c>
      <c r="B6" s="18" t="str">
        <f aca="false">INDEX(C_Name,A6)</f>
        <v>문래건영아파트 84㎡</v>
      </c>
      <c r="C6" s="20" t="n">
        <v>1</v>
      </c>
      <c r="D6" s="21" t="str">
        <f aca="false">CHOOSE(C6,"1안 표준형(대출 최대)","2안 절충형(대출 50%)","3안 무대출형","4안 임대차 승계 후 입주","5안 매수 보류(전세 거주)")</f>
        <v>1안 표준형(대출 최대)</v>
      </c>
      <c r="E6" s="20" t="n">
        <v>1</v>
      </c>
      <c r="F6" s="10" t="n">
        <f aca="false">CHOOSE(E6,GrowLo,GrowMid,GrowHi)</f>
        <v>0.02</v>
      </c>
      <c r="G6" s="20" t="n">
        <v>10</v>
      </c>
      <c r="H6" s="18" t="n">
        <f aca="false">INDEX(C_Price,A6)</f>
        <v>13.9</v>
      </c>
      <c r="I6" s="18" t="n">
        <f aca="false">INDEX(C_Jeonse,A6)</f>
        <v>7.228</v>
      </c>
      <c r="J6" s="21" t="n">
        <f aca="false">IF(C6=5,0,IF(C6=1,INDEX(C_Loan,A6),IF(C6=2,INDEX(C_Loan,A6)*LoanShare2,IF(C6=3,0,MIN(INDEX(C_Loan,A6),I6)))))</f>
        <v>5.56</v>
      </c>
      <c r="K6" s="18" t="n">
        <f aca="false">IF(C6=5,0,INDEX(C_Acq,A6))</f>
        <v>0.4587</v>
      </c>
      <c r="L6" s="18" t="n">
        <f aca="false">IF(C6=5,0,INDEX(C_Fee,A6))</f>
        <v>0.11174</v>
      </c>
      <c r="M6" s="21" t="n">
        <f aca="false">IF(C6=4,MAX(0,I6-J6),0)</f>
        <v>0</v>
      </c>
      <c r="N6" s="21" t="n">
        <f aca="false">IF(C6=5,I6,IF(C6=4,(H6-I6)+K6+L6+M6,H6-J6+K6+L6))</f>
        <v>8.91044</v>
      </c>
      <c r="O6" s="20" t="n">
        <f aca="false">IF(C6=4,RentYears,0)</f>
        <v>0</v>
      </c>
      <c r="P6" s="20" t="n">
        <f aca="false">IF(C6=5,0,MAX(0,G6-O6-NonRes))</f>
        <v>10</v>
      </c>
      <c r="Q6" s="21" t="n">
        <f aca="false">IF(C6=5,0,H6*(1+F6)^G6)</f>
        <v>16.9440224379271</v>
      </c>
      <c r="R6" s="21" t="n">
        <f aca="false">IF(C6=5,0,Q6*LOOKUP(Q6,FeeLo,FeeR)*(1+VAT))</f>
        <v>0.130468972772039</v>
      </c>
      <c r="S6" s="21" t="n">
        <f aca="false">IF(J6&gt;0,-CUMIPMT(Rm,LoanYears*12,J6,1,(G6-O6)*12,0),0)</f>
        <v>2.00570298350946</v>
      </c>
      <c r="T6" s="29" t="n">
        <f aca="false">IF(C6=5,0,SUMIFS(Sch_Total,Sch_Idx,A6,Sch_Scen,E6,Sch_Year,"&lt;="&amp;G6))</f>
        <v>0.315069839683567</v>
      </c>
      <c r="U6" s="21" t="n">
        <f aca="false">K6+L6+R6</f>
        <v>0.700908972772039</v>
      </c>
      <c r="V6" s="21" t="n">
        <f aca="false">IF(C6=5,0,Q6-H6-U6)</f>
        <v>2.34311346515509</v>
      </c>
      <c r="W6" s="21" t="n">
        <f aca="false">IF(C6=5,0,MAX(0,IF(P6&gt;=2,IF(Q6&gt;Exempt,V6*(Q6-Exempt)/Q6,0),V6)))</f>
        <v>0.683686862949713</v>
      </c>
      <c r="X6" s="10" t="n">
        <f aca="false">IF(P6&gt;=2,MIN(MaxDed,MIN(0.4,HoldRate*G6)+MIN(0.4,LiveRate*P6)),IF(G6&gt;=3,MIN(0.3,0.02*G6),0))</f>
        <v>0.8</v>
      </c>
      <c r="Y6" s="21" t="n">
        <f aca="false">MAX(0,W6*(1-X6)-InitDed)</f>
        <v>0.111737372589943</v>
      </c>
      <c r="Z6" s="29" t="n">
        <f aca="false">SUMPRODUCT((Y6&gt;CLo)*(Y6-CLo)*CD)*(1+LocalTax)</f>
        <v>0.00737466659093621</v>
      </c>
      <c r="AA6" s="21" t="n">
        <f aca="false">K6+T6+Z6</f>
        <v>0.781144506274503</v>
      </c>
      <c r="AB6" s="29" t="n">
        <f aca="false">IF(C6=5,0,(Q6-H6)-K6-L6-R6-S6-T6-Z6)</f>
        <v>0.0149659753711292</v>
      </c>
      <c r="AC6" s="21" t="n">
        <f aca="false">IF(C6=5,0,N6*((1+DepRate*(1-DepTax))^G6-1))</f>
        <v>2.53803323188768</v>
      </c>
      <c r="AD6" s="29" t="n">
        <f aca="false">IF(C6=5,0,AB6-AC6+I6*(((1+DepRate*(1-DepTax))^G6-1)-((1+DepRate*(1-DepTax))^O6-1)))</f>
        <v>-0.464257119185043</v>
      </c>
      <c r="AE6" s="30" t="n">
        <f aca="false">IF(J6&gt;0,-PMT(Rm,LoanYears*12,J6)*10000,0)</f>
        <v>265.442904278796</v>
      </c>
      <c r="AF6" s="21" t="n">
        <f aca="false">IF(J6&gt;0,-PMT((Rate+Stress)/12,LoanYears*12,J6)*12/DSR,0)</f>
        <v>1.10972456195888</v>
      </c>
      <c r="AG6" s="20" t="n">
        <f aca="false">IF(N6&lt;=CapA,1,0)</f>
        <v>1</v>
      </c>
      <c r="AH6" s="20" t="n">
        <f aca="false">IF(N6&lt;=CapB,1,0)</f>
        <v>1</v>
      </c>
      <c r="AI6" s="20" t="n">
        <f aca="false">IF(N6&lt;=CapC,1,0)</f>
        <v>1</v>
      </c>
      <c r="AJ6" s="21" t="n">
        <f aca="false">IF(AG6=1,AD6,-999)</f>
        <v>-0.464257119185043</v>
      </c>
      <c r="AK6" s="21" t="n">
        <f aca="false">IF(AH6=1,AD6,-999)</f>
        <v>-0.464257119185043</v>
      </c>
      <c r="AL6" s="21" t="n">
        <f aca="false">IF(AI6=1,AD6,-999)</f>
        <v>-0.464257119185043</v>
      </c>
      <c r="AM6" s="21" t="str">
        <f aca="false">C6&amp;"|"&amp;E6&amp;"|"&amp;G6&amp;"|"&amp;TEXT(AJ6,"0.00000")</f>
        <v>1|1|10|-0.46426</v>
      </c>
      <c r="AN6" s="21" t="str">
        <f aca="false">C6&amp;"|"&amp;E6&amp;"|"&amp;G6&amp;"|"&amp;TEXT(AK6,"0.00000")</f>
        <v>1|1|10|-0.46426</v>
      </c>
      <c r="AO6" s="21" t="str">
        <f aca="false">C6&amp;"|"&amp;E6&amp;"|"&amp;G6&amp;"|"&amp;TEXT(AL6,"0.00000")</f>
        <v>1|1|10|-0.46426</v>
      </c>
    </row>
    <row r="7" customFormat="false" ht="15" hidden="false" customHeight="false" outlineLevel="0" collapsed="false">
      <c r="A7" s="20" t="n">
        <v>1</v>
      </c>
      <c r="B7" s="18" t="str">
        <f aca="false">INDEX(C_Name,A7)</f>
        <v>문래건영아파트 84㎡</v>
      </c>
      <c r="C7" s="20" t="n">
        <v>1</v>
      </c>
      <c r="D7" s="21" t="str">
        <f aca="false">CHOOSE(C7,"1안 표준형(대출 최대)","2안 절충형(대출 50%)","3안 무대출형","4안 임대차 승계 후 입주","5안 매수 보류(전세 거주)")</f>
        <v>1안 표준형(대출 최대)</v>
      </c>
      <c r="E7" s="20" t="n">
        <v>2</v>
      </c>
      <c r="F7" s="10" t="n">
        <f aca="false">CHOOSE(E7,GrowLo,GrowMid,GrowHi)</f>
        <v>0.04</v>
      </c>
      <c r="G7" s="20" t="n">
        <v>5</v>
      </c>
      <c r="H7" s="18" t="n">
        <f aca="false">INDEX(C_Price,A7)</f>
        <v>13.9</v>
      </c>
      <c r="I7" s="18" t="n">
        <f aca="false">INDEX(C_Jeonse,A7)</f>
        <v>7.228</v>
      </c>
      <c r="J7" s="21" t="n">
        <f aca="false">IF(C7=5,0,IF(C7=1,INDEX(C_Loan,A7),IF(C7=2,INDEX(C_Loan,A7)*LoanShare2,IF(C7=3,0,MIN(INDEX(C_Loan,A7),I7)))))</f>
        <v>5.56</v>
      </c>
      <c r="K7" s="18" t="n">
        <f aca="false">IF(C7=5,0,INDEX(C_Acq,A7))</f>
        <v>0.4587</v>
      </c>
      <c r="L7" s="18" t="n">
        <f aca="false">IF(C7=5,0,INDEX(C_Fee,A7))</f>
        <v>0.11174</v>
      </c>
      <c r="M7" s="21" t="n">
        <f aca="false">IF(C7=4,MAX(0,I7-J7),0)</f>
        <v>0</v>
      </c>
      <c r="N7" s="21" t="n">
        <f aca="false">IF(C7=5,I7,IF(C7=4,(H7-I7)+K7+L7+M7,H7-J7+K7+L7))</f>
        <v>8.91044</v>
      </c>
      <c r="O7" s="20" t="n">
        <f aca="false">IF(C7=4,RentYears,0)</f>
        <v>0</v>
      </c>
      <c r="P7" s="20" t="n">
        <f aca="false">IF(C7=5,0,MAX(0,G7-O7-NonRes))</f>
        <v>5</v>
      </c>
      <c r="Q7" s="21" t="n">
        <f aca="false">IF(C7=5,0,H7*(1+F7)^G7)</f>
        <v>16.91147534336</v>
      </c>
      <c r="R7" s="21" t="n">
        <f aca="false">IF(C7=5,0,Q7*LOOKUP(Q7,FeeLo,FeeR)*(1+VAT))</f>
        <v>0.130218360143872</v>
      </c>
      <c r="S7" s="21" t="n">
        <f aca="false">IF(J7&gt;0,-CUMIPMT(Rm,LoanYears*12,J7,1,(G7-O7)*12,0),0)</f>
        <v>1.06153915603943</v>
      </c>
      <c r="T7" s="29" t="n">
        <f aca="false">IF(C7=5,0,SUMIFS(Sch_Total,Sch_Idx,A7,Sch_Scen,E7,Sch_Year,"&lt;="&amp;G7))</f>
        <v>0.155446372783411</v>
      </c>
      <c r="U7" s="21" t="n">
        <f aca="false">K7+L7+R7</f>
        <v>0.700658360143872</v>
      </c>
      <c r="V7" s="21" t="n">
        <f aca="false">IF(C7=5,0,Q7-H7-U7)</f>
        <v>2.31081698321613</v>
      </c>
      <c r="W7" s="21" t="n">
        <f aca="false">IF(C7=5,0,MAX(0,IF(P7&gt;=2,IF(Q7&gt;Exempt,V7*(Q7-Exempt)/Q7,0),V7)))</f>
        <v>0.671113572627462</v>
      </c>
      <c r="X7" s="10" t="n">
        <f aca="false">IF(P7&gt;=2,MIN(MaxDed,MIN(0.4,HoldRate*G7)+MIN(0.4,LiveRate*P7)),IF(G7&gt;=3,MIN(0.3,0.02*G7),0))</f>
        <v>0.4</v>
      </c>
      <c r="Y7" s="21" t="n">
        <f aca="false">MAX(0,W7*(1-X7)-InitDed)</f>
        <v>0.377668143576477</v>
      </c>
      <c r="Z7" s="29" t="n">
        <f aca="false">SUMPRODUCT((Y7&gt;CLo)*(Y7-CLo)*CD)*(1+LocalTax)</f>
        <v>0.0484552436901188</v>
      </c>
      <c r="AA7" s="21" t="n">
        <f aca="false">K7+T7+Z7</f>
        <v>0.66260161647353</v>
      </c>
      <c r="AB7" s="29" t="n">
        <f aca="false">IF(C7=5,0,(Q7-H7)-K7-L7-R7-S7-T7-Z7)</f>
        <v>1.04537621070317</v>
      </c>
      <c r="AC7" s="21" t="n">
        <f aca="false">IF(C7=5,0,N7*((1+DepRate*(1-DepTax))^G7-1))</f>
        <v>1.18960622882199</v>
      </c>
      <c r="AD7" s="29" t="n">
        <f aca="false">IF(C7=5,0,AB7-AC7+I7*(((1+DepRate*(1-DepTax))^G7-1)-((1+DepRate*(1-DepTax))^O7-1)))</f>
        <v>0.82075867176915</v>
      </c>
      <c r="AE7" s="30" t="n">
        <f aca="false">IF(J7&gt;0,-PMT(Rm,LoanYears*12,J7)*10000,0)</f>
        <v>265.442904278796</v>
      </c>
      <c r="AF7" s="21" t="n">
        <f aca="false">IF(J7&gt;0,-PMT((Rate+Stress)/12,LoanYears*12,J7)*12/DSR,0)</f>
        <v>1.10972456195888</v>
      </c>
      <c r="AG7" s="20" t="n">
        <f aca="false">IF(N7&lt;=CapA,1,0)</f>
        <v>1</v>
      </c>
      <c r="AH7" s="20" t="n">
        <f aca="false">IF(N7&lt;=CapB,1,0)</f>
        <v>1</v>
      </c>
      <c r="AI7" s="20" t="n">
        <f aca="false">IF(N7&lt;=CapC,1,0)</f>
        <v>1</v>
      </c>
      <c r="AJ7" s="21" t="n">
        <f aca="false">IF(AG7=1,AD7,-999)</f>
        <v>0.82075867176915</v>
      </c>
      <c r="AK7" s="21" t="n">
        <f aca="false">IF(AH7=1,AD7,-999)</f>
        <v>0.82075867176915</v>
      </c>
      <c r="AL7" s="21" t="n">
        <f aca="false">IF(AI7=1,AD7,-999)</f>
        <v>0.82075867176915</v>
      </c>
      <c r="AM7" s="21" t="str">
        <f aca="false">C7&amp;"|"&amp;E7&amp;"|"&amp;G7&amp;"|"&amp;TEXT(AJ7,"0.00000")</f>
        <v>1|2|5|0.82076</v>
      </c>
      <c r="AN7" s="21" t="str">
        <f aca="false">C7&amp;"|"&amp;E7&amp;"|"&amp;G7&amp;"|"&amp;TEXT(AK7,"0.00000")</f>
        <v>1|2|5|0.82076</v>
      </c>
      <c r="AO7" s="21" t="str">
        <f aca="false">C7&amp;"|"&amp;E7&amp;"|"&amp;G7&amp;"|"&amp;TEXT(AL7,"0.00000")</f>
        <v>1|2|5|0.82076</v>
      </c>
    </row>
    <row r="8" customFormat="false" ht="15" hidden="false" customHeight="false" outlineLevel="0" collapsed="false">
      <c r="A8" s="20" t="n">
        <v>1</v>
      </c>
      <c r="B8" s="18" t="str">
        <f aca="false">INDEX(C_Name,A8)</f>
        <v>문래건영아파트 84㎡</v>
      </c>
      <c r="C8" s="20" t="n">
        <v>1</v>
      </c>
      <c r="D8" s="21" t="str">
        <f aca="false">CHOOSE(C8,"1안 표준형(대출 최대)","2안 절충형(대출 50%)","3안 무대출형","4안 임대차 승계 후 입주","5안 매수 보류(전세 거주)")</f>
        <v>1안 표준형(대출 최대)</v>
      </c>
      <c r="E8" s="20" t="n">
        <v>2</v>
      </c>
      <c r="F8" s="10" t="n">
        <f aca="false">CHOOSE(E8,GrowLo,GrowMid,GrowHi)</f>
        <v>0.04</v>
      </c>
      <c r="G8" s="20" t="n">
        <v>10</v>
      </c>
      <c r="H8" s="18" t="n">
        <f aca="false">INDEX(C_Price,A8)</f>
        <v>13.9</v>
      </c>
      <c r="I8" s="18" t="n">
        <f aca="false">INDEX(C_Jeonse,A8)</f>
        <v>7.228</v>
      </c>
      <c r="J8" s="21" t="n">
        <f aca="false">IF(C8=5,0,IF(C8=1,INDEX(C_Loan,A8),IF(C8=2,INDEX(C_Loan,A8)*LoanShare2,IF(C8=3,0,MIN(INDEX(C_Loan,A8),I8)))))</f>
        <v>5.56</v>
      </c>
      <c r="K8" s="18" t="n">
        <f aca="false">IF(C8=5,0,INDEX(C_Acq,A8))</f>
        <v>0.4587</v>
      </c>
      <c r="L8" s="18" t="n">
        <f aca="false">IF(C8=5,0,INDEX(C_Fee,A8))</f>
        <v>0.11174</v>
      </c>
      <c r="M8" s="21" t="n">
        <f aca="false">IF(C8=4,MAX(0,I8-J8),0)</f>
        <v>0</v>
      </c>
      <c r="N8" s="21" t="n">
        <f aca="false">IF(C8=5,I8,IF(C8=4,(H8-I8)+K8+L8+M8,H8-J8+K8+L8))</f>
        <v>8.91044</v>
      </c>
      <c r="O8" s="20" t="n">
        <f aca="false">IF(C8=4,RentYears,0)</f>
        <v>0</v>
      </c>
      <c r="P8" s="20" t="n">
        <f aca="false">IF(C8=5,0,MAX(0,G8-O8-NonRes))</f>
        <v>10</v>
      </c>
      <c r="Q8" s="21" t="n">
        <f aca="false">IF(C8=5,0,H8*(1+F8)^G8)</f>
        <v>20.575395560365</v>
      </c>
      <c r="R8" s="21" t="n">
        <f aca="false">IF(C8=5,0,Q8*LOOKUP(Q8,FeeLo,FeeR)*(1+VAT))</f>
        <v>0.15843054581481</v>
      </c>
      <c r="S8" s="21" t="n">
        <f aca="false">IF(J8&gt;0,-CUMIPMT(Rm,LoanYears*12,J8,1,(G8-O8)*12,0),0)</f>
        <v>2.00570298350946</v>
      </c>
      <c r="T8" s="29" t="n">
        <f aca="false">IF(C8=5,0,SUMIFS(Sch_Total,Sch_Idx,A8,Sch_Scen,E8,Sch_Year,"&lt;="&amp;G8))</f>
        <v>0.365481473831724</v>
      </c>
      <c r="U8" s="21" t="n">
        <f aca="false">K8+L8+R8</f>
        <v>0.728870545814811</v>
      </c>
      <c r="V8" s="21" t="n">
        <f aca="false">IF(C8=5,0,Q8-H8-U8)</f>
        <v>5.94652501455018</v>
      </c>
      <c r="W8" s="21" t="n">
        <f aca="false">IF(C8=5,0,MAX(0,IF(P8&gt;=2,IF(Q8&gt;Exempt,V8*(Q8-Exempt)/Q8,0),V8)))</f>
        <v>2.47838755078925</v>
      </c>
      <c r="X8" s="10" t="n">
        <f aca="false">IF(P8&gt;=2,MIN(MaxDed,MIN(0.4,HoldRate*G8)+MIN(0.4,LiveRate*P8)),IF(G8&gt;=3,MIN(0.3,0.02*G8),0))</f>
        <v>0.8</v>
      </c>
      <c r="Y8" s="21" t="n">
        <f aca="false">MAX(0,W8*(1-X8)-InitDed)</f>
        <v>0.470677510157849</v>
      </c>
      <c r="Z8" s="29" t="n">
        <f aca="false">SUMPRODUCT((Y8&gt;CLo)*(Y8-CLo)*CD)*(1+LocalTax)</f>
        <v>0.0638017891760452</v>
      </c>
      <c r="AA8" s="21" t="n">
        <f aca="false">K8+T8+Z8</f>
        <v>0.887983263007769</v>
      </c>
      <c r="AB8" s="29" t="n">
        <f aca="false">IF(C8=5,0,(Q8-H8)-K8-L8-R8-S8-T8-Z8)</f>
        <v>3.51153876803295</v>
      </c>
      <c r="AC8" s="21" t="n">
        <f aca="false">IF(C8=5,0,N8*((1+DepRate*(1-DepTax))^G8-1))</f>
        <v>2.53803323188768</v>
      </c>
      <c r="AD8" s="29" t="n">
        <f aca="false">IF(C8=5,0,AB8-AC8+I8*(((1+DepRate*(1-DepTax))^G8-1)-((1+DepRate*(1-DepTax))^O8-1)))</f>
        <v>3.03231567347678</v>
      </c>
      <c r="AE8" s="30" t="n">
        <f aca="false">IF(J8&gt;0,-PMT(Rm,LoanYears*12,J8)*10000,0)</f>
        <v>265.442904278796</v>
      </c>
      <c r="AF8" s="21" t="n">
        <f aca="false">IF(J8&gt;0,-PMT((Rate+Stress)/12,LoanYears*12,J8)*12/DSR,0)</f>
        <v>1.10972456195888</v>
      </c>
      <c r="AG8" s="20" t="n">
        <f aca="false">IF(N8&lt;=CapA,1,0)</f>
        <v>1</v>
      </c>
      <c r="AH8" s="20" t="n">
        <f aca="false">IF(N8&lt;=CapB,1,0)</f>
        <v>1</v>
      </c>
      <c r="AI8" s="20" t="n">
        <f aca="false">IF(N8&lt;=CapC,1,0)</f>
        <v>1</v>
      </c>
      <c r="AJ8" s="21" t="n">
        <f aca="false">IF(AG8=1,AD8,-999)</f>
        <v>3.03231567347678</v>
      </c>
      <c r="AK8" s="21" t="n">
        <f aca="false">IF(AH8=1,AD8,-999)</f>
        <v>3.03231567347678</v>
      </c>
      <c r="AL8" s="21" t="n">
        <f aca="false">IF(AI8=1,AD8,-999)</f>
        <v>3.03231567347678</v>
      </c>
      <c r="AM8" s="21" t="str">
        <f aca="false">C8&amp;"|"&amp;E8&amp;"|"&amp;G8&amp;"|"&amp;TEXT(AJ8,"0.00000")</f>
        <v>1|2|10|3.03232</v>
      </c>
      <c r="AN8" s="21" t="str">
        <f aca="false">C8&amp;"|"&amp;E8&amp;"|"&amp;G8&amp;"|"&amp;TEXT(AK8,"0.00000")</f>
        <v>1|2|10|3.03232</v>
      </c>
      <c r="AO8" s="21" t="str">
        <f aca="false">C8&amp;"|"&amp;E8&amp;"|"&amp;G8&amp;"|"&amp;TEXT(AL8,"0.00000")</f>
        <v>1|2|10|3.03232</v>
      </c>
    </row>
    <row r="9" customFormat="false" ht="15" hidden="false" customHeight="false" outlineLevel="0" collapsed="false">
      <c r="A9" s="20" t="n">
        <v>1</v>
      </c>
      <c r="B9" s="18" t="str">
        <f aca="false">INDEX(C_Name,A9)</f>
        <v>문래건영아파트 84㎡</v>
      </c>
      <c r="C9" s="20" t="n">
        <v>1</v>
      </c>
      <c r="D9" s="21" t="str">
        <f aca="false">CHOOSE(C9,"1안 표준형(대출 최대)","2안 절충형(대출 50%)","3안 무대출형","4안 임대차 승계 후 입주","5안 매수 보류(전세 거주)")</f>
        <v>1안 표준형(대출 최대)</v>
      </c>
      <c r="E9" s="20" t="n">
        <v>3</v>
      </c>
      <c r="F9" s="10" t="n">
        <f aca="false">CHOOSE(E9,GrowLo,GrowMid,GrowHi)</f>
        <v>0.06</v>
      </c>
      <c r="G9" s="20" t="n">
        <v>5</v>
      </c>
      <c r="H9" s="18" t="n">
        <f aca="false">INDEX(C_Price,A9)</f>
        <v>13.9</v>
      </c>
      <c r="I9" s="18" t="n">
        <f aca="false">INDEX(C_Jeonse,A9)</f>
        <v>7.228</v>
      </c>
      <c r="J9" s="21" t="n">
        <f aca="false">IF(C9=5,0,IF(C9=1,INDEX(C_Loan,A9),IF(C9=2,INDEX(C_Loan,A9)*LoanShare2,IF(C9=3,0,MIN(INDEX(C_Loan,A9),I9)))))</f>
        <v>5.56</v>
      </c>
      <c r="K9" s="18" t="n">
        <f aca="false">IF(C9=5,0,INDEX(C_Acq,A9))</f>
        <v>0.4587</v>
      </c>
      <c r="L9" s="18" t="n">
        <f aca="false">IF(C9=5,0,INDEX(C_Fee,A9))</f>
        <v>0.11174</v>
      </c>
      <c r="M9" s="21" t="n">
        <f aca="false">IF(C9=4,MAX(0,I9-J9),0)</f>
        <v>0</v>
      </c>
      <c r="N9" s="21" t="n">
        <f aca="false">IF(C9=5,I9,IF(C9=4,(H9-I9)+K9+L9+M9,H9-J9+K9+L9))</f>
        <v>8.91044</v>
      </c>
      <c r="O9" s="20" t="n">
        <f aca="false">IF(C9=4,RentYears,0)</f>
        <v>0</v>
      </c>
      <c r="P9" s="20" t="n">
        <f aca="false">IF(C9=5,0,MAX(0,G9-O9-NonRes))</f>
        <v>5</v>
      </c>
      <c r="Q9" s="21" t="n">
        <f aca="false">IF(C9=5,0,H9*(1+F9)^G9)</f>
        <v>18.60133552864</v>
      </c>
      <c r="R9" s="21" t="n">
        <f aca="false">IF(C9=5,0,Q9*LOOKUP(Q9,FeeLo,FeeR)*(1+VAT))</f>
        <v>0.143230283570528</v>
      </c>
      <c r="S9" s="21" t="n">
        <f aca="false">IF(J9&gt;0,-CUMIPMT(Rm,LoanYears*12,J9,1,(G9-O9)*12,0),0)</f>
        <v>1.06153915603943</v>
      </c>
      <c r="T9" s="29" t="n">
        <f aca="false">IF(C9=5,0,SUMIFS(Sch_Total,Sch_Idx,A9,Sch_Scen,E9,Sch_Year,"&lt;="&amp;G9))</f>
        <v>0.163713433399315</v>
      </c>
      <c r="U9" s="21" t="n">
        <f aca="false">K9+L9+R9</f>
        <v>0.713670283570528</v>
      </c>
      <c r="V9" s="21" t="n">
        <f aca="false">IF(C9=5,0,Q9-H9-U9)</f>
        <v>3.98766524506948</v>
      </c>
      <c r="W9" s="21" t="n">
        <f aca="false">IF(C9=5,0,MAX(0,IF(P9&gt;=2,IF(Q9&gt;Exempt,V9*(Q9-Exempt)/Q9,0),V9)))</f>
        <v>1.41516270259573</v>
      </c>
      <c r="X9" s="10" t="n">
        <f aca="false">IF(P9&gt;=2,MIN(MaxDed,MIN(0.4,HoldRate*G9)+MIN(0.4,LiveRate*P9)),IF(G9&gt;=3,MIN(0.3,0.02*G9),0))</f>
        <v>0.4</v>
      </c>
      <c r="Y9" s="21" t="n">
        <f aca="false">MAX(0,W9*(1-X9)-InitDed)</f>
        <v>0.824097621557435</v>
      </c>
      <c r="Z9" s="29" t="n">
        <f aca="false">SUMPRODUCT((Y9&gt;CLo)*(Y9-CLo)*CD)*(1+LocalTax)</f>
        <v>0.154201772091163</v>
      </c>
      <c r="AA9" s="21" t="n">
        <f aca="false">K9+T9+Z9</f>
        <v>0.776615205490478</v>
      </c>
      <c r="AB9" s="29" t="n">
        <f aca="false">IF(C9=5,0,(Q9-H9)-K9-L9-R9-S9-T9-Z9)</f>
        <v>2.60821088353957</v>
      </c>
      <c r="AC9" s="21" t="n">
        <f aca="false">IF(C9=5,0,N9*((1+DepRate*(1-DepTax))^G9-1))</f>
        <v>1.18960622882199</v>
      </c>
      <c r="AD9" s="29" t="n">
        <f aca="false">IF(C9=5,0,AB9-AC9+I9*(((1+DepRate*(1-DepTax))^G9-1)-((1+DepRate*(1-DepTax))^O9-1)))</f>
        <v>2.38359334460555</v>
      </c>
      <c r="AE9" s="30" t="n">
        <f aca="false">IF(J9&gt;0,-PMT(Rm,LoanYears*12,J9)*10000,0)</f>
        <v>265.442904278796</v>
      </c>
      <c r="AF9" s="21" t="n">
        <f aca="false">IF(J9&gt;0,-PMT((Rate+Stress)/12,LoanYears*12,J9)*12/DSR,0)</f>
        <v>1.10972456195888</v>
      </c>
      <c r="AG9" s="20" t="n">
        <f aca="false">IF(N9&lt;=CapA,1,0)</f>
        <v>1</v>
      </c>
      <c r="AH9" s="20" t="n">
        <f aca="false">IF(N9&lt;=CapB,1,0)</f>
        <v>1</v>
      </c>
      <c r="AI9" s="20" t="n">
        <f aca="false">IF(N9&lt;=CapC,1,0)</f>
        <v>1</v>
      </c>
      <c r="AJ9" s="21" t="n">
        <f aca="false">IF(AG9=1,AD9,-999)</f>
        <v>2.38359334460555</v>
      </c>
      <c r="AK9" s="21" t="n">
        <f aca="false">IF(AH9=1,AD9,-999)</f>
        <v>2.38359334460555</v>
      </c>
      <c r="AL9" s="21" t="n">
        <f aca="false">IF(AI9=1,AD9,-999)</f>
        <v>2.38359334460555</v>
      </c>
      <c r="AM9" s="21" t="str">
        <f aca="false">C9&amp;"|"&amp;E9&amp;"|"&amp;G9&amp;"|"&amp;TEXT(AJ9,"0.00000")</f>
        <v>1|3|5|2.38359</v>
      </c>
      <c r="AN9" s="21" t="str">
        <f aca="false">C9&amp;"|"&amp;E9&amp;"|"&amp;G9&amp;"|"&amp;TEXT(AK9,"0.00000")</f>
        <v>1|3|5|2.38359</v>
      </c>
      <c r="AO9" s="21" t="str">
        <f aca="false">C9&amp;"|"&amp;E9&amp;"|"&amp;G9&amp;"|"&amp;TEXT(AL9,"0.00000")</f>
        <v>1|3|5|2.38359</v>
      </c>
    </row>
    <row r="10" customFormat="false" ht="15" hidden="false" customHeight="false" outlineLevel="0" collapsed="false">
      <c r="A10" s="20" t="n">
        <v>1</v>
      </c>
      <c r="B10" s="18" t="str">
        <f aca="false">INDEX(C_Name,A10)</f>
        <v>문래건영아파트 84㎡</v>
      </c>
      <c r="C10" s="20" t="n">
        <v>1</v>
      </c>
      <c r="D10" s="21" t="str">
        <f aca="false">CHOOSE(C10,"1안 표준형(대출 최대)","2안 절충형(대출 50%)","3안 무대출형","4안 임대차 승계 후 입주","5안 매수 보류(전세 거주)")</f>
        <v>1안 표준형(대출 최대)</v>
      </c>
      <c r="E10" s="20" t="n">
        <v>3</v>
      </c>
      <c r="F10" s="10" t="n">
        <f aca="false">CHOOSE(E10,GrowLo,GrowMid,GrowHi)</f>
        <v>0.06</v>
      </c>
      <c r="G10" s="20" t="n">
        <v>10</v>
      </c>
      <c r="H10" s="18" t="n">
        <f aca="false">INDEX(C_Price,A10)</f>
        <v>13.9</v>
      </c>
      <c r="I10" s="18" t="n">
        <f aca="false">INDEX(C_Jeonse,A10)</f>
        <v>7.228</v>
      </c>
      <c r="J10" s="21" t="n">
        <f aca="false">IF(C10=5,0,IF(C10=1,INDEX(C_Loan,A10),IF(C10=2,INDEX(C_Loan,A10)*LoanShare2,IF(C10=3,0,MIN(INDEX(C_Loan,A10),I10)))))</f>
        <v>5.56</v>
      </c>
      <c r="K10" s="18" t="n">
        <f aca="false">IF(C10=5,0,INDEX(C_Acq,A10))</f>
        <v>0.4587</v>
      </c>
      <c r="L10" s="18" t="n">
        <f aca="false">IF(C10=5,0,INDEX(C_Fee,A10))</f>
        <v>0.11174</v>
      </c>
      <c r="M10" s="21" t="n">
        <f aca="false">IF(C10=4,MAX(0,I10-J10),0)</f>
        <v>0</v>
      </c>
      <c r="N10" s="21" t="n">
        <f aca="false">IF(C10=5,I10,IF(C10=4,(H10-I10)+K10+L10+M10,H10-J10+K10+L10))</f>
        <v>8.91044</v>
      </c>
      <c r="O10" s="20" t="n">
        <f aca="false">IF(C10=4,RentYears,0)</f>
        <v>0</v>
      </c>
      <c r="P10" s="20" t="n">
        <f aca="false">IF(C10=5,0,MAX(0,G10-O10-NonRes))</f>
        <v>10</v>
      </c>
      <c r="Q10" s="21" t="n">
        <f aca="false">IF(C10=5,0,H10*(1+F10)^G10)</f>
        <v>24.8927829819457</v>
      </c>
      <c r="R10" s="21" t="n">
        <f aca="false">IF(C10=5,0,Q10*LOOKUP(Q10,FeeLo,FeeR)*(1+VAT))</f>
        <v>0.191674428960982</v>
      </c>
      <c r="S10" s="21" t="n">
        <f aca="false">IF(J10&gt;0,-CUMIPMT(Rm,LoanYears*12,J10,1,(G10-O10)*12,0),0)</f>
        <v>2.00570298350946</v>
      </c>
      <c r="T10" s="29" t="n">
        <f aca="false">IF(C10=5,0,SUMIFS(Sch_Total,Sch_Idx,A10,Sch_Scen,E10,Sch_Year,"&lt;="&amp;G10))</f>
        <v>0.439527480018586</v>
      </c>
      <c r="U10" s="21" t="n">
        <f aca="false">K10+L10+R10</f>
        <v>0.762114428960982</v>
      </c>
      <c r="V10" s="21" t="n">
        <f aca="false">IF(C10=5,0,Q10-H10-U10)</f>
        <v>10.2306685529847</v>
      </c>
      <c r="W10" s="21" t="n">
        <f aca="false">IF(C10=5,0,MAX(0,IF(P10&gt;=2,IF(Q10&gt;Exempt,V10*(Q10-Exempt)/Q10,0),V10)))</f>
        <v>5.29879642262234</v>
      </c>
      <c r="X10" s="10" t="n">
        <f aca="false">IF(P10&gt;=2,MIN(MaxDed,MIN(0.4,HoldRate*G10)+MIN(0.4,LiveRate*P10)),IF(G10&gt;=3,MIN(0.3,0.02*G10),0))</f>
        <v>0.8</v>
      </c>
      <c r="Y10" s="21" t="n">
        <f aca="false">MAX(0,W10*(1-X10)-InitDed)</f>
        <v>1.03475928452447</v>
      </c>
      <c r="Z10" s="29" t="n">
        <f aca="false">SUMPRODUCT((Y10&gt;CLo)*(Y10-CLo)*CD)*(1+LocalTax)</f>
        <v>0.22854232454192</v>
      </c>
      <c r="AA10" s="21" t="n">
        <f aca="false">K10+T10+Z10</f>
        <v>1.12676980456051</v>
      </c>
      <c r="AB10" s="29" t="n">
        <f aca="false">IF(C10=5,0,(Q10-H10)-K10-L10-R10-S10-T10-Z10)</f>
        <v>7.55689576491474</v>
      </c>
      <c r="AC10" s="21" t="n">
        <f aca="false">IF(C10=5,0,N10*((1+DepRate*(1-DepTax))^G10-1))</f>
        <v>2.53803323188768</v>
      </c>
      <c r="AD10" s="29" t="n">
        <f aca="false">IF(C10=5,0,AB10-AC10+I10*(((1+DepRate*(1-DepTax))^G10-1)-((1+DepRate*(1-DepTax))^O10-1)))</f>
        <v>7.07767267035856</v>
      </c>
      <c r="AE10" s="30" t="n">
        <f aca="false">IF(J10&gt;0,-PMT(Rm,LoanYears*12,J10)*10000,0)</f>
        <v>265.442904278796</v>
      </c>
      <c r="AF10" s="21" t="n">
        <f aca="false">IF(J10&gt;0,-PMT((Rate+Stress)/12,LoanYears*12,J10)*12/DSR,0)</f>
        <v>1.10972456195888</v>
      </c>
      <c r="AG10" s="20" t="n">
        <f aca="false">IF(N10&lt;=CapA,1,0)</f>
        <v>1</v>
      </c>
      <c r="AH10" s="20" t="n">
        <f aca="false">IF(N10&lt;=CapB,1,0)</f>
        <v>1</v>
      </c>
      <c r="AI10" s="20" t="n">
        <f aca="false">IF(N10&lt;=CapC,1,0)</f>
        <v>1</v>
      </c>
      <c r="AJ10" s="21" t="n">
        <f aca="false">IF(AG10=1,AD10,-999)</f>
        <v>7.07767267035856</v>
      </c>
      <c r="AK10" s="21" t="n">
        <f aca="false">IF(AH10=1,AD10,-999)</f>
        <v>7.07767267035856</v>
      </c>
      <c r="AL10" s="21" t="n">
        <f aca="false">IF(AI10=1,AD10,-999)</f>
        <v>7.07767267035856</v>
      </c>
      <c r="AM10" s="21" t="str">
        <f aca="false">C10&amp;"|"&amp;E10&amp;"|"&amp;G10&amp;"|"&amp;TEXT(AJ10,"0.00000")</f>
        <v>1|3|10|7.07767</v>
      </c>
      <c r="AN10" s="21" t="str">
        <f aca="false">C10&amp;"|"&amp;E10&amp;"|"&amp;G10&amp;"|"&amp;TEXT(AK10,"0.00000")</f>
        <v>1|3|10|7.07767</v>
      </c>
      <c r="AO10" s="21" t="str">
        <f aca="false">C10&amp;"|"&amp;E10&amp;"|"&amp;G10&amp;"|"&amp;TEXT(AL10,"0.00000")</f>
        <v>1|3|10|7.07767</v>
      </c>
    </row>
    <row r="11" customFormat="false" ht="15" hidden="false" customHeight="false" outlineLevel="0" collapsed="false">
      <c r="A11" s="20" t="n">
        <v>1</v>
      </c>
      <c r="B11" s="18" t="str">
        <f aca="false">INDEX(C_Name,A11)</f>
        <v>문래건영아파트 84㎡</v>
      </c>
      <c r="C11" s="20" t="n">
        <v>2</v>
      </c>
      <c r="D11" s="21" t="str">
        <f aca="false">CHOOSE(C11,"1안 표준형(대출 최대)","2안 절충형(대출 50%)","3안 무대출형","4안 임대차 승계 후 입주","5안 매수 보류(전세 거주)")</f>
        <v>2안 절충형(대출 50%)</v>
      </c>
      <c r="E11" s="20" t="n">
        <v>1</v>
      </c>
      <c r="F11" s="10" t="n">
        <f aca="false">CHOOSE(E11,GrowLo,GrowMid,GrowHi)</f>
        <v>0.02</v>
      </c>
      <c r="G11" s="20" t="n">
        <v>5</v>
      </c>
      <c r="H11" s="18" t="n">
        <f aca="false">INDEX(C_Price,A11)</f>
        <v>13.9</v>
      </c>
      <c r="I11" s="18" t="n">
        <f aca="false">INDEX(C_Jeonse,A11)</f>
        <v>7.228</v>
      </c>
      <c r="J11" s="21" t="n">
        <f aca="false">IF(C11=5,0,IF(C11=1,INDEX(C_Loan,A11),IF(C11=2,INDEX(C_Loan,A11)*LoanShare2,IF(C11=3,0,MIN(INDEX(C_Loan,A11),I11)))))</f>
        <v>2.78</v>
      </c>
      <c r="K11" s="18" t="n">
        <f aca="false">IF(C11=5,0,INDEX(C_Acq,A11))</f>
        <v>0.4587</v>
      </c>
      <c r="L11" s="18" t="n">
        <f aca="false">IF(C11=5,0,INDEX(C_Fee,A11))</f>
        <v>0.11174</v>
      </c>
      <c r="M11" s="21" t="n">
        <f aca="false">IF(C11=4,MAX(0,I11-J11),0)</f>
        <v>0</v>
      </c>
      <c r="N11" s="21" t="n">
        <f aca="false">IF(C11=5,I11,IF(C11=4,(H11-I11)+K11+L11+M11,H11-J11+K11+L11))</f>
        <v>11.69044</v>
      </c>
      <c r="O11" s="20" t="n">
        <f aca="false">IF(C11=4,RentYears,0)</f>
        <v>0</v>
      </c>
      <c r="P11" s="20" t="n">
        <f aca="false">IF(C11=5,0,MAX(0,G11-O11-NonRes))</f>
        <v>5</v>
      </c>
      <c r="Q11" s="21" t="n">
        <f aca="false">IF(C11=5,0,H11*(1+F11)^G11)</f>
        <v>15.34672316448</v>
      </c>
      <c r="R11" s="21" t="n">
        <f aca="false">IF(C11=5,0,Q11*LOOKUP(Q11,FeeLo,FeeR)*(1+VAT))</f>
        <v>0.118169768366496</v>
      </c>
      <c r="S11" s="21" t="n">
        <f aca="false">IF(J11&gt;0,-CUMIPMT(Rm,LoanYears*12,J11,1,(G11-O11)*12,0),0)</f>
        <v>0.530769578019715</v>
      </c>
      <c r="T11" s="29" t="n">
        <f aca="false">IF(C11=5,0,SUMIFS(Sch_Total,Sch_Idx,A11,Sch_Scen,E11,Sch_Year,"&lt;="&amp;G11))</f>
        <v>0.147872450929363</v>
      </c>
      <c r="U11" s="21" t="n">
        <f aca="false">K11+L11+R11</f>
        <v>0.688609768366496</v>
      </c>
      <c r="V11" s="21" t="n">
        <f aca="false">IF(C11=5,0,Q11-H11-U11)</f>
        <v>0.758113396113504</v>
      </c>
      <c r="W11" s="21" t="n">
        <f aca="false">IF(C11=5,0,MAX(0,IF(P11&gt;=2,IF(Q11&gt;Exempt,V11*(Q11-Exempt)/Q11,0),V11)))</f>
        <v>0.165324912483468</v>
      </c>
      <c r="X11" s="10" t="n">
        <f aca="false">IF(P11&gt;=2,MIN(MaxDed,MIN(0.4,HoldRate*G11)+MIN(0.4,LiveRate*P11)),IF(G11&gt;=3,MIN(0.3,0.02*G11),0))</f>
        <v>0.4</v>
      </c>
      <c r="Y11" s="21" t="n">
        <f aca="false">MAX(0,W11*(1-X11)-InitDed)</f>
        <v>0.0741949474900807</v>
      </c>
      <c r="Z11" s="29" t="n">
        <f aca="false">SUMPRODUCT((Y11&gt;CLo)*(Y11-CLo)*CD)*(1+LocalTax)</f>
        <v>0.00489686653434533</v>
      </c>
      <c r="AA11" s="21" t="n">
        <f aca="false">K11+T11+Z11</f>
        <v>0.611469317463709</v>
      </c>
      <c r="AB11" s="29" t="n">
        <f aca="false">IF(C11=5,0,(Q11-H11)-K11-L11-R11-S11-T11-Z11)</f>
        <v>0.0745745006300808</v>
      </c>
      <c r="AC11" s="21" t="n">
        <f aca="false">IF(C11=5,0,N11*((1+DepRate*(1-DepTax))^G11-1))</f>
        <v>1.56075572493274</v>
      </c>
      <c r="AD11" s="29" t="n">
        <f aca="false">IF(C11=5,0,AB11-AC11+I11*(((1+DepRate*(1-DepTax))^G11-1)-((1+DepRate*(1-DepTax))^O11-1)))</f>
        <v>-0.521192534414697</v>
      </c>
      <c r="AE11" s="30" t="n">
        <f aca="false">IF(J11&gt;0,-PMT(Rm,LoanYears*12,J11)*10000,0)</f>
        <v>132.721452139398</v>
      </c>
      <c r="AF11" s="21" t="n">
        <f aca="false">IF(J11&gt;0,-PMT((Rate+Stress)/12,LoanYears*12,J11)*12/DSR,0)</f>
        <v>0.554862280979439</v>
      </c>
      <c r="AG11" s="20" t="n">
        <f aca="false">IF(N11&lt;=CapA,1,0)</f>
        <v>1</v>
      </c>
      <c r="AH11" s="20" t="n">
        <f aca="false">IF(N11&lt;=CapB,1,0)</f>
        <v>1</v>
      </c>
      <c r="AI11" s="20" t="n">
        <f aca="false">IF(N11&lt;=CapC,1,0)</f>
        <v>1</v>
      </c>
      <c r="AJ11" s="21" t="n">
        <f aca="false">IF(AG11=1,AD11,-999)</f>
        <v>-0.521192534414697</v>
      </c>
      <c r="AK11" s="21" t="n">
        <f aca="false">IF(AH11=1,AD11,-999)</f>
        <v>-0.521192534414697</v>
      </c>
      <c r="AL11" s="21" t="n">
        <f aca="false">IF(AI11=1,AD11,-999)</f>
        <v>-0.521192534414697</v>
      </c>
      <c r="AM11" s="21" t="str">
        <f aca="false">C11&amp;"|"&amp;E11&amp;"|"&amp;G11&amp;"|"&amp;TEXT(AJ11,"0.00000")</f>
        <v>2|1|5|-0.52119</v>
      </c>
      <c r="AN11" s="21" t="str">
        <f aca="false">C11&amp;"|"&amp;E11&amp;"|"&amp;G11&amp;"|"&amp;TEXT(AK11,"0.00000")</f>
        <v>2|1|5|-0.52119</v>
      </c>
      <c r="AO11" s="21" t="str">
        <f aca="false">C11&amp;"|"&amp;E11&amp;"|"&amp;G11&amp;"|"&amp;TEXT(AL11,"0.00000")</f>
        <v>2|1|5|-0.52119</v>
      </c>
    </row>
    <row r="12" customFormat="false" ht="15" hidden="false" customHeight="false" outlineLevel="0" collapsed="false">
      <c r="A12" s="20" t="n">
        <v>1</v>
      </c>
      <c r="B12" s="18" t="str">
        <f aca="false">INDEX(C_Name,A12)</f>
        <v>문래건영아파트 84㎡</v>
      </c>
      <c r="C12" s="20" t="n">
        <v>2</v>
      </c>
      <c r="D12" s="21" t="str">
        <f aca="false">CHOOSE(C12,"1안 표준형(대출 최대)","2안 절충형(대출 50%)","3안 무대출형","4안 임대차 승계 후 입주","5안 매수 보류(전세 거주)")</f>
        <v>2안 절충형(대출 50%)</v>
      </c>
      <c r="E12" s="20" t="n">
        <v>1</v>
      </c>
      <c r="F12" s="10" t="n">
        <f aca="false">CHOOSE(E12,GrowLo,GrowMid,GrowHi)</f>
        <v>0.02</v>
      </c>
      <c r="G12" s="20" t="n">
        <v>10</v>
      </c>
      <c r="H12" s="18" t="n">
        <f aca="false">INDEX(C_Price,A12)</f>
        <v>13.9</v>
      </c>
      <c r="I12" s="18" t="n">
        <f aca="false">INDEX(C_Jeonse,A12)</f>
        <v>7.228</v>
      </c>
      <c r="J12" s="21" t="n">
        <f aca="false">IF(C12=5,0,IF(C12=1,INDEX(C_Loan,A12),IF(C12=2,INDEX(C_Loan,A12)*LoanShare2,IF(C12=3,0,MIN(INDEX(C_Loan,A12),I12)))))</f>
        <v>2.78</v>
      </c>
      <c r="K12" s="18" t="n">
        <f aca="false">IF(C12=5,0,INDEX(C_Acq,A12))</f>
        <v>0.4587</v>
      </c>
      <c r="L12" s="18" t="n">
        <f aca="false">IF(C12=5,0,INDEX(C_Fee,A12))</f>
        <v>0.11174</v>
      </c>
      <c r="M12" s="21" t="n">
        <f aca="false">IF(C12=4,MAX(0,I12-J12),0)</f>
        <v>0</v>
      </c>
      <c r="N12" s="21" t="n">
        <f aca="false">IF(C12=5,I12,IF(C12=4,(H12-I12)+K12+L12+M12,H12-J12+K12+L12))</f>
        <v>11.69044</v>
      </c>
      <c r="O12" s="20" t="n">
        <f aca="false">IF(C12=4,RentYears,0)</f>
        <v>0</v>
      </c>
      <c r="P12" s="20" t="n">
        <f aca="false">IF(C12=5,0,MAX(0,G12-O12-NonRes))</f>
        <v>10</v>
      </c>
      <c r="Q12" s="21" t="n">
        <f aca="false">IF(C12=5,0,H12*(1+F12)^G12)</f>
        <v>16.9440224379271</v>
      </c>
      <c r="R12" s="21" t="n">
        <f aca="false">IF(C12=5,0,Q12*LOOKUP(Q12,FeeLo,FeeR)*(1+VAT))</f>
        <v>0.130468972772039</v>
      </c>
      <c r="S12" s="21" t="n">
        <f aca="false">IF(J12&gt;0,-CUMIPMT(Rm,LoanYears*12,J12,1,(G12-O12)*12,0),0)</f>
        <v>1.00285149175473</v>
      </c>
      <c r="T12" s="29" t="n">
        <f aca="false">IF(C12=5,0,SUMIFS(Sch_Total,Sch_Idx,A12,Sch_Scen,E12,Sch_Year,"&lt;="&amp;G12))</f>
        <v>0.315069839683567</v>
      </c>
      <c r="U12" s="21" t="n">
        <f aca="false">K12+L12+R12</f>
        <v>0.700908972772039</v>
      </c>
      <c r="V12" s="21" t="n">
        <f aca="false">IF(C12=5,0,Q12-H12-U12)</f>
        <v>2.34311346515509</v>
      </c>
      <c r="W12" s="21" t="n">
        <f aca="false">IF(C12=5,0,MAX(0,IF(P12&gt;=2,IF(Q12&gt;Exempt,V12*(Q12-Exempt)/Q12,0),V12)))</f>
        <v>0.683686862949713</v>
      </c>
      <c r="X12" s="10" t="n">
        <f aca="false">IF(P12&gt;=2,MIN(MaxDed,MIN(0.4,HoldRate*G12)+MIN(0.4,LiveRate*P12)),IF(G12&gt;=3,MIN(0.3,0.02*G12),0))</f>
        <v>0.8</v>
      </c>
      <c r="Y12" s="21" t="n">
        <f aca="false">MAX(0,W12*(1-X12)-InitDed)</f>
        <v>0.111737372589943</v>
      </c>
      <c r="Z12" s="29" t="n">
        <f aca="false">SUMPRODUCT((Y12&gt;CLo)*(Y12-CLo)*CD)*(1+LocalTax)</f>
        <v>0.00737466659093621</v>
      </c>
      <c r="AA12" s="21" t="n">
        <f aca="false">K12+T12+Z12</f>
        <v>0.781144506274503</v>
      </c>
      <c r="AB12" s="29" t="n">
        <f aca="false">IF(C12=5,0,(Q12-H12)-K12-L12-R12-S12-T12-Z12)</f>
        <v>1.01781746712586</v>
      </c>
      <c r="AC12" s="21" t="n">
        <f aca="false">IF(C12=5,0,N12*((1+DepRate*(1-DepTax))^G12-1))</f>
        <v>3.32988328470749</v>
      </c>
      <c r="AD12" s="29" t="n">
        <f aca="false">IF(C12=5,0,AB12-AC12+I12*(((1+DepRate*(1-DepTax))^G12-1)-((1+DepRate*(1-DepTax))^O12-1)))</f>
        <v>-0.253255680250126</v>
      </c>
      <c r="AE12" s="30" t="n">
        <f aca="false">IF(J12&gt;0,-PMT(Rm,LoanYears*12,J12)*10000,0)</f>
        <v>132.721452139398</v>
      </c>
      <c r="AF12" s="21" t="n">
        <f aca="false">IF(J12&gt;0,-PMT((Rate+Stress)/12,LoanYears*12,J12)*12/DSR,0)</f>
        <v>0.554862280979439</v>
      </c>
      <c r="AG12" s="20" t="n">
        <f aca="false">IF(N12&lt;=CapA,1,0)</f>
        <v>1</v>
      </c>
      <c r="AH12" s="20" t="n">
        <f aca="false">IF(N12&lt;=CapB,1,0)</f>
        <v>1</v>
      </c>
      <c r="AI12" s="20" t="n">
        <f aca="false">IF(N12&lt;=CapC,1,0)</f>
        <v>1</v>
      </c>
      <c r="AJ12" s="21" t="n">
        <f aca="false">IF(AG12=1,AD12,-999)</f>
        <v>-0.253255680250126</v>
      </c>
      <c r="AK12" s="21" t="n">
        <f aca="false">IF(AH12=1,AD12,-999)</f>
        <v>-0.253255680250126</v>
      </c>
      <c r="AL12" s="21" t="n">
        <f aca="false">IF(AI12=1,AD12,-999)</f>
        <v>-0.253255680250126</v>
      </c>
      <c r="AM12" s="21" t="str">
        <f aca="false">C12&amp;"|"&amp;E12&amp;"|"&amp;G12&amp;"|"&amp;TEXT(AJ12,"0.00000")</f>
        <v>2|1|10|-0.25326</v>
      </c>
      <c r="AN12" s="21" t="str">
        <f aca="false">C12&amp;"|"&amp;E12&amp;"|"&amp;G12&amp;"|"&amp;TEXT(AK12,"0.00000")</f>
        <v>2|1|10|-0.25326</v>
      </c>
      <c r="AO12" s="21" t="str">
        <f aca="false">C12&amp;"|"&amp;E12&amp;"|"&amp;G12&amp;"|"&amp;TEXT(AL12,"0.00000")</f>
        <v>2|1|10|-0.25326</v>
      </c>
    </row>
    <row r="13" customFormat="false" ht="15" hidden="false" customHeight="false" outlineLevel="0" collapsed="false">
      <c r="A13" s="20" t="n">
        <v>1</v>
      </c>
      <c r="B13" s="18" t="str">
        <f aca="false">INDEX(C_Name,A13)</f>
        <v>문래건영아파트 84㎡</v>
      </c>
      <c r="C13" s="20" t="n">
        <v>2</v>
      </c>
      <c r="D13" s="21" t="str">
        <f aca="false">CHOOSE(C13,"1안 표준형(대출 최대)","2안 절충형(대출 50%)","3안 무대출형","4안 임대차 승계 후 입주","5안 매수 보류(전세 거주)")</f>
        <v>2안 절충형(대출 50%)</v>
      </c>
      <c r="E13" s="20" t="n">
        <v>2</v>
      </c>
      <c r="F13" s="10" t="n">
        <f aca="false">CHOOSE(E13,GrowLo,GrowMid,GrowHi)</f>
        <v>0.04</v>
      </c>
      <c r="G13" s="20" t="n">
        <v>5</v>
      </c>
      <c r="H13" s="18" t="n">
        <f aca="false">INDEX(C_Price,A13)</f>
        <v>13.9</v>
      </c>
      <c r="I13" s="18" t="n">
        <f aca="false">INDEX(C_Jeonse,A13)</f>
        <v>7.228</v>
      </c>
      <c r="J13" s="21" t="n">
        <f aca="false">IF(C13=5,0,IF(C13=1,INDEX(C_Loan,A13),IF(C13=2,INDEX(C_Loan,A13)*LoanShare2,IF(C13=3,0,MIN(INDEX(C_Loan,A13),I13)))))</f>
        <v>2.78</v>
      </c>
      <c r="K13" s="18" t="n">
        <f aca="false">IF(C13=5,0,INDEX(C_Acq,A13))</f>
        <v>0.4587</v>
      </c>
      <c r="L13" s="18" t="n">
        <f aca="false">IF(C13=5,0,INDEX(C_Fee,A13))</f>
        <v>0.11174</v>
      </c>
      <c r="M13" s="21" t="n">
        <f aca="false">IF(C13=4,MAX(0,I13-J13),0)</f>
        <v>0</v>
      </c>
      <c r="N13" s="21" t="n">
        <f aca="false">IF(C13=5,I13,IF(C13=4,(H13-I13)+K13+L13+M13,H13-J13+K13+L13))</f>
        <v>11.69044</v>
      </c>
      <c r="O13" s="20" t="n">
        <f aca="false">IF(C13=4,RentYears,0)</f>
        <v>0</v>
      </c>
      <c r="P13" s="20" t="n">
        <f aca="false">IF(C13=5,0,MAX(0,G13-O13-NonRes))</f>
        <v>5</v>
      </c>
      <c r="Q13" s="21" t="n">
        <f aca="false">IF(C13=5,0,H13*(1+F13)^G13)</f>
        <v>16.91147534336</v>
      </c>
      <c r="R13" s="21" t="n">
        <f aca="false">IF(C13=5,0,Q13*LOOKUP(Q13,FeeLo,FeeR)*(1+VAT))</f>
        <v>0.130218360143872</v>
      </c>
      <c r="S13" s="21" t="n">
        <f aca="false">IF(J13&gt;0,-CUMIPMT(Rm,LoanYears*12,J13,1,(G13-O13)*12,0),0)</f>
        <v>0.530769578019715</v>
      </c>
      <c r="T13" s="29" t="n">
        <f aca="false">IF(C13=5,0,SUMIFS(Sch_Total,Sch_Idx,A13,Sch_Scen,E13,Sch_Year,"&lt;="&amp;G13))</f>
        <v>0.155446372783411</v>
      </c>
      <c r="U13" s="21" t="n">
        <f aca="false">K13+L13+R13</f>
        <v>0.700658360143872</v>
      </c>
      <c r="V13" s="21" t="n">
        <f aca="false">IF(C13=5,0,Q13-H13-U13)</f>
        <v>2.31081698321613</v>
      </c>
      <c r="W13" s="21" t="n">
        <f aca="false">IF(C13=5,0,MAX(0,IF(P13&gt;=2,IF(Q13&gt;Exempt,V13*(Q13-Exempt)/Q13,0),V13)))</f>
        <v>0.671113572627462</v>
      </c>
      <c r="X13" s="10" t="n">
        <f aca="false">IF(P13&gt;=2,MIN(MaxDed,MIN(0.4,HoldRate*G13)+MIN(0.4,LiveRate*P13)),IF(G13&gt;=3,MIN(0.3,0.02*G13),0))</f>
        <v>0.4</v>
      </c>
      <c r="Y13" s="21" t="n">
        <f aca="false">MAX(0,W13*(1-X13)-InitDed)</f>
        <v>0.377668143576477</v>
      </c>
      <c r="Z13" s="29" t="n">
        <f aca="false">SUMPRODUCT((Y13&gt;CLo)*(Y13-CLo)*CD)*(1+LocalTax)</f>
        <v>0.0484552436901188</v>
      </c>
      <c r="AA13" s="21" t="n">
        <f aca="false">K13+T13+Z13</f>
        <v>0.66260161647353</v>
      </c>
      <c r="AB13" s="29" t="n">
        <f aca="false">IF(C13=5,0,(Q13-H13)-K13-L13-R13-S13-T13-Z13)</f>
        <v>1.57614578872289</v>
      </c>
      <c r="AC13" s="21" t="n">
        <f aca="false">IF(C13=5,0,N13*((1+DepRate*(1-DepTax))^G13-1))</f>
        <v>1.56075572493274</v>
      </c>
      <c r="AD13" s="29" t="n">
        <f aca="false">IF(C13=5,0,AB13-AC13+I13*(((1+DepRate*(1-DepTax))^G13-1)-((1+DepRate*(1-DepTax))^O13-1)))</f>
        <v>0.980378753678108</v>
      </c>
      <c r="AE13" s="30" t="n">
        <f aca="false">IF(J13&gt;0,-PMT(Rm,LoanYears*12,J13)*10000,0)</f>
        <v>132.721452139398</v>
      </c>
      <c r="AF13" s="21" t="n">
        <f aca="false">IF(J13&gt;0,-PMT((Rate+Stress)/12,LoanYears*12,J13)*12/DSR,0)</f>
        <v>0.554862280979439</v>
      </c>
      <c r="AG13" s="20" t="n">
        <f aca="false">IF(N13&lt;=CapA,1,0)</f>
        <v>1</v>
      </c>
      <c r="AH13" s="20" t="n">
        <f aca="false">IF(N13&lt;=CapB,1,0)</f>
        <v>1</v>
      </c>
      <c r="AI13" s="20" t="n">
        <f aca="false">IF(N13&lt;=CapC,1,0)</f>
        <v>1</v>
      </c>
      <c r="AJ13" s="21" t="n">
        <f aca="false">IF(AG13=1,AD13,-999)</f>
        <v>0.980378753678108</v>
      </c>
      <c r="AK13" s="21" t="n">
        <f aca="false">IF(AH13=1,AD13,-999)</f>
        <v>0.980378753678108</v>
      </c>
      <c r="AL13" s="21" t="n">
        <f aca="false">IF(AI13=1,AD13,-999)</f>
        <v>0.980378753678108</v>
      </c>
      <c r="AM13" s="21" t="str">
        <f aca="false">C13&amp;"|"&amp;E13&amp;"|"&amp;G13&amp;"|"&amp;TEXT(AJ13,"0.00000")</f>
        <v>2|2|5|0.98038</v>
      </c>
      <c r="AN13" s="21" t="str">
        <f aca="false">C13&amp;"|"&amp;E13&amp;"|"&amp;G13&amp;"|"&amp;TEXT(AK13,"0.00000")</f>
        <v>2|2|5|0.98038</v>
      </c>
      <c r="AO13" s="21" t="str">
        <f aca="false">C13&amp;"|"&amp;E13&amp;"|"&amp;G13&amp;"|"&amp;TEXT(AL13,"0.00000")</f>
        <v>2|2|5|0.98038</v>
      </c>
    </row>
    <row r="14" customFormat="false" ht="15" hidden="false" customHeight="false" outlineLevel="0" collapsed="false">
      <c r="A14" s="20" t="n">
        <v>1</v>
      </c>
      <c r="B14" s="18" t="str">
        <f aca="false">INDEX(C_Name,A14)</f>
        <v>문래건영아파트 84㎡</v>
      </c>
      <c r="C14" s="20" t="n">
        <v>2</v>
      </c>
      <c r="D14" s="21" t="str">
        <f aca="false">CHOOSE(C14,"1안 표준형(대출 최대)","2안 절충형(대출 50%)","3안 무대출형","4안 임대차 승계 후 입주","5안 매수 보류(전세 거주)")</f>
        <v>2안 절충형(대출 50%)</v>
      </c>
      <c r="E14" s="20" t="n">
        <v>2</v>
      </c>
      <c r="F14" s="10" t="n">
        <f aca="false">CHOOSE(E14,GrowLo,GrowMid,GrowHi)</f>
        <v>0.04</v>
      </c>
      <c r="G14" s="20" t="n">
        <v>10</v>
      </c>
      <c r="H14" s="18" t="n">
        <f aca="false">INDEX(C_Price,A14)</f>
        <v>13.9</v>
      </c>
      <c r="I14" s="18" t="n">
        <f aca="false">INDEX(C_Jeonse,A14)</f>
        <v>7.228</v>
      </c>
      <c r="J14" s="21" t="n">
        <f aca="false">IF(C14=5,0,IF(C14=1,INDEX(C_Loan,A14),IF(C14=2,INDEX(C_Loan,A14)*LoanShare2,IF(C14=3,0,MIN(INDEX(C_Loan,A14),I14)))))</f>
        <v>2.78</v>
      </c>
      <c r="K14" s="18" t="n">
        <f aca="false">IF(C14=5,0,INDEX(C_Acq,A14))</f>
        <v>0.4587</v>
      </c>
      <c r="L14" s="18" t="n">
        <f aca="false">IF(C14=5,0,INDEX(C_Fee,A14))</f>
        <v>0.11174</v>
      </c>
      <c r="M14" s="21" t="n">
        <f aca="false">IF(C14=4,MAX(0,I14-J14),0)</f>
        <v>0</v>
      </c>
      <c r="N14" s="21" t="n">
        <f aca="false">IF(C14=5,I14,IF(C14=4,(H14-I14)+K14+L14+M14,H14-J14+K14+L14))</f>
        <v>11.69044</v>
      </c>
      <c r="O14" s="20" t="n">
        <f aca="false">IF(C14=4,RentYears,0)</f>
        <v>0</v>
      </c>
      <c r="P14" s="20" t="n">
        <f aca="false">IF(C14=5,0,MAX(0,G14-O14-NonRes))</f>
        <v>10</v>
      </c>
      <c r="Q14" s="21" t="n">
        <f aca="false">IF(C14=5,0,H14*(1+F14)^G14)</f>
        <v>20.575395560365</v>
      </c>
      <c r="R14" s="21" t="n">
        <f aca="false">IF(C14=5,0,Q14*LOOKUP(Q14,FeeLo,FeeR)*(1+VAT))</f>
        <v>0.15843054581481</v>
      </c>
      <c r="S14" s="21" t="n">
        <f aca="false">IF(J14&gt;0,-CUMIPMT(Rm,LoanYears*12,J14,1,(G14-O14)*12,0),0)</f>
        <v>1.00285149175473</v>
      </c>
      <c r="T14" s="29" t="n">
        <f aca="false">IF(C14=5,0,SUMIFS(Sch_Total,Sch_Idx,A14,Sch_Scen,E14,Sch_Year,"&lt;="&amp;G14))</f>
        <v>0.365481473831724</v>
      </c>
      <c r="U14" s="21" t="n">
        <f aca="false">K14+L14+R14</f>
        <v>0.728870545814811</v>
      </c>
      <c r="V14" s="21" t="n">
        <f aca="false">IF(C14=5,0,Q14-H14-U14)</f>
        <v>5.94652501455018</v>
      </c>
      <c r="W14" s="21" t="n">
        <f aca="false">IF(C14=5,0,MAX(0,IF(P14&gt;=2,IF(Q14&gt;Exempt,V14*(Q14-Exempt)/Q14,0),V14)))</f>
        <v>2.47838755078925</v>
      </c>
      <c r="X14" s="10" t="n">
        <f aca="false">IF(P14&gt;=2,MIN(MaxDed,MIN(0.4,HoldRate*G14)+MIN(0.4,LiveRate*P14)),IF(G14&gt;=3,MIN(0.3,0.02*G14),0))</f>
        <v>0.8</v>
      </c>
      <c r="Y14" s="21" t="n">
        <f aca="false">MAX(0,W14*(1-X14)-InitDed)</f>
        <v>0.470677510157849</v>
      </c>
      <c r="Z14" s="29" t="n">
        <f aca="false">SUMPRODUCT((Y14&gt;CLo)*(Y14-CLo)*CD)*(1+LocalTax)</f>
        <v>0.0638017891760452</v>
      </c>
      <c r="AA14" s="21" t="n">
        <f aca="false">K14+T14+Z14</f>
        <v>0.887983263007769</v>
      </c>
      <c r="AB14" s="29" t="n">
        <f aca="false">IF(C14=5,0,(Q14-H14)-K14-L14-R14-S14-T14-Z14)</f>
        <v>4.51439025978768</v>
      </c>
      <c r="AC14" s="21" t="n">
        <f aca="false">IF(C14=5,0,N14*((1+DepRate*(1-DepTax))^G14-1))</f>
        <v>3.32988328470749</v>
      </c>
      <c r="AD14" s="29" t="n">
        <f aca="false">IF(C14=5,0,AB14-AC14+I14*(((1+DepRate*(1-DepTax))^G14-1)-((1+DepRate*(1-DepTax))^O14-1)))</f>
        <v>3.2433171124117</v>
      </c>
      <c r="AE14" s="30" t="n">
        <f aca="false">IF(J14&gt;0,-PMT(Rm,LoanYears*12,J14)*10000,0)</f>
        <v>132.721452139398</v>
      </c>
      <c r="AF14" s="21" t="n">
        <f aca="false">IF(J14&gt;0,-PMT((Rate+Stress)/12,LoanYears*12,J14)*12/DSR,0)</f>
        <v>0.554862280979439</v>
      </c>
      <c r="AG14" s="20" t="n">
        <f aca="false">IF(N14&lt;=CapA,1,0)</f>
        <v>1</v>
      </c>
      <c r="AH14" s="20" t="n">
        <f aca="false">IF(N14&lt;=CapB,1,0)</f>
        <v>1</v>
      </c>
      <c r="AI14" s="20" t="n">
        <f aca="false">IF(N14&lt;=CapC,1,0)</f>
        <v>1</v>
      </c>
      <c r="AJ14" s="21" t="n">
        <f aca="false">IF(AG14=1,AD14,-999)</f>
        <v>3.2433171124117</v>
      </c>
      <c r="AK14" s="21" t="n">
        <f aca="false">IF(AH14=1,AD14,-999)</f>
        <v>3.2433171124117</v>
      </c>
      <c r="AL14" s="21" t="n">
        <f aca="false">IF(AI14=1,AD14,-999)</f>
        <v>3.2433171124117</v>
      </c>
      <c r="AM14" s="21" t="str">
        <f aca="false">C14&amp;"|"&amp;E14&amp;"|"&amp;G14&amp;"|"&amp;TEXT(AJ14,"0.00000")</f>
        <v>2|2|10|3.24332</v>
      </c>
      <c r="AN14" s="21" t="str">
        <f aca="false">C14&amp;"|"&amp;E14&amp;"|"&amp;G14&amp;"|"&amp;TEXT(AK14,"0.00000")</f>
        <v>2|2|10|3.24332</v>
      </c>
      <c r="AO14" s="21" t="str">
        <f aca="false">C14&amp;"|"&amp;E14&amp;"|"&amp;G14&amp;"|"&amp;TEXT(AL14,"0.00000")</f>
        <v>2|2|10|3.24332</v>
      </c>
    </row>
    <row r="15" customFormat="false" ht="15" hidden="false" customHeight="false" outlineLevel="0" collapsed="false">
      <c r="A15" s="20" t="n">
        <v>1</v>
      </c>
      <c r="B15" s="18" t="str">
        <f aca="false">INDEX(C_Name,A15)</f>
        <v>문래건영아파트 84㎡</v>
      </c>
      <c r="C15" s="20" t="n">
        <v>2</v>
      </c>
      <c r="D15" s="21" t="str">
        <f aca="false">CHOOSE(C15,"1안 표준형(대출 최대)","2안 절충형(대출 50%)","3안 무대출형","4안 임대차 승계 후 입주","5안 매수 보류(전세 거주)")</f>
        <v>2안 절충형(대출 50%)</v>
      </c>
      <c r="E15" s="20" t="n">
        <v>3</v>
      </c>
      <c r="F15" s="10" t="n">
        <f aca="false">CHOOSE(E15,GrowLo,GrowMid,GrowHi)</f>
        <v>0.06</v>
      </c>
      <c r="G15" s="20" t="n">
        <v>5</v>
      </c>
      <c r="H15" s="18" t="n">
        <f aca="false">INDEX(C_Price,A15)</f>
        <v>13.9</v>
      </c>
      <c r="I15" s="18" t="n">
        <f aca="false">INDEX(C_Jeonse,A15)</f>
        <v>7.228</v>
      </c>
      <c r="J15" s="21" t="n">
        <f aca="false">IF(C15=5,0,IF(C15=1,INDEX(C_Loan,A15),IF(C15=2,INDEX(C_Loan,A15)*LoanShare2,IF(C15=3,0,MIN(INDEX(C_Loan,A15),I15)))))</f>
        <v>2.78</v>
      </c>
      <c r="K15" s="18" t="n">
        <f aca="false">IF(C15=5,0,INDEX(C_Acq,A15))</f>
        <v>0.4587</v>
      </c>
      <c r="L15" s="18" t="n">
        <f aca="false">IF(C15=5,0,INDEX(C_Fee,A15))</f>
        <v>0.11174</v>
      </c>
      <c r="M15" s="21" t="n">
        <f aca="false">IF(C15=4,MAX(0,I15-J15),0)</f>
        <v>0</v>
      </c>
      <c r="N15" s="21" t="n">
        <f aca="false">IF(C15=5,I15,IF(C15=4,(H15-I15)+K15+L15+M15,H15-J15+K15+L15))</f>
        <v>11.69044</v>
      </c>
      <c r="O15" s="20" t="n">
        <f aca="false">IF(C15=4,RentYears,0)</f>
        <v>0</v>
      </c>
      <c r="P15" s="20" t="n">
        <f aca="false">IF(C15=5,0,MAX(0,G15-O15-NonRes))</f>
        <v>5</v>
      </c>
      <c r="Q15" s="21" t="n">
        <f aca="false">IF(C15=5,0,H15*(1+F15)^G15)</f>
        <v>18.60133552864</v>
      </c>
      <c r="R15" s="21" t="n">
        <f aca="false">IF(C15=5,0,Q15*LOOKUP(Q15,FeeLo,FeeR)*(1+VAT))</f>
        <v>0.143230283570528</v>
      </c>
      <c r="S15" s="21" t="n">
        <f aca="false">IF(J15&gt;0,-CUMIPMT(Rm,LoanYears*12,J15,1,(G15-O15)*12,0),0)</f>
        <v>0.530769578019715</v>
      </c>
      <c r="T15" s="29" t="n">
        <f aca="false">IF(C15=5,0,SUMIFS(Sch_Total,Sch_Idx,A15,Sch_Scen,E15,Sch_Year,"&lt;="&amp;G15))</f>
        <v>0.163713433399315</v>
      </c>
      <c r="U15" s="21" t="n">
        <f aca="false">K15+L15+R15</f>
        <v>0.713670283570528</v>
      </c>
      <c r="V15" s="21" t="n">
        <f aca="false">IF(C15=5,0,Q15-H15-U15)</f>
        <v>3.98766524506948</v>
      </c>
      <c r="W15" s="21" t="n">
        <f aca="false">IF(C15=5,0,MAX(0,IF(P15&gt;=2,IF(Q15&gt;Exempt,V15*(Q15-Exempt)/Q15,0),V15)))</f>
        <v>1.41516270259573</v>
      </c>
      <c r="X15" s="10" t="n">
        <f aca="false">IF(P15&gt;=2,MIN(MaxDed,MIN(0.4,HoldRate*G15)+MIN(0.4,LiveRate*P15)),IF(G15&gt;=3,MIN(0.3,0.02*G15),0))</f>
        <v>0.4</v>
      </c>
      <c r="Y15" s="21" t="n">
        <f aca="false">MAX(0,W15*(1-X15)-InitDed)</f>
        <v>0.824097621557435</v>
      </c>
      <c r="Z15" s="29" t="n">
        <f aca="false">SUMPRODUCT((Y15&gt;CLo)*(Y15-CLo)*CD)*(1+LocalTax)</f>
        <v>0.154201772091163</v>
      </c>
      <c r="AA15" s="21" t="n">
        <f aca="false">K15+T15+Z15</f>
        <v>0.776615205490478</v>
      </c>
      <c r="AB15" s="29" t="n">
        <f aca="false">IF(C15=5,0,(Q15-H15)-K15-L15-R15-S15-T15-Z15)</f>
        <v>3.13898046155928</v>
      </c>
      <c r="AC15" s="21" t="n">
        <f aca="false">IF(C15=5,0,N15*((1+DepRate*(1-DepTax))^G15-1))</f>
        <v>1.56075572493274</v>
      </c>
      <c r="AD15" s="29" t="n">
        <f aca="false">IF(C15=5,0,AB15-AC15+I15*(((1+DepRate*(1-DepTax))^G15-1)-((1+DepRate*(1-DepTax))^O15-1)))</f>
        <v>2.5432134265145</v>
      </c>
      <c r="AE15" s="30" t="n">
        <f aca="false">IF(J15&gt;0,-PMT(Rm,LoanYears*12,J15)*10000,0)</f>
        <v>132.721452139398</v>
      </c>
      <c r="AF15" s="21" t="n">
        <f aca="false">IF(J15&gt;0,-PMT((Rate+Stress)/12,LoanYears*12,J15)*12/DSR,0)</f>
        <v>0.554862280979439</v>
      </c>
      <c r="AG15" s="20" t="n">
        <f aca="false">IF(N15&lt;=CapA,1,0)</f>
        <v>1</v>
      </c>
      <c r="AH15" s="20" t="n">
        <f aca="false">IF(N15&lt;=CapB,1,0)</f>
        <v>1</v>
      </c>
      <c r="AI15" s="20" t="n">
        <f aca="false">IF(N15&lt;=CapC,1,0)</f>
        <v>1</v>
      </c>
      <c r="AJ15" s="21" t="n">
        <f aca="false">IF(AG15=1,AD15,-999)</f>
        <v>2.5432134265145</v>
      </c>
      <c r="AK15" s="21" t="n">
        <f aca="false">IF(AH15=1,AD15,-999)</f>
        <v>2.5432134265145</v>
      </c>
      <c r="AL15" s="21" t="n">
        <f aca="false">IF(AI15=1,AD15,-999)</f>
        <v>2.5432134265145</v>
      </c>
      <c r="AM15" s="21" t="str">
        <f aca="false">C15&amp;"|"&amp;E15&amp;"|"&amp;G15&amp;"|"&amp;TEXT(AJ15,"0.00000")</f>
        <v>2|3|5|2.54321</v>
      </c>
      <c r="AN15" s="21" t="str">
        <f aca="false">C15&amp;"|"&amp;E15&amp;"|"&amp;G15&amp;"|"&amp;TEXT(AK15,"0.00000")</f>
        <v>2|3|5|2.54321</v>
      </c>
      <c r="AO15" s="21" t="str">
        <f aca="false">C15&amp;"|"&amp;E15&amp;"|"&amp;G15&amp;"|"&amp;TEXT(AL15,"0.00000")</f>
        <v>2|3|5|2.54321</v>
      </c>
    </row>
    <row r="16" customFormat="false" ht="15" hidden="false" customHeight="false" outlineLevel="0" collapsed="false">
      <c r="A16" s="20" t="n">
        <v>1</v>
      </c>
      <c r="B16" s="18" t="str">
        <f aca="false">INDEX(C_Name,A16)</f>
        <v>문래건영아파트 84㎡</v>
      </c>
      <c r="C16" s="20" t="n">
        <v>2</v>
      </c>
      <c r="D16" s="21" t="str">
        <f aca="false">CHOOSE(C16,"1안 표준형(대출 최대)","2안 절충형(대출 50%)","3안 무대출형","4안 임대차 승계 후 입주","5안 매수 보류(전세 거주)")</f>
        <v>2안 절충형(대출 50%)</v>
      </c>
      <c r="E16" s="20" t="n">
        <v>3</v>
      </c>
      <c r="F16" s="10" t="n">
        <f aca="false">CHOOSE(E16,GrowLo,GrowMid,GrowHi)</f>
        <v>0.06</v>
      </c>
      <c r="G16" s="20" t="n">
        <v>10</v>
      </c>
      <c r="H16" s="18" t="n">
        <f aca="false">INDEX(C_Price,A16)</f>
        <v>13.9</v>
      </c>
      <c r="I16" s="18" t="n">
        <f aca="false">INDEX(C_Jeonse,A16)</f>
        <v>7.228</v>
      </c>
      <c r="J16" s="21" t="n">
        <f aca="false">IF(C16=5,0,IF(C16=1,INDEX(C_Loan,A16),IF(C16=2,INDEX(C_Loan,A16)*LoanShare2,IF(C16=3,0,MIN(INDEX(C_Loan,A16),I16)))))</f>
        <v>2.78</v>
      </c>
      <c r="K16" s="18" t="n">
        <f aca="false">IF(C16=5,0,INDEX(C_Acq,A16))</f>
        <v>0.4587</v>
      </c>
      <c r="L16" s="18" t="n">
        <f aca="false">IF(C16=5,0,INDEX(C_Fee,A16))</f>
        <v>0.11174</v>
      </c>
      <c r="M16" s="21" t="n">
        <f aca="false">IF(C16=4,MAX(0,I16-J16),0)</f>
        <v>0</v>
      </c>
      <c r="N16" s="21" t="n">
        <f aca="false">IF(C16=5,I16,IF(C16=4,(H16-I16)+K16+L16+M16,H16-J16+K16+L16))</f>
        <v>11.69044</v>
      </c>
      <c r="O16" s="20" t="n">
        <f aca="false">IF(C16=4,RentYears,0)</f>
        <v>0</v>
      </c>
      <c r="P16" s="20" t="n">
        <f aca="false">IF(C16=5,0,MAX(0,G16-O16-NonRes))</f>
        <v>10</v>
      </c>
      <c r="Q16" s="21" t="n">
        <f aca="false">IF(C16=5,0,H16*(1+F16)^G16)</f>
        <v>24.8927829819457</v>
      </c>
      <c r="R16" s="21" t="n">
        <f aca="false">IF(C16=5,0,Q16*LOOKUP(Q16,FeeLo,FeeR)*(1+VAT))</f>
        <v>0.191674428960982</v>
      </c>
      <c r="S16" s="21" t="n">
        <f aca="false">IF(J16&gt;0,-CUMIPMT(Rm,LoanYears*12,J16,1,(G16-O16)*12,0),0)</f>
        <v>1.00285149175473</v>
      </c>
      <c r="T16" s="29" t="n">
        <f aca="false">IF(C16=5,0,SUMIFS(Sch_Total,Sch_Idx,A16,Sch_Scen,E16,Sch_Year,"&lt;="&amp;G16))</f>
        <v>0.439527480018586</v>
      </c>
      <c r="U16" s="21" t="n">
        <f aca="false">K16+L16+R16</f>
        <v>0.762114428960982</v>
      </c>
      <c r="V16" s="21" t="n">
        <f aca="false">IF(C16=5,0,Q16-H16-U16)</f>
        <v>10.2306685529847</v>
      </c>
      <c r="W16" s="21" t="n">
        <f aca="false">IF(C16=5,0,MAX(0,IF(P16&gt;=2,IF(Q16&gt;Exempt,V16*(Q16-Exempt)/Q16,0),V16)))</f>
        <v>5.29879642262234</v>
      </c>
      <c r="X16" s="10" t="n">
        <f aca="false">IF(P16&gt;=2,MIN(MaxDed,MIN(0.4,HoldRate*G16)+MIN(0.4,LiveRate*P16)),IF(G16&gt;=3,MIN(0.3,0.02*G16),0))</f>
        <v>0.8</v>
      </c>
      <c r="Y16" s="21" t="n">
        <f aca="false">MAX(0,W16*(1-X16)-InitDed)</f>
        <v>1.03475928452447</v>
      </c>
      <c r="Z16" s="29" t="n">
        <f aca="false">SUMPRODUCT((Y16&gt;CLo)*(Y16-CLo)*CD)*(1+LocalTax)</f>
        <v>0.22854232454192</v>
      </c>
      <c r="AA16" s="21" t="n">
        <f aca="false">K16+T16+Z16</f>
        <v>1.12676980456051</v>
      </c>
      <c r="AB16" s="29" t="n">
        <f aca="false">IF(C16=5,0,(Q16-H16)-K16-L16-R16-S16-T16-Z16)</f>
        <v>8.55974725666946</v>
      </c>
      <c r="AC16" s="21" t="n">
        <f aca="false">IF(C16=5,0,N16*((1+DepRate*(1-DepTax))^G16-1))</f>
        <v>3.32988328470749</v>
      </c>
      <c r="AD16" s="29" t="n">
        <f aca="false">IF(C16=5,0,AB16-AC16+I16*(((1+DepRate*(1-DepTax))^G16-1)-((1+DepRate*(1-DepTax))^O16-1)))</f>
        <v>7.28867410929348</v>
      </c>
      <c r="AE16" s="30" t="n">
        <f aca="false">IF(J16&gt;0,-PMT(Rm,LoanYears*12,J16)*10000,0)</f>
        <v>132.721452139398</v>
      </c>
      <c r="AF16" s="21" t="n">
        <f aca="false">IF(J16&gt;0,-PMT((Rate+Stress)/12,LoanYears*12,J16)*12/DSR,0)</f>
        <v>0.554862280979439</v>
      </c>
      <c r="AG16" s="20" t="n">
        <f aca="false">IF(N16&lt;=CapA,1,0)</f>
        <v>1</v>
      </c>
      <c r="AH16" s="20" t="n">
        <f aca="false">IF(N16&lt;=CapB,1,0)</f>
        <v>1</v>
      </c>
      <c r="AI16" s="20" t="n">
        <f aca="false">IF(N16&lt;=CapC,1,0)</f>
        <v>1</v>
      </c>
      <c r="AJ16" s="21" t="n">
        <f aca="false">IF(AG16=1,AD16,-999)</f>
        <v>7.28867410929348</v>
      </c>
      <c r="AK16" s="21" t="n">
        <f aca="false">IF(AH16=1,AD16,-999)</f>
        <v>7.28867410929348</v>
      </c>
      <c r="AL16" s="21" t="n">
        <f aca="false">IF(AI16=1,AD16,-999)</f>
        <v>7.28867410929348</v>
      </c>
      <c r="AM16" s="21" t="str">
        <f aca="false">C16&amp;"|"&amp;E16&amp;"|"&amp;G16&amp;"|"&amp;TEXT(AJ16,"0.00000")</f>
        <v>2|3|10|7.28867</v>
      </c>
      <c r="AN16" s="21" t="str">
        <f aca="false">C16&amp;"|"&amp;E16&amp;"|"&amp;G16&amp;"|"&amp;TEXT(AK16,"0.00000")</f>
        <v>2|3|10|7.28867</v>
      </c>
      <c r="AO16" s="21" t="str">
        <f aca="false">C16&amp;"|"&amp;E16&amp;"|"&amp;G16&amp;"|"&amp;TEXT(AL16,"0.00000")</f>
        <v>2|3|10|7.28867</v>
      </c>
    </row>
    <row r="17" customFormat="false" ht="15" hidden="false" customHeight="false" outlineLevel="0" collapsed="false">
      <c r="A17" s="20" t="n">
        <v>1</v>
      </c>
      <c r="B17" s="18" t="str">
        <f aca="false">INDEX(C_Name,A17)</f>
        <v>문래건영아파트 84㎡</v>
      </c>
      <c r="C17" s="20" t="n">
        <v>3</v>
      </c>
      <c r="D17" s="21" t="str">
        <f aca="false">CHOOSE(C17,"1안 표준형(대출 최대)","2안 절충형(대출 50%)","3안 무대출형","4안 임대차 승계 후 입주","5안 매수 보류(전세 거주)")</f>
        <v>3안 무대출형</v>
      </c>
      <c r="E17" s="20" t="n">
        <v>1</v>
      </c>
      <c r="F17" s="10" t="n">
        <f aca="false">CHOOSE(E17,GrowLo,GrowMid,GrowHi)</f>
        <v>0.02</v>
      </c>
      <c r="G17" s="20" t="n">
        <v>5</v>
      </c>
      <c r="H17" s="18" t="n">
        <f aca="false">INDEX(C_Price,A17)</f>
        <v>13.9</v>
      </c>
      <c r="I17" s="18" t="n">
        <f aca="false">INDEX(C_Jeonse,A17)</f>
        <v>7.228</v>
      </c>
      <c r="J17" s="21" t="n">
        <f aca="false">IF(C17=5,0,IF(C17=1,INDEX(C_Loan,A17),IF(C17=2,INDEX(C_Loan,A17)*LoanShare2,IF(C17=3,0,MIN(INDEX(C_Loan,A17),I17)))))</f>
        <v>0</v>
      </c>
      <c r="K17" s="18" t="n">
        <f aca="false">IF(C17=5,0,INDEX(C_Acq,A17))</f>
        <v>0.4587</v>
      </c>
      <c r="L17" s="18" t="n">
        <f aca="false">IF(C17=5,0,INDEX(C_Fee,A17))</f>
        <v>0.11174</v>
      </c>
      <c r="M17" s="21" t="n">
        <f aca="false">IF(C17=4,MAX(0,I17-J17),0)</f>
        <v>0</v>
      </c>
      <c r="N17" s="21" t="n">
        <f aca="false">IF(C17=5,I17,IF(C17=4,(H17-I17)+K17+L17+M17,H17-J17+K17+L17))</f>
        <v>14.47044</v>
      </c>
      <c r="O17" s="20" t="n">
        <f aca="false">IF(C17=4,RentYears,0)</f>
        <v>0</v>
      </c>
      <c r="P17" s="20" t="n">
        <f aca="false">IF(C17=5,0,MAX(0,G17-O17-NonRes))</f>
        <v>5</v>
      </c>
      <c r="Q17" s="21" t="n">
        <f aca="false">IF(C17=5,0,H17*(1+F17)^G17)</f>
        <v>15.34672316448</v>
      </c>
      <c r="R17" s="21" t="n">
        <f aca="false">IF(C17=5,0,Q17*LOOKUP(Q17,FeeLo,FeeR)*(1+VAT))</f>
        <v>0.118169768366496</v>
      </c>
      <c r="S17" s="21" t="n">
        <f aca="false">IF(J17&gt;0,-CUMIPMT(Rm,LoanYears*12,J17,1,(G17-O17)*12,0),0)</f>
        <v>0</v>
      </c>
      <c r="T17" s="29" t="n">
        <f aca="false">IF(C17=5,0,SUMIFS(Sch_Total,Sch_Idx,A17,Sch_Scen,E17,Sch_Year,"&lt;="&amp;G17))</f>
        <v>0.147872450929363</v>
      </c>
      <c r="U17" s="21" t="n">
        <f aca="false">K17+L17+R17</f>
        <v>0.688609768366496</v>
      </c>
      <c r="V17" s="21" t="n">
        <f aca="false">IF(C17=5,0,Q17-H17-U17)</f>
        <v>0.758113396113504</v>
      </c>
      <c r="W17" s="21" t="n">
        <f aca="false">IF(C17=5,0,MAX(0,IF(P17&gt;=2,IF(Q17&gt;Exempt,V17*(Q17-Exempt)/Q17,0),V17)))</f>
        <v>0.165324912483468</v>
      </c>
      <c r="X17" s="10" t="n">
        <f aca="false">IF(P17&gt;=2,MIN(MaxDed,MIN(0.4,HoldRate*G17)+MIN(0.4,LiveRate*P17)),IF(G17&gt;=3,MIN(0.3,0.02*G17),0))</f>
        <v>0.4</v>
      </c>
      <c r="Y17" s="21" t="n">
        <f aca="false">MAX(0,W17*(1-X17)-InitDed)</f>
        <v>0.0741949474900807</v>
      </c>
      <c r="Z17" s="29" t="n">
        <f aca="false">SUMPRODUCT((Y17&gt;CLo)*(Y17-CLo)*CD)*(1+LocalTax)</f>
        <v>0.00489686653434533</v>
      </c>
      <c r="AA17" s="21" t="n">
        <f aca="false">K17+T17+Z17</f>
        <v>0.611469317463709</v>
      </c>
      <c r="AB17" s="29" t="n">
        <f aca="false">IF(C17=5,0,(Q17-H17)-K17-L17-R17-S17-T17-Z17)</f>
        <v>0.605344078649795</v>
      </c>
      <c r="AC17" s="21" t="n">
        <f aca="false">IF(C17=5,0,N17*((1+DepRate*(1-DepTax))^G17-1))</f>
        <v>1.9319052210435</v>
      </c>
      <c r="AD17" s="29" t="n">
        <f aca="false">IF(C17=5,0,AB17-AC17+I17*(((1+DepRate*(1-DepTax))^G17-1)-((1+DepRate*(1-DepTax))^O17-1)))</f>
        <v>-0.361572452505739</v>
      </c>
      <c r="AE17" s="30" t="n">
        <f aca="false">IF(J17&gt;0,-PMT(Rm,LoanYears*12,J17)*10000,0)</f>
        <v>0</v>
      </c>
      <c r="AF17" s="21" t="n">
        <f aca="false">IF(J17&gt;0,-PMT((Rate+Stress)/12,LoanYears*12,J17)*12/DSR,0)</f>
        <v>0</v>
      </c>
      <c r="AG17" s="20" t="n">
        <f aca="false">IF(N17&lt;=CapA,1,0)</f>
        <v>0</v>
      </c>
      <c r="AH17" s="20" t="n">
        <f aca="false">IF(N17&lt;=CapB,1,0)</f>
        <v>0</v>
      </c>
      <c r="AI17" s="20" t="n">
        <f aca="false">IF(N17&lt;=CapC,1,0)</f>
        <v>1</v>
      </c>
      <c r="AJ17" s="21" t="n">
        <f aca="false">IF(AG17=1,AD17,-999)</f>
        <v>-999</v>
      </c>
      <c r="AK17" s="21" t="n">
        <f aca="false">IF(AH17=1,AD17,-999)</f>
        <v>-999</v>
      </c>
      <c r="AL17" s="21" t="n">
        <f aca="false">IF(AI17=1,AD17,-999)</f>
        <v>-0.361572452505739</v>
      </c>
      <c r="AM17" s="21" t="str">
        <f aca="false">C17&amp;"|"&amp;E17&amp;"|"&amp;G17&amp;"|"&amp;TEXT(AJ17,"0.00000")</f>
        <v>3|1|5|-999.00000</v>
      </c>
      <c r="AN17" s="21" t="str">
        <f aca="false">C17&amp;"|"&amp;E17&amp;"|"&amp;G17&amp;"|"&amp;TEXT(AK17,"0.00000")</f>
        <v>3|1|5|-999.00000</v>
      </c>
      <c r="AO17" s="21" t="str">
        <f aca="false">C17&amp;"|"&amp;E17&amp;"|"&amp;G17&amp;"|"&amp;TEXT(AL17,"0.00000")</f>
        <v>3|1|5|-0.36157</v>
      </c>
    </row>
    <row r="18" customFormat="false" ht="15" hidden="false" customHeight="false" outlineLevel="0" collapsed="false">
      <c r="A18" s="20" t="n">
        <v>1</v>
      </c>
      <c r="B18" s="18" t="str">
        <f aca="false">INDEX(C_Name,A18)</f>
        <v>문래건영아파트 84㎡</v>
      </c>
      <c r="C18" s="20" t="n">
        <v>3</v>
      </c>
      <c r="D18" s="21" t="str">
        <f aca="false">CHOOSE(C18,"1안 표준형(대출 최대)","2안 절충형(대출 50%)","3안 무대출형","4안 임대차 승계 후 입주","5안 매수 보류(전세 거주)")</f>
        <v>3안 무대출형</v>
      </c>
      <c r="E18" s="20" t="n">
        <v>1</v>
      </c>
      <c r="F18" s="10" t="n">
        <f aca="false">CHOOSE(E18,GrowLo,GrowMid,GrowHi)</f>
        <v>0.02</v>
      </c>
      <c r="G18" s="20" t="n">
        <v>10</v>
      </c>
      <c r="H18" s="18" t="n">
        <f aca="false">INDEX(C_Price,A18)</f>
        <v>13.9</v>
      </c>
      <c r="I18" s="18" t="n">
        <f aca="false">INDEX(C_Jeonse,A18)</f>
        <v>7.228</v>
      </c>
      <c r="J18" s="21" t="n">
        <f aca="false">IF(C18=5,0,IF(C18=1,INDEX(C_Loan,A18),IF(C18=2,INDEX(C_Loan,A18)*LoanShare2,IF(C18=3,0,MIN(INDEX(C_Loan,A18),I18)))))</f>
        <v>0</v>
      </c>
      <c r="K18" s="18" t="n">
        <f aca="false">IF(C18=5,0,INDEX(C_Acq,A18))</f>
        <v>0.4587</v>
      </c>
      <c r="L18" s="18" t="n">
        <f aca="false">IF(C18=5,0,INDEX(C_Fee,A18))</f>
        <v>0.11174</v>
      </c>
      <c r="M18" s="21" t="n">
        <f aca="false">IF(C18=4,MAX(0,I18-J18),0)</f>
        <v>0</v>
      </c>
      <c r="N18" s="21" t="n">
        <f aca="false">IF(C18=5,I18,IF(C18=4,(H18-I18)+K18+L18+M18,H18-J18+K18+L18))</f>
        <v>14.47044</v>
      </c>
      <c r="O18" s="20" t="n">
        <f aca="false">IF(C18=4,RentYears,0)</f>
        <v>0</v>
      </c>
      <c r="P18" s="20" t="n">
        <f aca="false">IF(C18=5,0,MAX(0,G18-O18-NonRes))</f>
        <v>10</v>
      </c>
      <c r="Q18" s="21" t="n">
        <f aca="false">IF(C18=5,0,H18*(1+F18)^G18)</f>
        <v>16.9440224379271</v>
      </c>
      <c r="R18" s="21" t="n">
        <f aca="false">IF(C18=5,0,Q18*LOOKUP(Q18,FeeLo,FeeR)*(1+VAT))</f>
        <v>0.130468972772039</v>
      </c>
      <c r="S18" s="21" t="n">
        <f aca="false">IF(J18&gt;0,-CUMIPMT(Rm,LoanYears*12,J18,1,(G18-O18)*12,0),0)</f>
        <v>0</v>
      </c>
      <c r="T18" s="29" t="n">
        <f aca="false">IF(C18=5,0,SUMIFS(Sch_Total,Sch_Idx,A18,Sch_Scen,E18,Sch_Year,"&lt;="&amp;G18))</f>
        <v>0.315069839683567</v>
      </c>
      <c r="U18" s="21" t="n">
        <f aca="false">K18+L18+R18</f>
        <v>0.700908972772039</v>
      </c>
      <c r="V18" s="21" t="n">
        <f aca="false">IF(C18=5,0,Q18-H18-U18)</f>
        <v>2.34311346515509</v>
      </c>
      <c r="W18" s="21" t="n">
        <f aca="false">IF(C18=5,0,MAX(0,IF(P18&gt;=2,IF(Q18&gt;Exempt,V18*(Q18-Exempt)/Q18,0),V18)))</f>
        <v>0.683686862949713</v>
      </c>
      <c r="X18" s="10" t="n">
        <f aca="false">IF(P18&gt;=2,MIN(MaxDed,MIN(0.4,HoldRate*G18)+MIN(0.4,LiveRate*P18)),IF(G18&gt;=3,MIN(0.3,0.02*G18),0))</f>
        <v>0.8</v>
      </c>
      <c r="Y18" s="21" t="n">
        <f aca="false">MAX(0,W18*(1-X18)-InitDed)</f>
        <v>0.111737372589943</v>
      </c>
      <c r="Z18" s="29" t="n">
        <f aca="false">SUMPRODUCT((Y18&gt;CLo)*(Y18-CLo)*CD)*(1+LocalTax)</f>
        <v>0.00737466659093621</v>
      </c>
      <c r="AA18" s="21" t="n">
        <f aca="false">K18+T18+Z18</f>
        <v>0.781144506274503</v>
      </c>
      <c r="AB18" s="29" t="n">
        <f aca="false">IF(C18=5,0,(Q18-H18)-K18-L18-R18-S18-T18-Z18)</f>
        <v>2.02066895888059</v>
      </c>
      <c r="AC18" s="21" t="n">
        <f aca="false">IF(C18=5,0,N18*((1+DepRate*(1-DepTax))^G18-1))</f>
        <v>4.1217333375273</v>
      </c>
      <c r="AD18" s="29" t="n">
        <f aca="false">IF(C18=5,0,AB18-AC18+I18*(((1+DepRate*(1-DepTax))^G18-1)-((1+DepRate*(1-DepTax))^O18-1)))</f>
        <v>-0.0422542413152072</v>
      </c>
      <c r="AE18" s="30" t="n">
        <f aca="false">IF(J18&gt;0,-PMT(Rm,LoanYears*12,J18)*10000,0)</f>
        <v>0</v>
      </c>
      <c r="AF18" s="21" t="n">
        <f aca="false">IF(J18&gt;0,-PMT((Rate+Stress)/12,LoanYears*12,J18)*12/DSR,0)</f>
        <v>0</v>
      </c>
      <c r="AG18" s="20" t="n">
        <f aca="false">IF(N18&lt;=CapA,1,0)</f>
        <v>0</v>
      </c>
      <c r="AH18" s="20" t="n">
        <f aca="false">IF(N18&lt;=CapB,1,0)</f>
        <v>0</v>
      </c>
      <c r="AI18" s="20" t="n">
        <f aca="false">IF(N18&lt;=CapC,1,0)</f>
        <v>1</v>
      </c>
      <c r="AJ18" s="21" t="n">
        <f aca="false">IF(AG18=1,AD18,-999)</f>
        <v>-999</v>
      </c>
      <c r="AK18" s="21" t="n">
        <f aca="false">IF(AH18=1,AD18,-999)</f>
        <v>-999</v>
      </c>
      <c r="AL18" s="21" t="n">
        <f aca="false">IF(AI18=1,AD18,-999)</f>
        <v>-0.0422542413152072</v>
      </c>
      <c r="AM18" s="21" t="str">
        <f aca="false">C18&amp;"|"&amp;E18&amp;"|"&amp;G18&amp;"|"&amp;TEXT(AJ18,"0.00000")</f>
        <v>3|1|10|-999.00000</v>
      </c>
      <c r="AN18" s="21" t="str">
        <f aca="false">C18&amp;"|"&amp;E18&amp;"|"&amp;G18&amp;"|"&amp;TEXT(AK18,"0.00000")</f>
        <v>3|1|10|-999.00000</v>
      </c>
      <c r="AO18" s="21" t="str">
        <f aca="false">C18&amp;"|"&amp;E18&amp;"|"&amp;G18&amp;"|"&amp;TEXT(AL18,"0.00000")</f>
        <v>3|1|10|-0.04225</v>
      </c>
    </row>
    <row r="19" customFormat="false" ht="15" hidden="false" customHeight="false" outlineLevel="0" collapsed="false">
      <c r="A19" s="20" t="n">
        <v>1</v>
      </c>
      <c r="B19" s="18" t="str">
        <f aca="false">INDEX(C_Name,A19)</f>
        <v>문래건영아파트 84㎡</v>
      </c>
      <c r="C19" s="20" t="n">
        <v>3</v>
      </c>
      <c r="D19" s="21" t="str">
        <f aca="false">CHOOSE(C19,"1안 표준형(대출 최대)","2안 절충형(대출 50%)","3안 무대출형","4안 임대차 승계 후 입주","5안 매수 보류(전세 거주)")</f>
        <v>3안 무대출형</v>
      </c>
      <c r="E19" s="20" t="n">
        <v>2</v>
      </c>
      <c r="F19" s="10" t="n">
        <f aca="false">CHOOSE(E19,GrowLo,GrowMid,GrowHi)</f>
        <v>0.04</v>
      </c>
      <c r="G19" s="20" t="n">
        <v>5</v>
      </c>
      <c r="H19" s="18" t="n">
        <f aca="false">INDEX(C_Price,A19)</f>
        <v>13.9</v>
      </c>
      <c r="I19" s="18" t="n">
        <f aca="false">INDEX(C_Jeonse,A19)</f>
        <v>7.228</v>
      </c>
      <c r="J19" s="21" t="n">
        <f aca="false">IF(C19=5,0,IF(C19=1,INDEX(C_Loan,A19),IF(C19=2,INDEX(C_Loan,A19)*LoanShare2,IF(C19=3,0,MIN(INDEX(C_Loan,A19),I19)))))</f>
        <v>0</v>
      </c>
      <c r="K19" s="18" t="n">
        <f aca="false">IF(C19=5,0,INDEX(C_Acq,A19))</f>
        <v>0.4587</v>
      </c>
      <c r="L19" s="18" t="n">
        <f aca="false">IF(C19=5,0,INDEX(C_Fee,A19))</f>
        <v>0.11174</v>
      </c>
      <c r="M19" s="21" t="n">
        <f aca="false">IF(C19=4,MAX(0,I19-J19),0)</f>
        <v>0</v>
      </c>
      <c r="N19" s="21" t="n">
        <f aca="false">IF(C19=5,I19,IF(C19=4,(H19-I19)+K19+L19+M19,H19-J19+K19+L19))</f>
        <v>14.47044</v>
      </c>
      <c r="O19" s="20" t="n">
        <f aca="false">IF(C19=4,RentYears,0)</f>
        <v>0</v>
      </c>
      <c r="P19" s="20" t="n">
        <f aca="false">IF(C19=5,0,MAX(0,G19-O19-NonRes))</f>
        <v>5</v>
      </c>
      <c r="Q19" s="21" t="n">
        <f aca="false">IF(C19=5,0,H19*(1+F19)^G19)</f>
        <v>16.91147534336</v>
      </c>
      <c r="R19" s="21" t="n">
        <f aca="false">IF(C19=5,0,Q19*LOOKUP(Q19,FeeLo,FeeR)*(1+VAT))</f>
        <v>0.130218360143872</v>
      </c>
      <c r="S19" s="21" t="n">
        <f aca="false">IF(J19&gt;0,-CUMIPMT(Rm,LoanYears*12,J19,1,(G19-O19)*12,0),0)</f>
        <v>0</v>
      </c>
      <c r="T19" s="29" t="n">
        <f aca="false">IF(C19=5,0,SUMIFS(Sch_Total,Sch_Idx,A19,Sch_Scen,E19,Sch_Year,"&lt;="&amp;G19))</f>
        <v>0.155446372783411</v>
      </c>
      <c r="U19" s="21" t="n">
        <f aca="false">K19+L19+R19</f>
        <v>0.700658360143872</v>
      </c>
      <c r="V19" s="21" t="n">
        <f aca="false">IF(C19=5,0,Q19-H19-U19)</f>
        <v>2.31081698321613</v>
      </c>
      <c r="W19" s="21" t="n">
        <f aca="false">IF(C19=5,0,MAX(0,IF(P19&gt;=2,IF(Q19&gt;Exempt,V19*(Q19-Exempt)/Q19,0),V19)))</f>
        <v>0.671113572627462</v>
      </c>
      <c r="X19" s="10" t="n">
        <f aca="false">IF(P19&gt;=2,MIN(MaxDed,MIN(0.4,HoldRate*G19)+MIN(0.4,LiveRate*P19)),IF(G19&gt;=3,MIN(0.3,0.02*G19),0))</f>
        <v>0.4</v>
      </c>
      <c r="Y19" s="21" t="n">
        <f aca="false">MAX(0,W19*(1-X19)-InitDed)</f>
        <v>0.377668143576477</v>
      </c>
      <c r="Z19" s="29" t="n">
        <f aca="false">SUMPRODUCT((Y19&gt;CLo)*(Y19-CLo)*CD)*(1+LocalTax)</f>
        <v>0.0484552436901188</v>
      </c>
      <c r="AA19" s="21" t="n">
        <f aca="false">K19+T19+Z19</f>
        <v>0.66260161647353</v>
      </c>
      <c r="AB19" s="29" t="n">
        <f aca="false">IF(C19=5,0,(Q19-H19)-K19-L19-R19-S19-T19-Z19)</f>
        <v>2.1069153667426</v>
      </c>
      <c r="AC19" s="21" t="n">
        <f aca="false">IF(C19=5,0,N19*((1+DepRate*(1-DepTax))^G19-1))</f>
        <v>1.9319052210435</v>
      </c>
      <c r="AD19" s="29" t="n">
        <f aca="false">IF(C19=5,0,AB19-AC19+I19*(((1+DepRate*(1-DepTax))^G19-1)-((1+DepRate*(1-DepTax))^O19-1)))</f>
        <v>1.13999883558707</v>
      </c>
      <c r="AE19" s="30" t="n">
        <f aca="false">IF(J19&gt;0,-PMT(Rm,LoanYears*12,J19)*10000,0)</f>
        <v>0</v>
      </c>
      <c r="AF19" s="21" t="n">
        <f aca="false">IF(J19&gt;0,-PMT((Rate+Stress)/12,LoanYears*12,J19)*12/DSR,0)</f>
        <v>0</v>
      </c>
      <c r="AG19" s="20" t="n">
        <f aca="false">IF(N19&lt;=CapA,1,0)</f>
        <v>0</v>
      </c>
      <c r="AH19" s="20" t="n">
        <f aca="false">IF(N19&lt;=CapB,1,0)</f>
        <v>0</v>
      </c>
      <c r="AI19" s="20" t="n">
        <f aca="false">IF(N19&lt;=CapC,1,0)</f>
        <v>1</v>
      </c>
      <c r="AJ19" s="21" t="n">
        <f aca="false">IF(AG19=1,AD19,-999)</f>
        <v>-999</v>
      </c>
      <c r="AK19" s="21" t="n">
        <f aca="false">IF(AH19=1,AD19,-999)</f>
        <v>-999</v>
      </c>
      <c r="AL19" s="21" t="n">
        <f aca="false">IF(AI19=1,AD19,-999)</f>
        <v>1.13999883558707</v>
      </c>
      <c r="AM19" s="21" t="str">
        <f aca="false">C19&amp;"|"&amp;E19&amp;"|"&amp;G19&amp;"|"&amp;TEXT(AJ19,"0.00000")</f>
        <v>3|2|5|-999.00000</v>
      </c>
      <c r="AN19" s="21" t="str">
        <f aca="false">C19&amp;"|"&amp;E19&amp;"|"&amp;G19&amp;"|"&amp;TEXT(AK19,"0.00000")</f>
        <v>3|2|5|-999.00000</v>
      </c>
      <c r="AO19" s="21" t="str">
        <f aca="false">C19&amp;"|"&amp;E19&amp;"|"&amp;G19&amp;"|"&amp;TEXT(AL19,"0.00000")</f>
        <v>3|2|5|1.14000</v>
      </c>
    </row>
    <row r="20" customFormat="false" ht="15" hidden="false" customHeight="false" outlineLevel="0" collapsed="false">
      <c r="A20" s="20" t="n">
        <v>1</v>
      </c>
      <c r="B20" s="18" t="str">
        <f aca="false">INDEX(C_Name,A20)</f>
        <v>문래건영아파트 84㎡</v>
      </c>
      <c r="C20" s="20" t="n">
        <v>3</v>
      </c>
      <c r="D20" s="21" t="str">
        <f aca="false">CHOOSE(C20,"1안 표준형(대출 최대)","2안 절충형(대출 50%)","3안 무대출형","4안 임대차 승계 후 입주","5안 매수 보류(전세 거주)")</f>
        <v>3안 무대출형</v>
      </c>
      <c r="E20" s="20" t="n">
        <v>2</v>
      </c>
      <c r="F20" s="10" t="n">
        <f aca="false">CHOOSE(E20,GrowLo,GrowMid,GrowHi)</f>
        <v>0.04</v>
      </c>
      <c r="G20" s="20" t="n">
        <v>10</v>
      </c>
      <c r="H20" s="18" t="n">
        <f aca="false">INDEX(C_Price,A20)</f>
        <v>13.9</v>
      </c>
      <c r="I20" s="18" t="n">
        <f aca="false">INDEX(C_Jeonse,A20)</f>
        <v>7.228</v>
      </c>
      <c r="J20" s="21" t="n">
        <f aca="false">IF(C20=5,0,IF(C20=1,INDEX(C_Loan,A20),IF(C20=2,INDEX(C_Loan,A20)*LoanShare2,IF(C20=3,0,MIN(INDEX(C_Loan,A20),I20)))))</f>
        <v>0</v>
      </c>
      <c r="K20" s="18" t="n">
        <f aca="false">IF(C20=5,0,INDEX(C_Acq,A20))</f>
        <v>0.4587</v>
      </c>
      <c r="L20" s="18" t="n">
        <f aca="false">IF(C20=5,0,INDEX(C_Fee,A20))</f>
        <v>0.11174</v>
      </c>
      <c r="M20" s="21" t="n">
        <f aca="false">IF(C20=4,MAX(0,I20-J20),0)</f>
        <v>0</v>
      </c>
      <c r="N20" s="21" t="n">
        <f aca="false">IF(C20=5,I20,IF(C20=4,(H20-I20)+K20+L20+M20,H20-J20+K20+L20))</f>
        <v>14.47044</v>
      </c>
      <c r="O20" s="20" t="n">
        <f aca="false">IF(C20=4,RentYears,0)</f>
        <v>0</v>
      </c>
      <c r="P20" s="20" t="n">
        <f aca="false">IF(C20=5,0,MAX(0,G20-O20-NonRes))</f>
        <v>10</v>
      </c>
      <c r="Q20" s="21" t="n">
        <f aca="false">IF(C20=5,0,H20*(1+F20)^G20)</f>
        <v>20.575395560365</v>
      </c>
      <c r="R20" s="21" t="n">
        <f aca="false">IF(C20=5,0,Q20*LOOKUP(Q20,FeeLo,FeeR)*(1+VAT))</f>
        <v>0.15843054581481</v>
      </c>
      <c r="S20" s="21" t="n">
        <f aca="false">IF(J20&gt;0,-CUMIPMT(Rm,LoanYears*12,J20,1,(G20-O20)*12,0),0)</f>
        <v>0</v>
      </c>
      <c r="T20" s="29" t="n">
        <f aca="false">IF(C20=5,0,SUMIFS(Sch_Total,Sch_Idx,A20,Sch_Scen,E20,Sch_Year,"&lt;="&amp;G20))</f>
        <v>0.365481473831724</v>
      </c>
      <c r="U20" s="21" t="n">
        <f aca="false">K20+L20+R20</f>
        <v>0.728870545814811</v>
      </c>
      <c r="V20" s="21" t="n">
        <f aca="false">IF(C20=5,0,Q20-H20-U20)</f>
        <v>5.94652501455018</v>
      </c>
      <c r="W20" s="21" t="n">
        <f aca="false">IF(C20=5,0,MAX(0,IF(P20&gt;=2,IF(Q20&gt;Exempt,V20*(Q20-Exempt)/Q20,0),V20)))</f>
        <v>2.47838755078925</v>
      </c>
      <c r="X20" s="10" t="n">
        <f aca="false">IF(P20&gt;=2,MIN(MaxDed,MIN(0.4,HoldRate*G20)+MIN(0.4,LiveRate*P20)),IF(G20&gt;=3,MIN(0.3,0.02*G20),0))</f>
        <v>0.8</v>
      </c>
      <c r="Y20" s="21" t="n">
        <f aca="false">MAX(0,W20*(1-X20)-InitDed)</f>
        <v>0.470677510157849</v>
      </c>
      <c r="Z20" s="29" t="n">
        <f aca="false">SUMPRODUCT((Y20&gt;CLo)*(Y20-CLo)*CD)*(1+LocalTax)</f>
        <v>0.0638017891760452</v>
      </c>
      <c r="AA20" s="21" t="n">
        <f aca="false">K20+T20+Z20</f>
        <v>0.887983263007769</v>
      </c>
      <c r="AB20" s="29" t="n">
        <f aca="false">IF(C20=5,0,(Q20-H20)-K20-L20-R20-S20-T20-Z20)</f>
        <v>5.51724175154241</v>
      </c>
      <c r="AC20" s="21" t="n">
        <f aca="false">IF(C20=5,0,N20*((1+DepRate*(1-DepTax))^G20-1))</f>
        <v>4.1217333375273</v>
      </c>
      <c r="AD20" s="29" t="n">
        <f aca="false">IF(C20=5,0,AB20-AC20+I20*(((1+DepRate*(1-DepTax))^G20-1)-((1+DepRate*(1-DepTax))^O20-1)))</f>
        <v>3.45431855134662</v>
      </c>
      <c r="AE20" s="30" t="n">
        <f aca="false">IF(J20&gt;0,-PMT(Rm,LoanYears*12,J20)*10000,0)</f>
        <v>0</v>
      </c>
      <c r="AF20" s="21" t="n">
        <f aca="false">IF(J20&gt;0,-PMT((Rate+Stress)/12,LoanYears*12,J20)*12/DSR,0)</f>
        <v>0</v>
      </c>
      <c r="AG20" s="20" t="n">
        <f aca="false">IF(N20&lt;=CapA,1,0)</f>
        <v>0</v>
      </c>
      <c r="AH20" s="20" t="n">
        <f aca="false">IF(N20&lt;=CapB,1,0)</f>
        <v>0</v>
      </c>
      <c r="AI20" s="20" t="n">
        <f aca="false">IF(N20&lt;=CapC,1,0)</f>
        <v>1</v>
      </c>
      <c r="AJ20" s="21" t="n">
        <f aca="false">IF(AG20=1,AD20,-999)</f>
        <v>-999</v>
      </c>
      <c r="AK20" s="21" t="n">
        <f aca="false">IF(AH20=1,AD20,-999)</f>
        <v>-999</v>
      </c>
      <c r="AL20" s="21" t="n">
        <f aca="false">IF(AI20=1,AD20,-999)</f>
        <v>3.45431855134662</v>
      </c>
      <c r="AM20" s="21" t="str">
        <f aca="false">C20&amp;"|"&amp;E20&amp;"|"&amp;G20&amp;"|"&amp;TEXT(AJ20,"0.00000")</f>
        <v>3|2|10|-999.00000</v>
      </c>
      <c r="AN20" s="21" t="str">
        <f aca="false">C20&amp;"|"&amp;E20&amp;"|"&amp;G20&amp;"|"&amp;TEXT(AK20,"0.00000")</f>
        <v>3|2|10|-999.00000</v>
      </c>
      <c r="AO20" s="21" t="str">
        <f aca="false">C20&amp;"|"&amp;E20&amp;"|"&amp;G20&amp;"|"&amp;TEXT(AL20,"0.00000")</f>
        <v>3|2|10|3.45432</v>
      </c>
    </row>
    <row r="21" customFormat="false" ht="15" hidden="false" customHeight="false" outlineLevel="0" collapsed="false">
      <c r="A21" s="20" t="n">
        <v>1</v>
      </c>
      <c r="B21" s="18" t="str">
        <f aca="false">INDEX(C_Name,A21)</f>
        <v>문래건영아파트 84㎡</v>
      </c>
      <c r="C21" s="20" t="n">
        <v>3</v>
      </c>
      <c r="D21" s="21" t="str">
        <f aca="false">CHOOSE(C21,"1안 표준형(대출 최대)","2안 절충형(대출 50%)","3안 무대출형","4안 임대차 승계 후 입주","5안 매수 보류(전세 거주)")</f>
        <v>3안 무대출형</v>
      </c>
      <c r="E21" s="20" t="n">
        <v>3</v>
      </c>
      <c r="F21" s="10" t="n">
        <f aca="false">CHOOSE(E21,GrowLo,GrowMid,GrowHi)</f>
        <v>0.06</v>
      </c>
      <c r="G21" s="20" t="n">
        <v>5</v>
      </c>
      <c r="H21" s="18" t="n">
        <f aca="false">INDEX(C_Price,A21)</f>
        <v>13.9</v>
      </c>
      <c r="I21" s="18" t="n">
        <f aca="false">INDEX(C_Jeonse,A21)</f>
        <v>7.228</v>
      </c>
      <c r="J21" s="21" t="n">
        <f aca="false">IF(C21=5,0,IF(C21=1,INDEX(C_Loan,A21),IF(C21=2,INDEX(C_Loan,A21)*LoanShare2,IF(C21=3,0,MIN(INDEX(C_Loan,A21),I21)))))</f>
        <v>0</v>
      </c>
      <c r="K21" s="18" t="n">
        <f aca="false">IF(C21=5,0,INDEX(C_Acq,A21))</f>
        <v>0.4587</v>
      </c>
      <c r="L21" s="18" t="n">
        <f aca="false">IF(C21=5,0,INDEX(C_Fee,A21))</f>
        <v>0.11174</v>
      </c>
      <c r="M21" s="21" t="n">
        <f aca="false">IF(C21=4,MAX(0,I21-J21),0)</f>
        <v>0</v>
      </c>
      <c r="N21" s="21" t="n">
        <f aca="false">IF(C21=5,I21,IF(C21=4,(H21-I21)+K21+L21+M21,H21-J21+K21+L21))</f>
        <v>14.47044</v>
      </c>
      <c r="O21" s="20" t="n">
        <f aca="false">IF(C21=4,RentYears,0)</f>
        <v>0</v>
      </c>
      <c r="P21" s="20" t="n">
        <f aca="false">IF(C21=5,0,MAX(0,G21-O21-NonRes))</f>
        <v>5</v>
      </c>
      <c r="Q21" s="21" t="n">
        <f aca="false">IF(C21=5,0,H21*(1+F21)^G21)</f>
        <v>18.60133552864</v>
      </c>
      <c r="R21" s="21" t="n">
        <f aca="false">IF(C21=5,0,Q21*LOOKUP(Q21,FeeLo,FeeR)*(1+VAT))</f>
        <v>0.143230283570528</v>
      </c>
      <c r="S21" s="21" t="n">
        <f aca="false">IF(J21&gt;0,-CUMIPMT(Rm,LoanYears*12,J21,1,(G21-O21)*12,0),0)</f>
        <v>0</v>
      </c>
      <c r="T21" s="29" t="n">
        <f aca="false">IF(C21=5,0,SUMIFS(Sch_Total,Sch_Idx,A21,Sch_Scen,E21,Sch_Year,"&lt;="&amp;G21))</f>
        <v>0.163713433399315</v>
      </c>
      <c r="U21" s="21" t="n">
        <f aca="false">K21+L21+R21</f>
        <v>0.713670283570528</v>
      </c>
      <c r="V21" s="21" t="n">
        <f aca="false">IF(C21=5,0,Q21-H21-U21)</f>
        <v>3.98766524506948</v>
      </c>
      <c r="W21" s="21" t="n">
        <f aca="false">IF(C21=5,0,MAX(0,IF(P21&gt;=2,IF(Q21&gt;Exempt,V21*(Q21-Exempt)/Q21,0),V21)))</f>
        <v>1.41516270259573</v>
      </c>
      <c r="X21" s="10" t="n">
        <f aca="false">IF(P21&gt;=2,MIN(MaxDed,MIN(0.4,HoldRate*G21)+MIN(0.4,LiveRate*P21)),IF(G21&gt;=3,MIN(0.3,0.02*G21),0))</f>
        <v>0.4</v>
      </c>
      <c r="Y21" s="21" t="n">
        <f aca="false">MAX(0,W21*(1-X21)-InitDed)</f>
        <v>0.824097621557435</v>
      </c>
      <c r="Z21" s="29" t="n">
        <f aca="false">SUMPRODUCT((Y21&gt;CLo)*(Y21-CLo)*CD)*(1+LocalTax)</f>
        <v>0.154201772091163</v>
      </c>
      <c r="AA21" s="21" t="n">
        <f aca="false">K21+T21+Z21</f>
        <v>0.776615205490478</v>
      </c>
      <c r="AB21" s="29" t="n">
        <f aca="false">IF(C21=5,0,(Q21-H21)-K21-L21-R21-S21-T21-Z21)</f>
        <v>3.669750039579</v>
      </c>
      <c r="AC21" s="21" t="n">
        <f aca="false">IF(C21=5,0,N21*((1+DepRate*(1-DepTax))^G21-1))</f>
        <v>1.9319052210435</v>
      </c>
      <c r="AD21" s="29" t="n">
        <f aca="false">IF(C21=5,0,AB21-AC21+I21*(((1+DepRate*(1-DepTax))^G21-1)-((1+DepRate*(1-DepTax))^O21-1)))</f>
        <v>2.70283350842346</v>
      </c>
      <c r="AE21" s="30" t="n">
        <f aca="false">IF(J21&gt;0,-PMT(Rm,LoanYears*12,J21)*10000,0)</f>
        <v>0</v>
      </c>
      <c r="AF21" s="21" t="n">
        <f aca="false">IF(J21&gt;0,-PMT((Rate+Stress)/12,LoanYears*12,J21)*12/DSR,0)</f>
        <v>0</v>
      </c>
      <c r="AG21" s="20" t="n">
        <f aca="false">IF(N21&lt;=CapA,1,0)</f>
        <v>0</v>
      </c>
      <c r="AH21" s="20" t="n">
        <f aca="false">IF(N21&lt;=CapB,1,0)</f>
        <v>0</v>
      </c>
      <c r="AI21" s="20" t="n">
        <f aca="false">IF(N21&lt;=CapC,1,0)</f>
        <v>1</v>
      </c>
      <c r="AJ21" s="21" t="n">
        <f aca="false">IF(AG21=1,AD21,-999)</f>
        <v>-999</v>
      </c>
      <c r="AK21" s="21" t="n">
        <f aca="false">IF(AH21=1,AD21,-999)</f>
        <v>-999</v>
      </c>
      <c r="AL21" s="21" t="n">
        <f aca="false">IF(AI21=1,AD21,-999)</f>
        <v>2.70283350842346</v>
      </c>
      <c r="AM21" s="21" t="str">
        <f aca="false">C21&amp;"|"&amp;E21&amp;"|"&amp;G21&amp;"|"&amp;TEXT(AJ21,"0.00000")</f>
        <v>3|3|5|-999.00000</v>
      </c>
      <c r="AN21" s="21" t="str">
        <f aca="false">C21&amp;"|"&amp;E21&amp;"|"&amp;G21&amp;"|"&amp;TEXT(AK21,"0.00000")</f>
        <v>3|3|5|-999.00000</v>
      </c>
      <c r="AO21" s="21" t="str">
        <f aca="false">C21&amp;"|"&amp;E21&amp;"|"&amp;G21&amp;"|"&amp;TEXT(AL21,"0.00000")</f>
        <v>3|3|5|2.70283</v>
      </c>
    </row>
    <row r="22" customFormat="false" ht="15" hidden="false" customHeight="false" outlineLevel="0" collapsed="false">
      <c r="A22" s="20" t="n">
        <v>1</v>
      </c>
      <c r="B22" s="18" t="str">
        <f aca="false">INDEX(C_Name,A22)</f>
        <v>문래건영아파트 84㎡</v>
      </c>
      <c r="C22" s="20" t="n">
        <v>3</v>
      </c>
      <c r="D22" s="21" t="str">
        <f aca="false">CHOOSE(C22,"1안 표준형(대출 최대)","2안 절충형(대출 50%)","3안 무대출형","4안 임대차 승계 후 입주","5안 매수 보류(전세 거주)")</f>
        <v>3안 무대출형</v>
      </c>
      <c r="E22" s="20" t="n">
        <v>3</v>
      </c>
      <c r="F22" s="10" t="n">
        <f aca="false">CHOOSE(E22,GrowLo,GrowMid,GrowHi)</f>
        <v>0.06</v>
      </c>
      <c r="G22" s="20" t="n">
        <v>10</v>
      </c>
      <c r="H22" s="18" t="n">
        <f aca="false">INDEX(C_Price,A22)</f>
        <v>13.9</v>
      </c>
      <c r="I22" s="18" t="n">
        <f aca="false">INDEX(C_Jeonse,A22)</f>
        <v>7.228</v>
      </c>
      <c r="J22" s="21" t="n">
        <f aca="false">IF(C22=5,0,IF(C22=1,INDEX(C_Loan,A22),IF(C22=2,INDEX(C_Loan,A22)*LoanShare2,IF(C22=3,0,MIN(INDEX(C_Loan,A22),I22)))))</f>
        <v>0</v>
      </c>
      <c r="K22" s="18" t="n">
        <f aca="false">IF(C22=5,0,INDEX(C_Acq,A22))</f>
        <v>0.4587</v>
      </c>
      <c r="L22" s="18" t="n">
        <f aca="false">IF(C22=5,0,INDEX(C_Fee,A22))</f>
        <v>0.11174</v>
      </c>
      <c r="M22" s="21" t="n">
        <f aca="false">IF(C22=4,MAX(0,I22-J22),0)</f>
        <v>0</v>
      </c>
      <c r="N22" s="21" t="n">
        <f aca="false">IF(C22=5,I22,IF(C22=4,(H22-I22)+K22+L22+M22,H22-J22+K22+L22))</f>
        <v>14.47044</v>
      </c>
      <c r="O22" s="20" t="n">
        <f aca="false">IF(C22=4,RentYears,0)</f>
        <v>0</v>
      </c>
      <c r="P22" s="20" t="n">
        <f aca="false">IF(C22=5,0,MAX(0,G22-O22-NonRes))</f>
        <v>10</v>
      </c>
      <c r="Q22" s="21" t="n">
        <f aca="false">IF(C22=5,0,H22*(1+F22)^G22)</f>
        <v>24.8927829819457</v>
      </c>
      <c r="R22" s="21" t="n">
        <f aca="false">IF(C22=5,0,Q22*LOOKUP(Q22,FeeLo,FeeR)*(1+VAT))</f>
        <v>0.191674428960982</v>
      </c>
      <c r="S22" s="21" t="n">
        <f aca="false">IF(J22&gt;0,-CUMIPMT(Rm,LoanYears*12,J22,1,(G22-O22)*12,0),0)</f>
        <v>0</v>
      </c>
      <c r="T22" s="29" t="n">
        <f aca="false">IF(C22=5,0,SUMIFS(Sch_Total,Sch_Idx,A22,Sch_Scen,E22,Sch_Year,"&lt;="&amp;G22))</f>
        <v>0.439527480018586</v>
      </c>
      <c r="U22" s="21" t="n">
        <f aca="false">K22+L22+R22</f>
        <v>0.762114428960982</v>
      </c>
      <c r="V22" s="21" t="n">
        <f aca="false">IF(C22=5,0,Q22-H22-U22)</f>
        <v>10.2306685529847</v>
      </c>
      <c r="W22" s="21" t="n">
        <f aca="false">IF(C22=5,0,MAX(0,IF(P22&gt;=2,IF(Q22&gt;Exempt,V22*(Q22-Exempt)/Q22,0),V22)))</f>
        <v>5.29879642262234</v>
      </c>
      <c r="X22" s="10" t="n">
        <f aca="false">IF(P22&gt;=2,MIN(MaxDed,MIN(0.4,HoldRate*G22)+MIN(0.4,LiveRate*P22)),IF(G22&gt;=3,MIN(0.3,0.02*G22),0))</f>
        <v>0.8</v>
      </c>
      <c r="Y22" s="21" t="n">
        <f aca="false">MAX(0,W22*(1-X22)-InitDed)</f>
        <v>1.03475928452447</v>
      </c>
      <c r="Z22" s="29" t="n">
        <f aca="false">SUMPRODUCT((Y22&gt;CLo)*(Y22-CLo)*CD)*(1+LocalTax)</f>
        <v>0.22854232454192</v>
      </c>
      <c r="AA22" s="21" t="n">
        <f aca="false">K22+T22+Z22</f>
        <v>1.12676980456051</v>
      </c>
      <c r="AB22" s="29" t="n">
        <f aca="false">IF(C22=5,0,(Q22-H22)-K22-L22-R22-S22-T22-Z22)</f>
        <v>9.56259874842419</v>
      </c>
      <c r="AC22" s="21" t="n">
        <f aca="false">IF(C22=5,0,N22*((1+DepRate*(1-DepTax))^G22-1))</f>
        <v>4.1217333375273</v>
      </c>
      <c r="AD22" s="29" t="n">
        <f aca="false">IF(C22=5,0,AB22-AC22+I22*(((1+DepRate*(1-DepTax))^G22-1)-((1+DepRate*(1-DepTax))^O22-1)))</f>
        <v>7.4996755482284</v>
      </c>
      <c r="AE22" s="30" t="n">
        <f aca="false">IF(J22&gt;0,-PMT(Rm,LoanYears*12,J22)*10000,0)</f>
        <v>0</v>
      </c>
      <c r="AF22" s="21" t="n">
        <f aca="false">IF(J22&gt;0,-PMT((Rate+Stress)/12,LoanYears*12,J22)*12/DSR,0)</f>
        <v>0</v>
      </c>
      <c r="AG22" s="20" t="n">
        <f aca="false">IF(N22&lt;=CapA,1,0)</f>
        <v>0</v>
      </c>
      <c r="AH22" s="20" t="n">
        <f aca="false">IF(N22&lt;=CapB,1,0)</f>
        <v>0</v>
      </c>
      <c r="AI22" s="20" t="n">
        <f aca="false">IF(N22&lt;=CapC,1,0)</f>
        <v>1</v>
      </c>
      <c r="AJ22" s="21" t="n">
        <f aca="false">IF(AG22=1,AD22,-999)</f>
        <v>-999</v>
      </c>
      <c r="AK22" s="21" t="n">
        <f aca="false">IF(AH22=1,AD22,-999)</f>
        <v>-999</v>
      </c>
      <c r="AL22" s="21" t="n">
        <f aca="false">IF(AI22=1,AD22,-999)</f>
        <v>7.4996755482284</v>
      </c>
      <c r="AM22" s="21" t="str">
        <f aca="false">C22&amp;"|"&amp;E22&amp;"|"&amp;G22&amp;"|"&amp;TEXT(AJ22,"0.00000")</f>
        <v>3|3|10|-999.00000</v>
      </c>
      <c r="AN22" s="21" t="str">
        <f aca="false">C22&amp;"|"&amp;E22&amp;"|"&amp;G22&amp;"|"&amp;TEXT(AK22,"0.00000")</f>
        <v>3|3|10|-999.00000</v>
      </c>
      <c r="AO22" s="21" t="str">
        <f aca="false">C22&amp;"|"&amp;E22&amp;"|"&amp;G22&amp;"|"&amp;TEXT(AL22,"0.00000")</f>
        <v>3|3|10|7.49968</v>
      </c>
    </row>
    <row r="23" customFormat="false" ht="15" hidden="false" customHeight="false" outlineLevel="0" collapsed="false">
      <c r="A23" s="20" t="n">
        <v>1</v>
      </c>
      <c r="B23" s="18" t="str">
        <f aca="false">INDEX(C_Name,A23)</f>
        <v>문래건영아파트 84㎡</v>
      </c>
      <c r="C23" s="20" t="n">
        <v>4</v>
      </c>
      <c r="D23" s="21" t="str">
        <f aca="false">CHOOSE(C23,"1안 표준형(대출 최대)","2안 절충형(대출 50%)","3안 무대출형","4안 임대차 승계 후 입주","5안 매수 보류(전세 거주)")</f>
        <v>4안 임대차 승계 후 입주</v>
      </c>
      <c r="E23" s="20" t="n">
        <v>1</v>
      </c>
      <c r="F23" s="10" t="n">
        <f aca="false">CHOOSE(E23,GrowLo,GrowMid,GrowHi)</f>
        <v>0.02</v>
      </c>
      <c r="G23" s="20" t="n">
        <v>5</v>
      </c>
      <c r="H23" s="18" t="n">
        <f aca="false">INDEX(C_Price,A23)</f>
        <v>13.9</v>
      </c>
      <c r="I23" s="18" t="n">
        <f aca="false">INDEX(C_Jeonse,A23)</f>
        <v>7.228</v>
      </c>
      <c r="J23" s="21" t="n">
        <f aca="false">IF(C23=5,0,IF(C23=1,INDEX(C_Loan,A23),IF(C23=2,INDEX(C_Loan,A23)*LoanShare2,IF(C23=3,0,MIN(INDEX(C_Loan,A23),I23)))))</f>
        <v>5.56</v>
      </c>
      <c r="K23" s="18" t="n">
        <f aca="false">IF(C23=5,0,INDEX(C_Acq,A23))</f>
        <v>0.4587</v>
      </c>
      <c r="L23" s="18" t="n">
        <f aca="false">IF(C23=5,0,INDEX(C_Fee,A23))</f>
        <v>0.11174</v>
      </c>
      <c r="M23" s="21" t="n">
        <f aca="false">IF(C23=4,MAX(0,I23-J23),0)</f>
        <v>1.668</v>
      </c>
      <c r="N23" s="21" t="n">
        <f aca="false">IF(C23=5,I23,IF(C23=4,(H23-I23)+K23+L23+M23,H23-J23+K23+L23))</f>
        <v>8.91044</v>
      </c>
      <c r="O23" s="20" t="n">
        <f aca="false">IF(C23=4,RentYears,0)</f>
        <v>2</v>
      </c>
      <c r="P23" s="20" t="n">
        <f aca="false">IF(C23=5,0,MAX(0,G23-O23-NonRes))</f>
        <v>3</v>
      </c>
      <c r="Q23" s="21" t="n">
        <f aca="false">IF(C23=5,0,H23*(1+F23)^G23)</f>
        <v>15.34672316448</v>
      </c>
      <c r="R23" s="21" t="n">
        <f aca="false">IF(C23=5,0,Q23*LOOKUP(Q23,FeeLo,FeeR)*(1+VAT))</f>
        <v>0.118169768366496</v>
      </c>
      <c r="S23" s="21" t="n">
        <f aca="false">IF(J23&gt;0,-CUMIPMT(Rm,LoanYears*12,J23,1,(G23-O23)*12,0),0)</f>
        <v>0.649723597572026</v>
      </c>
      <c r="T23" s="29" t="n">
        <f aca="false">IF(C23=5,0,SUMIFS(Sch_Total,Sch_Idx,A23,Sch_Scen,E23,Sch_Year,"&lt;="&amp;G23))</f>
        <v>0.147872450929363</v>
      </c>
      <c r="U23" s="21" t="n">
        <f aca="false">K23+L23+R23</f>
        <v>0.688609768366496</v>
      </c>
      <c r="V23" s="21" t="n">
        <f aca="false">IF(C23=5,0,Q23-H23-U23)</f>
        <v>0.758113396113504</v>
      </c>
      <c r="W23" s="21" t="n">
        <f aca="false">IF(C23=5,0,MAX(0,IF(P23&gt;=2,IF(Q23&gt;Exempt,V23*(Q23-Exempt)/Q23,0),V23)))</f>
        <v>0.165324912483468</v>
      </c>
      <c r="X23" s="10" t="n">
        <f aca="false">IF(P23&gt;=2,MIN(MaxDed,MIN(0.4,HoldRate*G23)+MIN(0.4,LiveRate*P23)),IF(G23&gt;=3,MIN(0.3,0.02*G23),0))</f>
        <v>0.32</v>
      </c>
      <c r="Y23" s="21" t="n">
        <f aca="false">MAX(0,W23*(1-X23)-InitDed)</f>
        <v>0.0874209404887582</v>
      </c>
      <c r="Z23" s="29" t="n">
        <f aca="false">SUMPRODUCT((Y23&gt;CLo)*(Y23-CLo)*CD)*(1+LocalTax)</f>
        <v>0.00576978207225804</v>
      </c>
      <c r="AA23" s="21" t="n">
        <f aca="false">K23+T23+Z23</f>
        <v>0.612342233001621</v>
      </c>
      <c r="AB23" s="29" t="n">
        <f aca="false">IF(C23=5,0,(Q23-H23)-K23-L23-R23-S23-T23-Z23)</f>
        <v>-0.0452524344601437</v>
      </c>
      <c r="AC23" s="21" t="n">
        <f aca="false">IF(C23=5,0,N23*((1+DepRate*(1-DepTax))^G23-1))</f>
        <v>1.18960622882199</v>
      </c>
      <c r="AD23" s="29" t="n">
        <f aca="false">IF(C23=5,0,AB23-AC23+I23*(((1+DepRate*(1-DepTax))^G23-1)-((1+DepRate*(1-DepTax))^O23-1)))</f>
        <v>-0.641419129117365</v>
      </c>
      <c r="AE23" s="30" t="n">
        <f aca="false">IF(J23&gt;0,-PMT(Rm,LoanYears*12,J23)*10000,0)</f>
        <v>265.442904278796</v>
      </c>
      <c r="AF23" s="21" t="n">
        <f aca="false">IF(J23&gt;0,-PMT((Rate+Stress)/12,LoanYears*12,J23)*12/DSR,0)</f>
        <v>1.10972456195888</v>
      </c>
      <c r="AG23" s="20" t="n">
        <f aca="false">IF(N23&lt;=CapA,1,0)</f>
        <v>1</v>
      </c>
      <c r="AH23" s="20" t="n">
        <f aca="false">IF(N23&lt;=CapB,1,0)</f>
        <v>1</v>
      </c>
      <c r="AI23" s="20" t="n">
        <f aca="false">IF(N23&lt;=CapC,1,0)</f>
        <v>1</v>
      </c>
      <c r="AJ23" s="21" t="n">
        <f aca="false">IF(AG23=1,AD23,-999)</f>
        <v>-0.641419129117365</v>
      </c>
      <c r="AK23" s="21" t="n">
        <f aca="false">IF(AH23=1,AD23,-999)</f>
        <v>-0.641419129117365</v>
      </c>
      <c r="AL23" s="21" t="n">
        <f aca="false">IF(AI23=1,AD23,-999)</f>
        <v>-0.641419129117365</v>
      </c>
      <c r="AM23" s="21" t="str">
        <f aca="false">C23&amp;"|"&amp;E23&amp;"|"&amp;G23&amp;"|"&amp;TEXT(AJ23,"0.00000")</f>
        <v>4|1|5|-0.64142</v>
      </c>
      <c r="AN23" s="21" t="str">
        <f aca="false">C23&amp;"|"&amp;E23&amp;"|"&amp;G23&amp;"|"&amp;TEXT(AK23,"0.00000")</f>
        <v>4|1|5|-0.64142</v>
      </c>
      <c r="AO23" s="21" t="str">
        <f aca="false">C23&amp;"|"&amp;E23&amp;"|"&amp;G23&amp;"|"&amp;TEXT(AL23,"0.00000")</f>
        <v>4|1|5|-0.64142</v>
      </c>
    </row>
    <row r="24" customFormat="false" ht="15" hidden="false" customHeight="false" outlineLevel="0" collapsed="false">
      <c r="A24" s="20" t="n">
        <v>1</v>
      </c>
      <c r="B24" s="18" t="str">
        <f aca="false">INDEX(C_Name,A24)</f>
        <v>문래건영아파트 84㎡</v>
      </c>
      <c r="C24" s="20" t="n">
        <v>4</v>
      </c>
      <c r="D24" s="21" t="str">
        <f aca="false">CHOOSE(C24,"1안 표준형(대출 최대)","2안 절충형(대출 50%)","3안 무대출형","4안 임대차 승계 후 입주","5안 매수 보류(전세 거주)")</f>
        <v>4안 임대차 승계 후 입주</v>
      </c>
      <c r="E24" s="20" t="n">
        <v>1</v>
      </c>
      <c r="F24" s="10" t="n">
        <f aca="false">CHOOSE(E24,GrowLo,GrowMid,GrowHi)</f>
        <v>0.02</v>
      </c>
      <c r="G24" s="20" t="n">
        <v>10</v>
      </c>
      <c r="H24" s="18" t="n">
        <f aca="false">INDEX(C_Price,A24)</f>
        <v>13.9</v>
      </c>
      <c r="I24" s="18" t="n">
        <f aca="false">INDEX(C_Jeonse,A24)</f>
        <v>7.228</v>
      </c>
      <c r="J24" s="21" t="n">
        <f aca="false">IF(C24=5,0,IF(C24=1,INDEX(C_Loan,A24),IF(C24=2,INDEX(C_Loan,A24)*LoanShare2,IF(C24=3,0,MIN(INDEX(C_Loan,A24),I24)))))</f>
        <v>5.56</v>
      </c>
      <c r="K24" s="18" t="n">
        <f aca="false">IF(C24=5,0,INDEX(C_Acq,A24))</f>
        <v>0.4587</v>
      </c>
      <c r="L24" s="18" t="n">
        <f aca="false">IF(C24=5,0,INDEX(C_Fee,A24))</f>
        <v>0.11174</v>
      </c>
      <c r="M24" s="21" t="n">
        <f aca="false">IF(C24=4,MAX(0,I24-J24),0)</f>
        <v>1.668</v>
      </c>
      <c r="N24" s="21" t="n">
        <f aca="false">IF(C24=5,I24,IF(C24=4,(H24-I24)+K24+L24+M24,H24-J24+K24+L24))</f>
        <v>8.91044</v>
      </c>
      <c r="O24" s="20" t="n">
        <f aca="false">IF(C24=4,RentYears,0)</f>
        <v>2</v>
      </c>
      <c r="P24" s="20" t="n">
        <f aca="false">IF(C24=5,0,MAX(0,G24-O24-NonRes))</f>
        <v>8</v>
      </c>
      <c r="Q24" s="21" t="n">
        <f aca="false">IF(C24=5,0,H24*(1+F24)^G24)</f>
        <v>16.9440224379271</v>
      </c>
      <c r="R24" s="21" t="n">
        <f aca="false">IF(C24=5,0,Q24*LOOKUP(Q24,FeeLo,FeeR)*(1+VAT))</f>
        <v>0.130468972772039</v>
      </c>
      <c r="S24" s="21" t="n">
        <f aca="false">IF(J24&gt;0,-CUMIPMT(Rm,LoanYears*12,J24,1,(G24-O24)*12,0),0)</f>
        <v>1.64366633584451</v>
      </c>
      <c r="T24" s="29" t="n">
        <f aca="false">IF(C24=5,0,SUMIFS(Sch_Total,Sch_Idx,A24,Sch_Scen,E24,Sch_Year,"&lt;="&amp;G24))</f>
        <v>0.315069839683567</v>
      </c>
      <c r="U24" s="21" t="n">
        <f aca="false">K24+L24+R24</f>
        <v>0.700908972772039</v>
      </c>
      <c r="V24" s="21" t="n">
        <f aca="false">IF(C24=5,0,Q24-H24-U24)</f>
        <v>2.34311346515509</v>
      </c>
      <c r="W24" s="21" t="n">
        <f aca="false">IF(C24=5,0,MAX(0,IF(P24&gt;=2,IF(Q24&gt;Exempt,V24*(Q24-Exempt)/Q24,0),V24)))</f>
        <v>0.683686862949713</v>
      </c>
      <c r="X24" s="10" t="n">
        <f aca="false">IF(P24&gt;=2,MIN(MaxDed,MIN(0.4,HoldRate*G24)+MIN(0.4,LiveRate*P24)),IF(G24&gt;=3,MIN(0.3,0.02*G24),0))</f>
        <v>0.72</v>
      </c>
      <c r="Y24" s="21" t="n">
        <f aca="false">MAX(0,W24*(1-X24)-InitDed)</f>
        <v>0.16643232162592</v>
      </c>
      <c r="Z24" s="29" t="n">
        <f aca="false">SUMPRODUCT((Y24&gt;CLo)*(Y24-CLo)*CD)*(1+LocalTax)</f>
        <v>0.0136013330682767</v>
      </c>
      <c r="AA24" s="21" t="n">
        <f aca="false">K24+T24+Z24</f>
        <v>0.787371172751844</v>
      </c>
      <c r="AB24" s="29" t="n">
        <f aca="false">IF(C24=5,0,(Q24-H24)-K24-L24-R24-S24-T24-Z24)</f>
        <v>0.370775956558736</v>
      </c>
      <c r="AC24" s="21" t="n">
        <f aca="false">IF(C24=5,0,N24*((1+DepRate*(1-DepTax))^G24-1))</f>
        <v>2.53803323188768</v>
      </c>
      <c r="AD24" s="29" t="n">
        <f aca="false">IF(C24=5,0,AB24-AC24+I24*(((1+DepRate*(1-DepTax))^G24-1)-((1+DepRate*(1-DepTax))^O24-1)))</f>
        <v>-0.479996293720636</v>
      </c>
      <c r="AE24" s="30" t="n">
        <f aca="false">IF(J24&gt;0,-PMT(Rm,LoanYears*12,J24)*10000,0)</f>
        <v>265.442904278796</v>
      </c>
      <c r="AF24" s="21" t="n">
        <f aca="false">IF(J24&gt;0,-PMT((Rate+Stress)/12,LoanYears*12,J24)*12/DSR,0)</f>
        <v>1.10972456195888</v>
      </c>
      <c r="AG24" s="20" t="n">
        <f aca="false">IF(N24&lt;=CapA,1,0)</f>
        <v>1</v>
      </c>
      <c r="AH24" s="20" t="n">
        <f aca="false">IF(N24&lt;=CapB,1,0)</f>
        <v>1</v>
      </c>
      <c r="AI24" s="20" t="n">
        <f aca="false">IF(N24&lt;=CapC,1,0)</f>
        <v>1</v>
      </c>
      <c r="AJ24" s="21" t="n">
        <f aca="false">IF(AG24=1,AD24,-999)</f>
        <v>-0.479996293720636</v>
      </c>
      <c r="AK24" s="21" t="n">
        <f aca="false">IF(AH24=1,AD24,-999)</f>
        <v>-0.479996293720636</v>
      </c>
      <c r="AL24" s="21" t="n">
        <f aca="false">IF(AI24=1,AD24,-999)</f>
        <v>-0.479996293720636</v>
      </c>
      <c r="AM24" s="21" t="str">
        <f aca="false">C24&amp;"|"&amp;E24&amp;"|"&amp;G24&amp;"|"&amp;TEXT(AJ24,"0.00000")</f>
        <v>4|1|10|-0.48000</v>
      </c>
      <c r="AN24" s="21" t="str">
        <f aca="false">C24&amp;"|"&amp;E24&amp;"|"&amp;G24&amp;"|"&amp;TEXT(AK24,"0.00000")</f>
        <v>4|1|10|-0.48000</v>
      </c>
      <c r="AO24" s="21" t="str">
        <f aca="false">C24&amp;"|"&amp;E24&amp;"|"&amp;G24&amp;"|"&amp;TEXT(AL24,"0.00000")</f>
        <v>4|1|10|-0.48000</v>
      </c>
    </row>
    <row r="25" customFormat="false" ht="15" hidden="false" customHeight="false" outlineLevel="0" collapsed="false">
      <c r="A25" s="20" t="n">
        <v>1</v>
      </c>
      <c r="B25" s="18" t="str">
        <f aca="false">INDEX(C_Name,A25)</f>
        <v>문래건영아파트 84㎡</v>
      </c>
      <c r="C25" s="20" t="n">
        <v>4</v>
      </c>
      <c r="D25" s="21" t="str">
        <f aca="false">CHOOSE(C25,"1안 표준형(대출 최대)","2안 절충형(대출 50%)","3안 무대출형","4안 임대차 승계 후 입주","5안 매수 보류(전세 거주)")</f>
        <v>4안 임대차 승계 후 입주</v>
      </c>
      <c r="E25" s="20" t="n">
        <v>2</v>
      </c>
      <c r="F25" s="10" t="n">
        <f aca="false">CHOOSE(E25,GrowLo,GrowMid,GrowHi)</f>
        <v>0.04</v>
      </c>
      <c r="G25" s="20" t="n">
        <v>5</v>
      </c>
      <c r="H25" s="18" t="n">
        <f aca="false">INDEX(C_Price,A25)</f>
        <v>13.9</v>
      </c>
      <c r="I25" s="18" t="n">
        <f aca="false">INDEX(C_Jeonse,A25)</f>
        <v>7.228</v>
      </c>
      <c r="J25" s="21" t="n">
        <f aca="false">IF(C25=5,0,IF(C25=1,INDEX(C_Loan,A25),IF(C25=2,INDEX(C_Loan,A25)*LoanShare2,IF(C25=3,0,MIN(INDEX(C_Loan,A25),I25)))))</f>
        <v>5.56</v>
      </c>
      <c r="K25" s="18" t="n">
        <f aca="false">IF(C25=5,0,INDEX(C_Acq,A25))</f>
        <v>0.4587</v>
      </c>
      <c r="L25" s="18" t="n">
        <f aca="false">IF(C25=5,0,INDEX(C_Fee,A25))</f>
        <v>0.11174</v>
      </c>
      <c r="M25" s="21" t="n">
        <f aca="false">IF(C25=4,MAX(0,I25-J25),0)</f>
        <v>1.668</v>
      </c>
      <c r="N25" s="21" t="n">
        <f aca="false">IF(C25=5,I25,IF(C25=4,(H25-I25)+K25+L25+M25,H25-J25+K25+L25))</f>
        <v>8.91044</v>
      </c>
      <c r="O25" s="20" t="n">
        <f aca="false">IF(C25=4,RentYears,0)</f>
        <v>2</v>
      </c>
      <c r="P25" s="20" t="n">
        <f aca="false">IF(C25=5,0,MAX(0,G25-O25-NonRes))</f>
        <v>3</v>
      </c>
      <c r="Q25" s="21" t="n">
        <f aca="false">IF(C25=5,0,H25*(1+F25)^G25)</f>
        <v>16.91147534336</v>
      </c>
      <c r="R25" s="21" t="n">
        <f aca="false">IF(C25=5,0,Q25*LOOKUP(Q25,FeeLo,FeeR)*(1+VAT))</f>
        <v>0.130218360143872</v>
      </c>
      <c r="S25" s="21" t="n">
        <f aca="false">IF(J25&gt;0,-CUMIPMT(Rm,LoanYears*12,J25,1,(G25-O25)*12,0),0)</f>
        <v>0.649723597572026</v>
      </c>
      <c r="T25" s="29" t="n">
        <f aca="false">IF(C25=5,0,SUMIFS(Sch_Total,Sch_Idx,A25,Sch_Scen,E25,Sch_Year,"&lt;="&amp;G25))</f>
        <v>0.155446372783411</v>
      </c>
      <c r="U25" s="21" t="n">
        <f aca="false">K25+L25+R25</f>
        <v>0.700658360143872</v>
      </c>
      <c r="V25" s="21" t="n">
        <f aca="false">IF(C25=5,0,Q25-H25-U25)</f>
        <v>2.31081698321613</v>
      </c>
      <c r="W25" s="21" t="n">
        <f aca="false">IF(C25=5,0,MAX(0,IF(P25&gt;=2,IF(Q25&gt;Exempt,V25*(Q25-Exempt)/Q25,0),V25)))</f>
        <v>0.671113572627462</v>
      </c>
      <c r="X25" s="10" t="n">
        <f aca="false">IF(P25&gt;=2,MIN(MaxDed,MIN(0.4,HoldRate*G25)+MIN(0.4,LiveRate*P25)),IF(G25&gt;=3,MIN(0.3,0.02*G25),0))</f>
        <v>0.32</v>
      </c>
      <c r="Y25" s="21" t="n">
        <f aca="false">MAX(0,W25*(1-X25)-InitDed)</f>
        <v>0.431357229386674</v>
      </c>
      <c r="Z25" s="29" t="n">
        <f aca="false">SUMPRODUCT((Y25&gt;CLo)*(Y25-CLo)*CD)*(1+LocalTax)</f>
        <v>0.0573139428488013</v>
      </c>
      <c r="AA25" s="21" t="n">
        <f aca="false">K25+T25+Z25</f>
        <v>0.671460315632213</v>
      </c>
      <c r="AB25" s="29" t="n">
        <f aca="false">IF(C25=5,0,(Q25-H25)-K25-L25-R25-S25-T25-Z25)</f>
        <v>1.44833307001189</v>
      </c>
      <c r="AC25" s="21" t="n">
        <f aca="false">IF(C25=5,0,N25*((1+DepRate*(1-DepTax))^G25-1))</f>
        <v>1.18960622882199</v>
      </c>
      <c r="AD25" s="29" t="n">
        <f aca="false">IF(C25=5,0,AB25-AC25+I25*(((1+DepRate*(1-DepTax))^G25-1)-((1+DepRate*(1-DepTax))^O25-1)))</f>
        <v>0.85216637535467</v>
      </c>
      <c r="AE25" s="30" t="n">
        <f aca="false">IF(J25&gt;0,-PMT(Rm,LoanYears*12,J25)*10000,0)</f>
        <v>265.442904278796</v>
      </c>
      <c r="AF25" s="21" t="n">
        <f aca="false">IF(J25&gt;0,-PMT((Rate+Stress)/12,LoanYears*12,J25)*12/DSR,0)</f>
        <v>1.10972456195888</v>
      </c>
      <c r="AG25" s="20" t="n">
        <f aca="false">IF(N25&lt;=CapA,1,0)</f>
        <v>1</v>
      </c>
      <c r="AH25" s="20" t="n">
        <f aca="false">IF(N25&lt;=CapB,1,0)</f>
        <v>1</v>
      </c>
      <c r="AI25" s="20" t="n">
        <f aca="false">IF(N25&lt;=CapC,1,0)</f>
        <v>1</v>
      </c>
      <c r="AJ25" s="21" t="n">
        <f aca="false">IF(AG25=1,AD25,-999)</f>
        <v>0.85216637535467</v>
      </c>
      <c r="AK25" s="21" t="n">
        <f aca="false">IF(AH25=1,AD25,-999)</f>
        <v>0.85216637535467</v>
      </c>
      <c r="AL25" s="21" t="n">
        <f aca="false">IF(AI25=1,AD25,-999)</f>
        <v>0.85216637535467</v>
      </c>
      <c r="AM25" s="21" t="str">
        <f aca="false">C25&amp;"|"&amp;E25&amp;"|"&amp;G25&amp;"|"&amp;TEXT(AJ25,"0.00000")</f>
        <v>4|2|5|0.85217</v>
      </c>
      <c r="AN25" s="21" t="str">
        <f aca="false">C25&amp;"|"&amp;E25&amp;"|"&amp;G25&amp;"|"&amp;TEXT(AK25,"0.00000")</f>
        <v>4|2|5|0.85217</v>
      </c>
      <c r="AO25" s="21" t="str">
        <f aca="false">C25&amp;"|"&amp;E25&amp;"|"&amp;G25&amp;"|"&amp;TEXT(AL25,"0.00000")</f>
        <v>4|2|5|0.85217</v>
      </c>
    </row>
    <row r="26" customFormat="false" ht="15" hidden="false" customHeight="false" outlineLevel="0" collapsed="false">
      <c r="A26" s="20" t="n">
        <v>1</v>
      </c>
      <c r="B26" s="18" t="str">
        <f aca="false">INDEX(C_Name,A26)</f>
        <v>문래건영아파트 84㎡</v>
      </c>
      <c r="C26" s="20" t="n">
        <v>4</v>
      </c>
      <c r="D26" s="21" t="str">
        <f aca="false">CHOOSE(C26,"1안 표준형(대출 최대)","2안 절충형(대출 50%)","3안 무대출형","4안 임대차 승계 후 입주","5안 매수 보류(전세 거주)")</f>
        <v>4안 임대차 승계 후 입주</v>
      </c>
      <c r="E26" s="20" t="n">
        <v>2</v>
      </c>
      <c r="F26" s="10" t="n">
        <f aca="false">CHOOSE(E26,GrowLo,GrowMid,GrowHi)</f>
        <v>0.04</v>
      </c>
      <c r="G26" s="20" t="n">
        <v>10</v>
      </c>
      <c r="H26" s="18" t="n">
        <f aca="false">INDEX(C_Price,A26)</f>
        <v>13.9</v>
      </c>
      <c r="I26" s="18" t="n">
        <f aca="false">INDEX(C_Jeonse,A26)</f>
        <v>7.228</v>
      </c>
      <c r="J26" s="21" t="n">
        <f aca="false">IF(C26=5,0,IF(C26=1,INDEX(C_Loan,A26),IF(C26=2,INDEX(C_Loan,A26)*LoanShare2,IF(C26=3,0,MIN(INDEX(C_Loan,A26),I26)))))</f>
        <v>5.56</v>
      </c>
      <c r="K26" s="18" t="n">
        <f aca="false">IF(C26=5,0,INDEX(C_Acq,A26))</f>
        <v>0.4587</v>
      </c>
      <c r="L26" s="18" t="n">
        <f aca="false">IF(C26=5,0,INDEX(C_Fee,A26))</f>
        <v>0.11174</v>
      </c>
      <c r="M26" s="21" t="n">
        <f aca="false">IF(C26=4,MAX(0,I26-J26),0)</f>
        <v>1.668</v>
      </c>
      <c r="N26" s="21" t="n">
        <f aca="false">IF(C26=5,I26,IF(C26=4,(H26-I26)+K26+L26+M26,H26-J26+K26+L26))</f>
        <v>8.91044</v>
      </c>
      <c r="O26" s="20" t="n">
        <f aca="false">IF(C26=4,RentYears,0)</f>
        <v>2</v>
      </c>
      <c r="P26" s="20" t="n">
        <f aca="false">IF(C26=5,0,MAX(0,G26-O26-NonRes))</f>
        <v>8</v>
      </c>
      <c r="Q26" s="21" t="n">
        <f aca="false">IF(C26=5,0,H26*(1+F26)^G26)</f>
        <v>20.575395560365</v>
      </c>
      <c r="R26" s="21" t="n">
        <f aca="false">IF(C26=5,0,Q26*LOOKUP(Q26,FeeLo,FeeR)*(1+VAT))</f>
        <v>0.15843054581481</v>
      </c>
      <c r="S26" s="21" t="n">
        <f aca="false">IF(J26&gt;0,-CUMIPMT(Rm,LoanYears*12,J26,1,(G26-O26)*12,0),0)</f>
        <v>1.64366633584451</v>
      </c>
      <c r="T26" s="29" t="n">
        <f aca="false">IF(C26=5,0,SUMIFS(Sch_Total,Sch_Idx,A26,Sch_Scen,E26,Sch_Year,"&lt;="&amp;G26))</f>
        <v>0.365481473831724</v>
      </c>
      <c r="U26" s="21" t="n">
        <f aca="false">K26+L26+R26</f>
        <v>0.728870545814811</v>
      </c>
      <c r="V26" s="21" t="n">
        <f aca="false">IF(C26=5,0,Q26-H26-U26)</f>
        <v>5.94652501455018</v>
      </c>
      <c r="W26" s="21" t="n">
        <f aca="false">IF(C26=5,0,MAX(0,IF(P26&gt;=2,IF(Q26&gt;Exempt,V26*(Q26-Exempt)/Q26,0),V26)))</f>
        <v>2.47838755078925</v>
      </c>
      <c r="X26" s="10" t="n">
        <f aca="false">IF(P26&gt;=2,MIN(MaxDed,MIN(0.4,HoldRate*G26)+MIN(0.4,LiveRate*P26)),IF(G26&gt;=3,MIN(0.3,0.02*G26),0))</f>
        <v>0.72</v>
      </c>
      <c r="Y26" s="21" t="n">
        <f aca="false">MAX(0,W26*(1-X26)-InitDed)</f>
        <v>0.668948514220989</v>
      </c>
      <c r="Z26" s="29" t="n">
        <f aca="false">SUMPRODUCT((Y26&gt;CLo)*(Y26-CLo)*CD)*(1+LocalTax)</f>
        <v>0.113242407754341</v>
      </c>
      <c r="AA26" s="21" t="n">
        <f aca="false">K26+T26+Z26</f>
        <v>0.937423881586065</v>
      </c>
      <c r="AB26" s="29" t="n">
        <f aca="false">IF(C26=5,0,(Q26-H26)-K26-L26-R26-S26-T26-Z26)</f>
        <v>3.8241347971196</v>
      </c>
      <c r="AC26" s="21" t="n">
        <f aca="false">IF(C26=5,0,N26*((1+DepRate*(1-DepTax))^G26-1))</f>
        <v>2.53803323188768</v>
      </c>
      <c r="AD26" s="29" t="n">
        <f aca="false">IF(C26=5,0,AB26-AC26+I26*(((1+DepRate*(1-DepTax))^G26-1)-((1+DepRate*(1-DepTax))^O26-1)))</f>
        <v>2.97336254684023</v>
      </c>
      <c r="AE26" s="30" t="n">
        <f aca="false">IF(J26&gt;0,-PMT(Rm,LoanYears*12,J26)*10000,0)</f>
        <v>265.442904278796</v>
      </c>
      <c r="AF26" s="21" t="n">
        <f aca="false">IF(J26&gt;0,-PMT((Rate+Stress)/12,LoanYears*12,J26)*12/DSR,0)</f>
        <v>1.10972456195888</v>
      </c>
      <c r="AG26" s="20" t="n">
        <f aca="false">IF(N26&lt;=CapA,1,0)</f>
        <v>1</v>
      </c>
      <c r="AH26" s="20" t="n">
        <f aca="false">IF(N26&lt;=CapB,1,0)</f>
        <v>1</v>
      </c>
      <c r="AI26" s="20" t="n">
        <f aca="false">IF(N26&lt;=CapC,1,0)</f>
        <v>1</v>
      </c>
      <c r="AJ26" s="21" t="n">
        <f aca="false">IF(AG26=1,AD26,-999)</f>
        <v>2.97336254684023</v>
      </c>
      <c r="AK26" s="21" t="n">
        <f aca="false">IF(AH26=1,AD26,-999)</f>
        <v>2.97336254684023</v>
      </c>
      <c r="AL26" s="21" t="n">
        <f aca="false">IF(AI26=1,AD26,-999)</f>
        <v>2.97336254684023</v>
      </c>
      <c r="AM26" s="21" t="str">
        <f aca="false">C26&amp;"|"&amp;E26&amp;"|"&amp;G26&amp;"|"&amp;TEXT(AJ26,"0.00000")</f>
        <v>4|2|10|2.97336</v>
      </c>
      <c r="AN26" s="21" t="str">
        <f aca="false">C26&amp;"|"&amp;E26&amp;"|"&amp;G26&amp;"|"&amp;TEXT(AK26,"0.00000")</f>
        <v>4|2|10|2.97336</v>
      </c>
      <c r="AO26" s="21" t="str">
        <f aca="false">C26&amp;"|"&amp;E26&amp;"|"&amp;G26&amp;"|"&amp;TEXT(AL26,"0.00000")</f>
        <v>4|2|10|2.97336</v>
      </c>
    </row>
    <row r="27" customFormat="false" ht="15" hidden="false" customHeight="false" outlineLevel="0" collapsed="false">
      <c r="A27" s="20" t="n">
        <v>1</v>
      </c>
      <c r="B27" s="18" t="str">
        <f aca="false">INDEX(C_Name,A27)</f>
        <v>문래건영아파트 84㎡</v>
      </c>
      <c r="C27" s="20" t="n">
        <v>4</v>
      </c>
      <c r="D27" s="21" t="str">
        <f aca="false">CHOOSE(C27,"1안 표준형(대출 최대)","2안 절충형(대출 50%)","3안 무대출형","4안 임대차 승계 후 입주","5안 매수 보류(전세 거주)")</f>
        <v>4안 임대차 승계 후 입주</v>
      </c>
      <c r="E27" s="20" t="n">
        <v>3</v>
      </c>
      <c r="F27" s="10" t="n">
        <f aca="false">CHOOSE(E27,GrowLo,GrowMid,GrowHi)</f>
        <v>0.06</v>
      </c>
      <c r="G27" s="20" t="n">
        <v>5</v>
      </c>
      <c r="H27" s="18" t="n">
        <f aca="false">INDEX(C_Price,A27)</f>
        <v>13.9</v>
      </c>
      <c r="I27" s="18" t="n">
        <f aca="false">INDEX(C_Jeonse,A27)</f>
        <v>7.228</v>
      </c>
      <c r="J27" s="21" t="n">
        <f aca="false">IF(C27=5,0,IF(C27=1,INDEX(C_Loan,A27),IF(C27=2,INDEX(C_Loan,A27)*LoanShare2,IF(C27=3,0,MIN(INDEX(C_Loan,A27),I27)))))</f>
        <v>5.56</v>
      </c>
      <c r="K27" s="18" t="n">
        <f aca="false">IF(C27=5,0,INDEX(C_Acq,A27))</f>
        <v>0.4587</v>
      </c>
      <c r="L27" s="18" t="n">
        <f aca="false">IF(C27=5,0,INDEX(C_Fee,A27))</f>
        <v>0.11174</v>
      </c>
      <c r="M27" s="21" t="n">
        <f aca="false">IF(C27=4,MAX(0,I27-J27),0)</f>
        <v>1.668</v>
      </c>
      <c r="N27" s="21" t="n">
        <f aca="false">IF(C27=5,I27,IF(C27=4,(H27-I27)+K27+L27+M27,H27-J27+K27+L27))</f>
        <v>8.91044</v>
      </c>
      <c r="O27" s="20" t="n">
        <f aca="false">IF(C27=4,RentYears,0)</f>
        <v>2</v>
      </c>
      <c r="P27" s="20" t="n">
        <f aca="false">IF(C27=5,0,MAX(0,G27-O27-NonRes))</f>
        <v>3</v>
      </c>
      <c r="Q27" s="21" t="n">
        <f aca="false">IF(C27=5,0,H27*(1+F27)^G27)</f>
        <v>18.60133552864</v>
      </c>
      <c r="R27" s="21" t="n">
        <f aca="false">IF(C27=5,0,Q27*LOOKUP(Q27,FeeLo,FeeR)*(1+VAT))</f>
        <v>0.143230283570528</v>
      </c>
      <c r="S27" s="21" t="n">
        <f aca="false">IF(J27&gt;0,-CUMIPMT(Rm,LoanYears*12,J27,1,(G27-O27)*12,0),0)</f>
        <v>0.649723597572026</v>
      </c>
      <c r="T27" s="29" t="n">
        <f aca="false">IF(C27=5,0,SUMIFS(Sch_Total,Sch_Idx,A27,Sch_Scen,E27,Sch_Year,"&lt;="&amp;G27))</f>
        <v>0.163713433399315</v>
      </c>
      <c r="U27" s="21" t="n">
        <f aca="false">K27+L27+R27</f>
        <v>0.713670283570528</v>
      </c>
      <c r="V27" s="21" t="n">
        <f aca="false">IF(C27=5,0,Q27-H27-U27)</f>
        <v>3.98766524506948</v>
      </c>
      <c r="W27" s="21" t="n">
        <f aca="false">IF(C27=5,0,MAX(0,IF(P27&gt;=2,IF(Q27&gt;Exempt,V27*(Q27-Exempt)/Q27,0),V27)))</f>
        <v>1.41516270259573</v>
      </c>
      <c r="X27" s="10" t="n">
        <f aca="false">IF(P27&gt;=2,MIN(MaxDed,MIN(0.4,HoldRate*G27)+MIN(0.4,LiveRate*P27)),IF(G27&gt;=3,MIN(0.3,0.02*G27),0))</f>
        <v>0.32</v>
      </c>
      <c r="Y27" s="21" t="n">
        <f aca="false">MAX(0,W27*(1-X27)-InitDed)</f>
        <v>0.937310637765093</v>
      </c>
      <c r="Z27" s="29" t="n">
        <f aca="false">SUMPRODUCT((Y27&gt;CLo)*(Y27-CLo)*CD)*(1+LocalTax)</f>
        <v>0.191024595539561</v>
      </c>
      <c r="AA27" s="21" t="n">
        <f aca="false">K27+T27+Z27</f>
        <v>0.813438028938876</v>
      </c>
      <c r="AB27" s="29" t="n">
        <f aca="false">IF(C27=5,0,(Q27-H27)-K27-L27-R27-S27-T27-Z27)</f>
        <v>2.98320361855857</v>
      </c>
      <c r="AC27" s="21" t="n">
        <f aca="false">IF(C27=5,0,N27*((1+DepRate*(1-DepTax))^G27-1))</f>
        <v>1.18960622882199</v>
      </c>
      <c r="AD27" s="29" t="n">
        <f aca="false">IF(C27=5,0,AB27-AC27+I27*(((1+DepRate*(1-DepTax))^G27-1)-((1+DepRate*(1-DepTax))^O27-1)))</f>
        <v>2.38703692390135</v>
      </c>
      <c r="AE27" s="30" t="n">
        <f aca="false">IF(J27&gt;0,-PMT(Rm,LoanYears*12,J27)*10000,0)</f>
        <v>265.442904278796</v>
      </c>
      <c r="AF27" s="21" t="n">
        <f aca="false">IF(J27&gt;0,-PMT((Rate+Stress)/12,LoanYears*12,J27)*12/DSR,0)</f>
        <v>1.10972456195888</v>
      </c>
      <c r="AG27" s="20" t="n">
        <f aca="false">IF(N27&lt;=CapA,1,0)</f>
        <v>1</v>
      </c>
      <c r="AH27" s="20" t="n">
        <f aca="false">IF(N27&lt;=CapB,1,0)</f>
        <v>1</v>
      </c>
      <c r="AI27" s="20" t="n">
        <f aca="false">IF(N27&lt;=CapC,1,0)</f>
        <v>1</v>
      </c>
      <c r="AJ27" s="21" t="n">
        <f aca="false">IF(AG27=1,AD27,-999)</f>
        <v>2.38703692390135</v>
      </c>
      <c r="AK27" s="21" t="n">
        <f aca="false">IF(AH27=1,AD27,-999)</f>
        <v>2.38703692390135</v>
      </c>
      <c r="AL27" s="21" t="n">
        <f aca="false">IF(AI27=1,AD27,-999)</f>
        <v>2.38703692390135</v>
      </c>
      <c r="AM27" s="21" t="str">
        <f aca="false">C27&amp;"|"&amp;E27&amp;"|"&amp;G27&amp;"|"&amp;TEXT(AJ27,"0.00000")</f>
        <v>4|3|5|2.38704</v>
      </c>
      <c r="AN27" s="21" t="str">
        <f aca="false">C27&amp;"|"&amp;E27&amp;"|"&amp;G27&amp;"|"&amp;TEXT(AK27,"0.00000")</f>
        <v>4|3|5|2.38704</v>
      </c>
      <c r="AO27" s="21" t="str">
        <f aca="false">C27&amp;"|"&amp;E27&amp;"|"&amp;G27&amp;"|"&amp;TEXT(AL27,"0.00000")</f>
        <v>4|3|5|2.38704</v>
      </c>
    </row>
    <row r="28" customFormat="false" ht="15" hidden="false" customHeight="false" outlineLevel="0" collapsed="false">
      <c r="A28" s="20" t="n">
        <v>1</v>
      </c>
      <c r="B28" s="18" t="str">
        <f aca="false">INDEX(C_Name,A28)</f>
        <v>문래건영아파트 84㎡</v>
      </c>
      <c r="C28" s="20" t="n">
        <v>4</v>
      </c>
      <c r="D28" s="21" t="str">
        <f aca="false">CHOOSE(C28,"1안 표준형(대출 최대)","2안 절충형(대출 50%)","3안 무대출형","4안 임대차 승계 후 입주","5안 매수 보류(전세 거주)")</f>
        <v>4안 임대차 승계 후 입주</v>
      </c>
      <c r="E28" s="20" t="n">
        <v>3</v>
      </c>
      <c r="F28" s="10" t="n">
        <f aca="false">CHOOSE(E28,GrowLo,GrowMid,GrowHi)</f>
        <v>0.06</v>
      </c>
      <c r="G28" s="20" t="n">
        <v>10</v>
      </c>
      <c r="H28" s="18" t="n">
        <f aca="false">INDEX(C_Price,A28)</f>
        <v>13.9</v>
      </c>
      <c r="I28" s="18" t="n">
        <f aca="false">INDEX(C_Jeonse,A28)</f>
        <v>7.228</v>
      </c>
      <c r="J28" s="21" t="n">
        <f aca="false">IF(C28=5,0,IF(C28=1,INDEX(C_Loan,A28),IF(C28=2,INDEX(C_Loan,A28)*LoanShare2,IF(C28=3,0,MIN(INDEX(C_Loan,A28),I28)))))</f>
        <v>5.56</v>
      </c>
      <c r="K28" s="18" t="n">
        <f aca="false">IF(C28=5,0,INDEX(C_Acq,A28))</f>
        <v>0.4587</v>
      </c>
      <c r="L28" s="18" t="n">
        <f aca="false">IF(C28=5,0,INDEX(C_Fee,A28))</f>
        <v>0.11174</v>
      </c>
      <c r="M28" s="21" t="n">
        <f aca="false">IF(C28=4,MAX(0,I28-J28),0)</f>
        <v>1.668</v>
      </c>
      <c r="N28" s="21" t="n">
        <f aca="false">IF(C28=5,I28,IF(C28=4,(H28-I28)+K28+L28+M28,H28-J28+K28+L28))</f>
        <v>8.91044</v>
      </c>
      <c r="O28" s="20" t="n">
        <f aca="false">IF(C28=4,RentYears,0)</f>
        <v>2</v>
      </c>
      <c r="P28" s="20" t="n">
        <f aca="false">IF(C28=5,0,MAX(0,G28-O28-NonRes))</f>
        <v>8</v>
      </c>
      <c r="Q28" s="21" t="n">
        <f aca="false">IF(C28=5,0,H28*(1+F28)^G28)</f>
        <v>24.8927829819457</v>
      </c>
      <c r="R28" s="21" t="n">
        <f aca="false">IF(C28=5,0,Q28*LOOKUP(Q28,FeeLo,FeeR)*(1+VAT))</f>
        <v>0.191674428960982</v>
      </c>
      <c r="S28" s="21" t="n">
        <f aca="false">IF(J28&gt;0,-CUMIPMT(Rm,LoanYears*12,J28,1,(G28-O28)*12,0),0)</f>
        <v>1.64366633584451</v>
      </c>
      <c r="T28" s="29" t="n">
        <f aca="false">IF(C28=5,0,SUMIFS(Sch_Total,Sch_Idx,A28,Sch_Scen,E28,Sch_Year,"&lt;="&amp;G28))</f>
        <v>0.439527480018586</v>
      </c>
      <c r="U28" s="21" t="n">
        <f aca="false">K28+L28+R28</f>
        <v>0.762114428960982</v>
      </c>
      <c r="V28" s="21" t="n">
        <f aca="false">IF(C28=5,0,Q28-H28-U28)</f>
        <v>10.2306685529847</v>
      </c>
      <c r="W28" s="21" t="n">
        <f aca="false">IF(C28=5,0,MAX(0,IF(P28&gt;=2,IF(Q28&gt;Exempt,V28*(Q28-Exempt)/Q28,0),V28)))</f>
        <v>5.29879642262234</v>
      </c>
      <c r="X28" s="10" t="n">
        <f aca="false">IF(P28&gt;=2,MIN(MaxDed,MIN(0.4,HoldRate*G28)+MIN(0.4,LiveRate*P28)),IF(G28&gt;=3,MIN(0.3,0.02*G28),0))</f>
        <v>0.72</v>
      </c>
      <c r="Y28" s="21" t="n">
        <f aca="false">MAX(0,W28*(1-X28)-InitDed)</f>
        <v>1.45866299833425</v>
      </c>
      <c r="Z28" s="29" t="n">
        <f aca="false">SUMPRODUCT((Y28&gt;CLo)*(Y28-CLo)*CD)*(1+LocalTax)</f>
        <v>0.391745254358688</v>
      </c>
      <c r="AA28" s="21" t="n">
        <f aca="false">K28+T28+Z28</f>
        <v>1.28997273437727</v>
      </c>
      <c r="AB28" s="29" t="n">
        <f aca="false">IF(C28=5,0,(Q28-H28)-K28-L28-R28-S28-T28-Z28)</f>
        <v>7.75572948276291</v>
      </c>
      <c r="AC28" s="21" t="n">
        <f aca="false">IF(C28=5,0,N28*((1+DepRate*(1-DepTax))^G28-1))</f>
        <v>2.53803323188768</v>
      </c>
      <c r="AD28" s="29" t="n">
        <f aca="false">IF(C28=5,0,AB28-AC28+I28*(((1+DepRate*(1-DepTax))^G28-1)-((1+DepRate*(1-DepTax))^O28-1)))</f>
        <v>6.90495723248354</v>
      </c>
      <c r="AE28" s="30" t="n">
        <f aca="false">IF(J28&gt;0,-PMT(Rm,LoanYears*12,J28)*10000,0)</f>
        <v>265.442904278796</v>
      </c>
      <c r="AF28" s="21" t="n">
        <f aca="false">IF(J28&gt;0,-PMT((Rate+Stress)/12,LoanYears*12,J28)*12/DSR,0)</f>
        <v>1.10972456195888</v>
      </c>
      <c r="AG28" s="20" t="n">
        <f aca="false">IF(N28&lt;=CapA,1,0)</f>
        <v>1</v>
      </c>
      <c r="AH28" s="20" t="n">
        <f aca="false">IF(N28&lt;=CapB,1,0)</f>
        <v>1</v>
      </c>
      <c r="AI28" s="20" t="n">
        <f aca="false">IF(N28&lt;=CapC,1,0)</f>
        <v>1</v>
      </c>
      <c r="AJ28" s="21" t="n">
        <f aca="false">IF(AG28=1,AD28,-999)</f>
        <v>6.90495723248354</v>
      </c>
      <c r="AK28" s="21" t="n">
        <f aca="false">IF(AH28=1,AD28,-999)</f>
        <v>6.90495723248354</v>
      </c>
      <c r="AL28" s="21" t="n">
        <f aca="false">IF(AI28=1,AD28,-999)</f>
        <v>6.90495723248354</v>
      </c>
      <c r="AM28" s="21" t="str">
        <f aca="false">C28&amp;"|"&amp;E28&amp;"|"&amp;G28&amp;"|"&amp;TEXT(AJ28,"0.00000")</f>
        <v>4|3|10|6.90496</v>
      </c>
      <c r="AN28" s="21" t="str">
        <f aca="false">C28&amp;"|"&amp;E28&amp;"|"&amp;G28&amp;"|"&amp;TEXT(AK28,"0.00000")</f>
        <v>4|3|10|6.90496</v>
      </c>
      <c r="AO28" s="21" t="str">
        <f aca="false">C28&amp;"|"&amp;E28&amp;"|"&amp;G28&amp;"|"&amp;TEXT(AL28,"0.00000")</f>
        <v>4|3|10|6.90496</v>
      </c>
    </row>
    <row r="29" customFormat="false" ht="15" hidden="false" customHeight="false" outlineLevel="0" collapsed="false">
      <c r="A29" s="20" t="n">
        <v>1</v>
      </c>
      <c r="B29" s="18" t="str">
        <f aca="false">INDEX(C_Name,A29)</f>
        <v>문래건영아파트 84㎡</v>
      </c>
      <c r="C29" s="20" t="n">
        <v>5</v>
      </c>
      <c r="D29" s="21" t="str">
        <f aca="false">CHOOSE(C29,"1안 표준형(대출 최대)","2안 절충형(대출 50%)","3안 무대출형","4안 임대차 승계 후 입주","5안 매수 보류(전세 거주)")</f>
        <v>5안 매수 보류(전세 거주)</v>
      </c>
      <c r="E29" s="20" t="n">
        <v>1</v>
      </c>
      <c r="F29" s="10" t="n">
        <f aca="false">CHOOSE(E29,GrowLo,GrowMid,GrowHi)</f>
        <v>0.02</v>
      </c>
      <c r="G29" s="20" t="n">
        <v>5</v>
      </c>
      <c r="H29" s="18" t="n">
        <f aca="false">INDEX(C_Price,A29)</f>
        <v>13.9</v>
      </c>
      <c r="I29" s="18" t="n">
        <f aca="false">INDEX(C_Jeonse,A29)</f>
        <v>7.228</v>
      </c>
      <c r="J29" s="21" t="n">
        <f aca="false">IF(C29=5,0,IF(C29=1,INDEX(C_Loan,A29),IF(C29=2,INDEX(C_Loan,A29)*LoanShare2,IF(C29=3,0,MIN(INDEX(C_Loan,A29),I29)))))</f>
        <v>0</v>
      </c>
      <c r="K29" s="18" t="n">
        <f aca="false">IF(C29=5,0,INDEX(C_Acq,A29))</f>
        <v>0</v>
      </c>
      <c r="L29" s="18" t="n">
        <f aca="false">IF(C29=5,0,INDEX(C_Fee,A29))</f>
        <v>0</v>
      </c>
      <c r="M29" s="21" t="n">
        <f aca="false">IF(C29=4,MAX(0,I29-J29),0)</f>
        <v>0</v>
      </c>
      <c r="N29" s="21" t="n">
        <f aca="false">IF(C29=5,I29,IF(C29=4,(H29-I29)+K29+L29+M29,H29-J29+K29+L29))</f>
        <v>7.228</v>
      </c>
      <c r="O29" s="20" t="n">
        <f aca="false">IF(C29=4,RentYears,0)</f>
        <v>0</v>
      </c>
      <c r="P29" s="20" t="n">
        <f aca="false">IF(C29=5,0,MAX(0,G29-O29-NonRes))</f>
        <v>0</v>
      </c>
      <c r="Q29" s="21" t="n">
        <f aca="false">IF(C29=5,0,H29*(1+F29)^G29)</f>
        <v>0</v>
      </c>
      <c r="R29" s="21" t="n">
        <f aca="false">IF(C29=5,0,Q29*LOOKUP(Q29,FeeLo,FeeR)*(1+VAT))</f>
        <v>0</v>
      </c>
      <c r="S29" s="21" t="n">
        <f aca="false">IF(J29&gt;0,-CUMIPMT(Rm,LoanYears*12,J29,1,(G29-O29)*12,0),0)</f>
        <v>0</v>
      </c>
      <c r="T29" s="29" t="n">
        <f aca="false">IF(C29=5,0,SUMIFS(Sch_Total,Sch_Idx,A29,Sch_Scen,E29,Sch_Year,"&lt;="&amp;G29))</f>
        <v>0</v>
      </c>
      <c r="U29" s="21" t="n">
        <f aca="false">K29+L29+R29</f>
        <v>0</v>
      </c>
      <c r="V29" s="21" t="n">
        <f aca="false">IF(C29=5,0,Q29-H29-U29)</f>
        <v>0</v>
      </c>
      <c r="W29" s="21" t="n">
        <f aca="false">IF(C29=5,0,MAX(0,IF(P29&gt;=2,IF(Q29&gt;Exempt,V29*(Q29-Exempt)/Q29,0),V29)))</f>
        <v>0</v>
      </c>
      <c r="X29" s="10" t="n">
        <f aca="false">IF(P29&gt;=2,MIN(MaxDed,MIN(0.4,HoldRate*G29)+MIN(0.4,LiveRate*P29)),IF(G29&gt;=3,MIN(0.3,0.02*G29),0))</f>
        <v>0.1</v>
      </c>
      <c r="Y29" s="21" t="n">
        <f aca="false">MAX(0,W29*(1-X29)-InitDed)</f>
        <v>0</v>
      </c>
      <c r="Z29" s="29" t="n">
        <f aca="false">SUMPRODUCT((Y29&gt;CLo)*(Y29-CLo)*CD)*(1+LocalTax)</f>
        <v>0</v>
      </c>
      <c r="AA29" s="21" t="n">
        <f aca="false">K29+T29+Z29</f>
        <v>0</v>
      </c>
      <c r="AB29" s="29" t="n">
        <f aca="false">IF(C29=5,0,(Q29-H29)-K29-L29-R29-S29-T29-Z29)</f>
        <v>0</v>
      </c>
      <c r="AC29" s="21" t="n">
        <f aca="false">IF(C29=5,0,N29*((1+DepRate*(1-DepTax))^G29-1))</f>
        <v>0</v>
      </c>
      <c r="AD29" s="29" t="n">
        <f aca="false">IF(C29=5,0,AB29-AC29+I29*(((1+DepRate*(1-DepTax))^G29-1)-((1+DepRate*(1-DepTax))^O29-1)))</f>
        <v>0</v>
      </c>
      <c r="AE29" s="30" t="n">
        <f aca="false">IF(J29&gt;0,-PMT(Rm,LoanYears*12,J29)*10000,0)</f>
        <v>0</v>
      </c>
      <c r="AF29" s="21" t="n">
        <f aca="false">IF(J29&gt;0,-PMT((Rate+Stress)/12,LoanYears*12,J29)*12/DSR,0)</f>
        <v>0</v>
      </c>
      <c r="AG29" s="20" t="n">
        <f aca="false">IF(N29&lt;=CapA,1,0)</f>
        <v>1</v>
      </c>
      <c r="AH29" s="20" t="n">
        <f aca="false">IF(N29&lt;=CapB,1,0)</f>
        <v>1</v>
      </c>
      <c r="AI29" s="20" t="n">
        <f aca="false">IF(N29&lt;=CapC,1,0)</f>
        <v>1</v>
      </c>
      <c r="AJ29" s="21" t="n">
        <f aca="false">IF(AG29=1,AD29,-999)</f>
        <v>0</v>
      </c>
      <c r="AK29" s="21" t="n">
        <f aca="false">IF(AH29=1,AD29,-999)</f>
        <v>0</v>
      </c>
      <c r="AL29" s="21" t="n">
        <f aca="false">IF(AI29=1,AD29,-999)</f>
        <v>0</v>
      </c>
      <c r="AM29" s="21" t="str">
        <f aca="false">C29&amp;"|"&amp;E29&amp;"|"&amp;G29&amp;"|"&amp;TEXT(AJ29,"0.00000")</f>
        <v>5|1|5|0.00000</v>
      </c>
      <c r="AN29" s="21" t="str">
        <f aca="false">C29&amp;"|"&amp;E29&amp;"|"&amp;G29&amp;"|"&amp;TEXT(AK29,"0.00000")</f>
        <v>5|1|5|0.00000</v>
      </c>
      <c r="AO29" s="21" t="str">
        <f aca="false">C29&amp;"|"&amp;E29&amp;"|"&amp;G29&amp;"|"&amp;TEXT(AL29,"0.00000")</f>
        <v>5|1|5|0.00000</v>
      </c>
    </row>
    <row r="30" customFormat="false" ht="15" hidden="false" customHeight="false" outlineLevel="0" collapsed="false">
      <c r="A30" s="20" t="n">
        <v>1</v>
      </c>
      <c r="B30" s="18" t="str">
        <f aca="false">INDEX(C_Name,A30)</f>
        <v>문래건영아파트 84㎡</v>
      </c>
      <c r="C30" s="20" t="n">
        <v>5</v>
      </c>
      <c r="D30" s="21" t="str">
        <f aca="false">CHOOSE(C30,"1안 표준형(대출 최대)","2안 절충형(대출 50%)","3안 무대출형","4안 임대차 승계 후 입주","5안 매수 보류(전세 거주)")</f>
        <v>5안 매수 보류(전세 거주)</v>
      </c>
      <c r="E30" s="20" t="n">
        <v>1</v>
      </c>
      <c r="F30" s="10" t="n">
        <f aca="false">CHOOSE(E30,GrowLo,GrowMid,GrowHi)</f>
        <v>0.02</v>
      </c>
      <c r="G30" s="20" t="n">
        <v>10</v>
      </c>
      <c r="H30" s="18" t="n">
        <f aca="false">INDEX(C_Price,A30)</f>
        <v>13.9</v>
      </c>
      <c r="I30" s="18" t="n">
        <f aca="false">INDEX(C_Jeonse,A30)</f>
        <v>7.228</v>
      </c>
      <c r="J30" s="21" t="n">
        <f aca="false">IF(C30=5,0,IF(C30=1,INDEX(C_Loan,A30),IF(C30=2,INDEX(C_Loan,A30)*LoanShare2,IF(C30=3,0,MIN(INDEX(C_Loan,A30),I30)))))</f>
        <v>0</v>
      </c>
      <c r="K30" s="18" t="n">
        <f aca="false">IF(C30=5,0,INDEX(C_Acq,A30))</f>
        <v>0</v>
      </c>
      <c r="L30" s="18" t="n">
        <f aca="false">IF(C30=5,0,INDEX(C_Fee,A30))</f>
        <v>0</v>
      </c>
      <c r="M30" s="21" t="n">
        <f aca="false">IF(C30=4,MAX(0,I30-J30),0)</f>
        <v>0</v>
      </c>
      <c r="N30" s="21" t="n">
        <f aca="false">IF(C30=5,I30,IF(C30=4,(H30-I30)+K30+L30+M30,H30-J30+K30+L30))</f>
        <v>7.228</v>
      </c>
      <c r="O30" s="20" t="n">
        <f aca="false">IF(C30=4,RentYears,0)</f>
        <v>0</v>
      </c>
      <c r="P30" s="20" t="n">
        <f aca="false">IF(C30=5,0,MAX(0,G30-O30-NonRes))</f>
        <v>0</v>
      </c>
      <c r="Q30" s="21" t="n">
        <f aca="false">IF(C30=5,0,H30*(1+F30)^G30)</f>
        <v>0</v>
      </c>
      <c r="R30" s="21" t="n">
        <f aca="false">IF(C30=5,0,Q30*LOOKUP(Q30,FeeLo,FeeR)*(1+VAT))</f>
        <v>0</v>
      </c>
      <c r="S30" s="21" t="n">
        <f aca="false">IF(J30&gt;0,-CUMIPMT(Rm,LoanYears*12,J30,1,(G30-O30)*12,0),0)</f>
        <v>0</v>
      </c>
      <c r="T30" s="29" t="n">
        <f aca="false">IF(C30=5,0,SUMIFS(Sch_Total,Sch_Idx,A30,Sch_Scen,E30,Sch_Year,"&lt;="&amp;G30))</f>
        <v>0</v>
      </c>
      <c r="U30" s="21" t="n">
        <f aca="false">K30+L30+R30</f>
        <v>0</v>
      </c>
      <c r="V30" s="21" t="n">
        <f aca="false">IF(C30=5,0,Q30-H30-U30)</f>
        <v>0</v>
      </c>
      <c r="W30" s="21" t="n">
        <f aca="false">IF(C30=5,0,MAX(0,IF(P30&gt;=2,IF(Q30&gt;Exempt,V30*(Q30-Exempt)/Q30,0),V30)))</f>
        <v>0</v>
      </c>
      <c r="X30" s="10" t="n">
        <f aca="false">IF(P30&gt;=2,MIN(MaxDed,MIN(0.4,HoldRate*G30)+MIN(0.4,LiveRate*P30)),IF(G30&gt;=3,MIN(0.3,0.02*G30),0))</f>
        <v>0.2</v>
      </c>
      <c r="Y30" s="21" t="n">
        <f aca="false">MAX(0,W30*(1-X30)-InitDed)</f>
        <v>0</v>
      </c>
      <c r="Z30" s="29" t="n">
        <f aca="false">SUMPRODUCT((Y30&gt;CLo)*(Y30-CLo)*CD)*(1+LocalTax)</f>
        <v>0</v>
      </c>
      <c r="AA30" s="21" t="n">
        <f aca="false">K30+T30+Z30</f>
        <v>0</v>
      </c>
      <c r="AB30" s="29" t="n">
        <f aca="false">IF(C30=5,0,(Q30-H30)-K30-L30-R30-S30-T30-Z30)</f>
        <v>0</v>
      </c>
      <c r="AC30" s="21" t="n">
        <f aca="false">IF(C30=5,0,N30*((1+DepRate*(1-DepTax))^G30-1))</f>
        <v>0</v>
      </c>
      <c r="AD30" s="29" t="n">
        <f aca="false">IF(C30=5,0,AB30-AC30+I30*(((1+DepRate*(1-DepTax))^G30-1)-((1+DepRate*(1-DepTax))^O30-1)))</f>
        <v>0</v>
      </c>
      <c r="AE30" s="30" t="n">
        <f aca="false">IF(J30&gt;0,-PMT(Rm,LoanYears*12,J30)*10000,0)</f>
        <v>0</v>
      </c>
      <c r="AF30" s="21" t="n">
        <f aca="false">IF(J30&gt;0,-PMT((Rate+Stress)/12,LoanYears*12,J30)*12/DSR,0)</f>
        <v>0</v>
      </c>
      <c r="AG30" s="20" t="n">
        <f aca="false">IF(N30&lt;=CapA,1,0)</f>
        <v>1</v>
      </c>
      <c r="AH30" s="20" t="n">
        <f aca="false">IF(N30&lt;=CapB,1,0)</f>
        <v>1</v>
      </c>
      <c r="AI30" s="20" t="n">
        <f aca="false">IF(N30&lt;=CapC,1,0)</f>
        <v>1</v>
      </c>
      <c r="AJ30" s="21" t="n">
        <f aca="false">IF(AG30=1,AD30,-999)</f>
        <v>0</v>
      </c>
      <c r="AK30" s="21" t="n">
        <f aca="false">IF(AH30=1,AD30,-999)</f>
        <v>0</v>
      </c>
      <c r="AL30" s="21" t="n">
        <f aca="false">IF(AI30=1,AD30,-999)</f>
        <v>0</v>
      </c>
      <c r="AM30" s="21" t="str">
        <f aca="false">C30&amp;"|"&amp;E30&amp;"|"&amp;G30&amp;"|"&amp;TEXT(AJ30,"0.00000")</f>
        <v>5|1|10|0.00000</v>
      </c>
      <c r="AN30" s="21" t="str">
        <f aca="false">C30&amp;"|"&amp;E30&amp;"|"&amp;G30&amp;"|"&amp;TEXT(AK30,"0.00000")</f>
        <v>5|1|10|0.00000</v>
      </c>
      <c r="AO30" s="21" t="str">
        <f aca="false">C30&amp;"|"&amp;E30&amp;"|"&amp;G30&amp;"|"&amp;TEXT(AL30,"0.00000")</f>
        <v>5|1|10|0.00000</v>
      </c>
    </row>
    <row r="31" customFormat="false" ht="15" hidden="false" customHeight="false" outlineLevel="0" collapsed="false">
      <c r="A31" s="20" t="n">
        <v>1</v>
      </c>
      <c r="B31" s="18" t="str">
        <f aca="false">INDEX(C_Name,A31)</f>
        <v>문래건영아파트 84㎡</v>
      </c>
      <c r="C31" s="20" t="n">
        <v>5</v>
      </c>
      <c r="D31" s="21" t="str">
        <f aca="false">CHOOSE(C31,"1안 표준형(대출 최대)","2안 절충형(대출 50%)","3안 무대출형","4안 임대차 승계 후 입주","5안 매수 보류(전세 거주)")</f>
        <v>5안 매수 보류(전세 거주)</v>
      </c>
      <c r="E31" s="20" t="n">
        <v>2</v>
      </c>
      <c r="F31" s="10" t="n">
        <f aca="false">CHOOSE(E31,GrowLo,GrowMid,GrowHi)</f>
        <v>0.04</v>
      </c>
      <c r="G31" s="20" t="n">
        <v>5</v>
      </c>
      <c r="H31" s="18" t="n">
        <f aca="false">INDEX(C_Price,A31)</f>
        <v>13.9</v>
      </c>
      <c r="I31" s="18" t="n">
        <f aca="false">INDEX(C_Jeonse,A31)</f>
        <v>7.228</v>
      </c>
      <c r="J31" s="21" t="n">
        <f aca="false">IF(C31=5,0,IF(C31=1,INDEX(C_Loan,A31),IF(C31=2,INDEX(C_Loan,A31)*LoanShare2,IF(C31=3,0,MIN(INDEX(C_Loan,A31),I31)))))</f>
        <v>0</v>
      </c>
      <c r="K31" s="18" t="n">
        <f aca="false">IF(C31=5,0,INDEX(C_Acq,A31))</f>
        <v>0</v>
      </c>
      <c r="L31" s="18" t="n">
        <f aca="false">IF(C31=5,0,INDEX(C_Fee,A31))</f>
        <v>0</v>
      </c>
      <c r="M31" s="21" t="n">
        <f aca="false">IF(C31=4,MAX(0,I31-J31),0)</f>
        <v>0</v>
      </c>
      <c r="N31" s="21" t="n">
        <f aca="false">IF(C31=5,I31,IF(C31=4,(H31-I31)+K31+L31+M31,H31-J31+K31+L31))</f>
        <v>7.228</v>
      </c>
      <c r="O31" s="20" t="n">
        <f aca="false">IF(C31=4,RentYears,0)</f>
        <v>0</v>
      </c>
      <c r="P31" s="20" t="n">
        <f aca="false">IF(C31=5,0,MAX(0,G31-O31-NonRes))</f>
        <v>0</v>
      </c>
      <c r="Q31" s="21" t="n">
        <f aca="false">IF(C31=5,0,H31*(1+F31)^G31)</f>
        <v>0</v>
      </c>
      <c r="R31" s="21" t="n">
        <f aca="false">IF(C31=5,0,Q31*LOOKUP(Q31,FeeLo,FeeR)*(1+VAT))</f>
        <v>0</v>
      </c>
      <c r="S31" s="21" t="n">
        <f aca="false">IF(J31&gt;0,-CUMIPMT(Rm,LoanYears*12,J31,1,(G31-O31)*12,0),0)</f>
        <v>0</v>
      </c>
      <c r="T31" s="29" t="n">
        <f aca="false">IF(C31=5,0,SUMIFS(Sch_Total,Sch_Idx,A31,Sch_Scen,E31,Sch_Year,"&lt;="&amp;G31))</f>
        <v>0</v>
      </c>
      <c r="U31" s="21" t="n">
        <f aca="false">K31+L31+R31</f>
        <v>0</v>
      </c>
      <c r="V31" s="21" t="n">
        <f aca="false">IF(C31=5,0,Q31-H31-U31)</f>
        <v>0</v>
      </c>
      <c r="W31" s="21" t="n">
        <f aca="false">IF(C31=5,0,MAX(0,IF(P31&gt;=2,IF(Q31&gt;Exempt,V31*(Q31-Exempt)/Q31,0),V31)))</f>
        <v>0</v>
      </c>
      <c r="X31" s="10" t="n">
        <f aca="false">IF(P31&gt;=2,MIN(MaxDed,MIN(0.4,HoldRate*G31)+MIN(0.4,LiveRate*P31)),IF(G31&gt;=3,MIN(0.3,0.02*G31),0))</f>
        <v>0.1</v>
      </c>
      <c r="Y31" s="21" t="n">
        <f aca="false">MAX(0,W31*(1-X31)-InitDed)</f>
        <v>0</v>
      </c>
      <c r="Z31" s="29" t="n">
        <f aca="false">SUMPRODUCT((Y31&gt;CLo)*(Y31-CLo)*CD)*(1+LocalTax)</f>
        <v>0</v>
      </c>
      <c r="AA31" s="21" t="n">
        <f aca="false">K31+T31+Z31</f>
        <v>0</v>
      </c>
      <c r="AB31" s="29" t="n">
        <f aca="false">IF(C31=5,0,(Q31-H31)-K31-L31-R31-S31-T31-Z31)</f>
        <v>0</v>
      </c>
      <c r="AC31" s="21" t="n">
        <f aca="false">IF(C31=5,0,N31*((1+DepRate*(1-DepTax))^G31-1))</f>
        <v>0</v>
      </c>
      <c r="AD31" s="29" t="n">
        <f aca="false">IF(C31=5,0,AB31-AC31+I31*(((1+DepRate*(1-DepTax))^G31-1)-((1+DepRate*(1-DepTax))^O31-1)))</f>
        <v>0</v>
      </c>
      <c r="AE31" s="30" t="n">
        <f aca="false">IF(J31&gt;0,-PMT(Rm,LoanYears*12,J31)*10000,0)</f>
        <v>0</v>
      </c>
      <c r="AF31" s="21" t="n">
        <f aca="false">IF(J31&gt;0,-PMT((Rate+Stress)/12,LoanYears*12,J31)*12/DSR,0)</f>
        <v>0</v>
      </c>
      <c r="AG31" s="20" t="n">
        <f aca="false">IF(N31&lt;=CapA,1,0)</f>
        <v>1</v>
      </c>
      <c r="AH31" s="20" t="n">
        <f aca="false">IF(N31&lt;=CapB,1,0)</f>
        <v>1</v>
      </c>
      <c r="AI31" s="20" t="n">
        <f aca="false">IF(N31&lt;=CapC,1,0)</f>
        <v>1</v>
      </c>
      <c r="AJ31" s="21" t="n">
        <f aca="false">IF(AG31=1,AD31,-999)</f>
        <v>0</v>
      </c>
      <c r="AK31" s="21" t="n">
        <f aca="false">IF(AH31=1,AD31,-999)</f>
        <v>0</v>
      </c>
      <c r="AL31" s="21" t="n">
        <f aca="false">IF(AI31=1,AD31,-999)</f>
        <v>0</v>
      </c>
      <c r="AM31" s="21" t="str">
        <f aca="false">C31&amp;"|"&amp;E31&amp;"|"&amp;G31&amp;"|"&amp;TEXT(AJ31,"0.00000")</f>
        <v>5|2|5|0.00000</v>
      </c>
      <c r="AN31" s="21" t="str">
        <f aca="false">C31&amp;"|"&amp;E31&amp;"|"&amp;G31&amp;"|"&amp;TEXT(AK31,"0.00000")</f>
        <v>5|2|5|0.00000</v>
      </c>
      <c r="AO31" s="21" t="str">
        <f aca="false">C31&amp;"|"&amp;E31&amp;"|"&amp;G31&amp;"|"&amp;TEXT(AL31,"0.00000")</f>
        <v>5|2|5|0.00000</v>
      </c>
    </row>
    <row r="32" customFormat="false" ht="15" hidden="false" customHeight="false" outlineLevel="0" collapsed="false">
      <c r="A32" s="20" t="n">
        <v>1</v>
      </c>
      <c r="B32" s="18" t="str">
        <f aca="false">INDEX(C_Name,A32)</f>
        <v>문래건영아파트 84㎡</v>
      </c>
      <c r="C32" s="20" t="n">
        <v>5</v>
      </c>
      <c r="D32" s="21" t="str">
        <f aca="false">CHOOSE(C32,"1안 표준형(대출 최대)","2안 절충형(대출 50%)","3안 무대출형","4안 임대차 승계 후 입주","5안 매수 보류(전세 거주)")</f>
        <v>5안 매수 보류(전세 거주)</v>
      </c>
      <c r="E32" s="20" t="n">
        <v>2</v>
      </c>
      <c r="F32" s="10" t="n">
        <f aca="false">CHOOSE(E32,GrowLo,GrowMid,GrowHi)</f>
        <v>0.04</v>
      </c>
      <c r="G32" s="20" t="n">
        <v>10</v>
      </c>
      <c r="H32" s="18" t="n">
        <f aca="false">INDEX(C_Price,A32)</f>
        <v>13.9</v>
      </c>
      <c r="I32" s="18" t="n">
        <f aca="false">INDEX(C_Jeonse,A32)</f>
        <v>7.228</v>
      </c>
      <c r="J32" s="21" t="n">
        <f aca="false">IF(C32=5,0,IF(C32=1,INDEX(C_Loan,A32),IF(C32=2,INDEX(C_Loan,A32)*LoanShare2,IF(C32=3,0,MIN(INDEX(C_Loan,A32),I32)))))</f>
        <v>0</v>
      </c>
      <c r="K32" s="18" t="n">
        <f aca="false">IF(C32=5,0,INDEX(C_Acq,A32))</f>
        <v>0</v>
      </c>
      <c r="L32" s="18" t="n">
        <f aca="false">IF(C32=5,0,INDEX(C_Fee,A32))</f>
        <v>0</v>
      </c>
      <c r="M32" s="21" t="n">
        <f aca="false">IF(C32=4,MAX(0,I32-J32),0)</f>
        <v>0</v>
      </c>
      <c r="N32" s="21" t="n">
        <f aca="false">IF(C32=5,I32,IF(C32=4,(H32-I32)+K32+L32+M32,H32-J32+K32+L32))</f>
        <v>7.228</v>
      </c>
      <c r="O32" s="20" t="n">
        <f aca="false">IF(C32=4,RentYears,0)</f>
        <v>0</v>
      </c>
      <c r="P32" s="20" t="n">
        <f aca="false">IF(C32=5,0,MAX(0,G32-O32-NonRes))</f>
        <v>0</v>
      </c>
      <c r="Q32" s="21" t="n">
        <f aca="false">IF(C32=5,0,H32*(1+F32)^G32)</f>
        <v>0</v>
      </c>
      <c r="R32" s="21" t="n">
        <f aca="false">IF(C32=5,0,Q32*LOOKUP(Q32,FeeLo,FeeR)*(1+VAT))</f>
        <v>0</v>
      </c>
      <c r="S32" s="21" t="n">
        <f aca="false">IF(J32&gt;0,-CUMIPMT(Rm,LoanYears*12,J32,1,(G32-O32)*12,0),0)</f>
        <v>0</v>
      </c>
      <c r="T32" s="29" t="n">
        <f aca="false">IF(C32=5,0,SUMIFS(Sch_Total,Sch_Idx,A32,Sch_Scen,E32,Sch_Year,"&lt;="&amp;G32))</f>
        <v>0</v>
      </c>
      <c r="U32" s="21" t="n">
        <f aca="false">K32+L32+R32</f>
        <v>0</v>
      </c>
      <c r="V32" s="21" t="n">
        <f aca="false">IF(C32=5,0,Q32-H32-U32)</f>
        <v>0</v>
      </c>
      <c r="W32" s="21" t="n">
        <f aca="false">IF(C32=5,0,MAX(0,IF(P32&gt;=2,IF(Q32&gt;Exempt,V32*(Q32-Exempt)/Q32,0),V32)))</f>
        <v>0</v>
      </c>
      <c r="X32" s="10" t="n">
        <f aca="false">IF(P32&gt;=2,MIN(MaxDed,MIN(0.4,HoldRate*G32)+MIN(0.4,LiveRate*P32)),IF(G32&gt;=3,MIN(0.3,0.02*G32),0))</f>
        <v>0.2</v>
      </c>
      <c r="Y32" s="21" t="n">
        <f aca="false">MAX(0,W32*(1-X32)-InitDed)</f>
        <v>0</v>
      </c>
      <c r="Z32" s="29" t="n">
        <f aca="false">SUMPRODUCT((Y32&gt;CLo)*(Y32-CLo)*CD)*(1+LocalTax)</f>
        <v>0</v>
      </c>
      <c r="AA32" s="21" t="n">
        <f aca="false">K32+T32+Z32</f>
        <v>0</v>
      </c>
      <c r="AB32" s="29" t="n">
        <f aca="false">IF(C32=5,0,(Q32-H32)-K32-L32-R32-S32-T32-Z32)</f>
        <v>0</v>
      </c>
      <c r="AC32" s="21" t="n">
        <f aca="false">IF(C32=5,0,N32*((1+DepRate*(1-DepTax))^G32-1))</f>
        <v>0</v>
      </c>
      <c r="AD32" s="29" t="n">
        <f aca="false">IF(C32=5,0,AB32-AC32+I32*(((1+DepRate*(1-DepTax))^G32-1)-((1+DepRate*(1-DepTax))^O32-1)))</f>
        <v>0</v>
      </c>
      <c r="AE32" s="30" t="n">
        <f aca="false">IF(J32&gt;0,-PMT(Rm,LoanYears*12,J32)*10000,0)</f>
        <v>0</v>
      </c>
      <c r="AF32" s="21" t="n">
        <f aca="false">IF(J32&gt;0,-PMT((Rate+Stress)/12,LoanYears*12,J32)*12/DSR,0)</f>
        <v>0</v>
      </c>
      <c r="AG32" s="20" t="n">
        <f aca="false">IF(N32&lt;=CapA,1,0)</f>
        <v>1</v>
      </c>
      <c r="AH32" s="20" t="n">
        <f aca="false">IF(N32&lt;=CapB,1,0)</f>
        <v>1</v>
      </c>
      <c r="AI32" s="20" t="n">
        <f aca="false">IF(N32&lt;=CapC,1,0)</f>
        <v>1</v>
      </c>
      <c r="AJ32" s="21" t="n">
        <f aca="false">IF(AG32=1,AD32,-999)</f>
        <v>0</v>
      </c>
      <c r="AK32" s="21" t="n">
        <f aca="false">IF(AH32=1,AD32,-999)</f>
        <v>0</v>
      </c>
      <c r="AL32" s="21" t="n">
        <f aca="false">IF(AI32=1,AD32,-999)</f>
        <v>0</v>
      </c>
      <c r="AM32" s="21" t="str">
        <f aca="false">C32&amp;"|"&amp;E32&amp;"|"&amp;G32&amp;"|"&amp;TEXT(AJ32,"0.00000")</f>
        <v>5|2|10|0.00000</v>
      </c>
      <c r="AN32" s="21" t="str">
        <f aca="false">C32&amp;"|"&amp;E32&amp;"|"&amp;G32&amp;"|"&amp;TEXT(AK32,"0.00000")</f>
        <v>5|2|10|0.00000</v>
      </c>
      <c r="AO32" s="21" t="str">
        <f aca="false">C32&amp;"|"&amp;E32&amp;"|"&amp;G32&amp;"|"&amp;TEXT(AL32,"0.00000")</f>
        <v>5|2|10|0.00000</v>
      </c>
    </row>
    <row r="33" customFormat="false" ht="15" hidden="false" customHeight="false" outlineLevel="0" collapsed="false">
      <c r="A33" s="20" t="n">
        <v>1</v>
      </c>
      <c r="B33" s="18" t="str">
        <f aca="false">INDEX(C_Name,A33)</f>
        <v>문래건영아파트 84㎡</v>
      </c>
      <c r="C33" s="20" t="n">
        <v>5</v>
      </c>
      <c r="D33" s="21" t="str">
        <f aca="false">CHOOSE(C33,"1안 표준형(대출 최대)","2안 절충형(대출 50%)","3안 무대출형","4안 임대차 승계 후 입주","5안 매수 보류(전세 거주)")</f>
        <v>5안 매수 보류(전세 거주)</v>
      </c>
      <c r="E33" s="20" t="n">
        <v>3</v>
      </c>
      <c r="F33" s="10" t="n">
        <f aca="false">CHOOSE(E33,GrowLo,GrowMid,GrowHi)</f>
        <v>0.06</v>
      </c>
      <c r="G33" s="20" t="n">
        <v>5</v>
      </c>
      <c r="H33" s="18" t="n">
        <f aca="false">INDEX(C_Price,A33)</f>
        <v>13.9</v>
      </c>
      <c r="I33" s="18" t="n">
        <f aca="false">INDEX(C_Jeonse,A33)</f>
        <v>7.228</v>
      </c>
      <c r="J33" s="21" t="n">
        <f aca="false">IF(C33=5,0,IF(C33=1,INDEX(C_Loan,A33),IF(C33=2,INDEX(C_Loan,A33)*LoanShare2,IF(C33=3,0,MIN(INDEX(C_Loan,A33),I33)))))</f>
        <v>0</v>
      </c>
      <c r="K33" s="18" t="n">
        <f aca="false">IF(C33=5,0,INDEX(C_Acq,A33))</f>
        <v>0</v>
      </c>
      <c r="L33" s="18" t="n">
        <f aca="false">IF(C33=5,0,INDEX(C_Fee,A33))</f>
        <v>0</v>
      </c>
      <c r="M33" s="21" t="n">
        <f aca="false">IF(C33=4,MAX(0,I33-J33),0)</f>
        <v>0</v>
      </c>
      <c r="N33" s="21" t="n">
        <f aca="false">IF(C33=5,I33,IF(C33=4,(H33-I33)+K33+L33+M33,H33-J33+K33+L33))</f>
        <v>7.228</v>
      </c>
      <c r="O33" s="20" t="n">
        <f aca="false">IF(C33=4,RentYears,0)</f>
        <v>0</v>
      </c>
      <c r="P33" s="20" t="n">
        <f aca="false">IF(C33=5,0,MAX(0,G33-O33-NonRes))</f>
        <v>0</v>
      </c>
      <c r="Q33" s="21" t="n">
        <f aca="false">IF(C33=5,0,H33*(1+F33)^G33)</f>
        <v>0</v>
      </c>
      <c r="R33" s="21" t="n">
        <f aca="false">IF(C33=5,0,Q33*LOOKUP(Q33,FeeLo,FeeR)*(1+VAT))</f>
        <v>0</v>
      </c>
      <c r="S33" s="21" t="n">
        <f aca="false">IF(J33&gt;0,-CUMIPMT(Rm,LoanYears*12,J33,1,(G33-O33)*12,0),0)</f>
        <v>0</v>
      </c>
      <c r="T33" s="29" t="n">
        <f aca="false">IF(C33=5,0,SUMIFS(Sch_Total,Sch_Idx,A33,Sch_Scen,E33,Sch_Year,"&lt;="&amp;G33))</f>
        <v>0</v>
      </c>
      <c r="U33" s="21" t="n">
        <f aca="false">K33+L33+R33</f>
        <v>0</v>
      </c>
      <c r="V33" s="21" t="n">
        <f aca="false">IF(C33=5,0,Q33-H33-U33)</f>
        <v>0</v>
      </c>
      <c r="W33" s="21" t="n">
        <f aca="false">IF(C33=5,0,MAX(0,IF(P33&gt;=2,IF(Q33&gt;Exempt,V33*(Q33-Exempt)/Q33,0),V33)))</f>
        <v>0</v>
      </c>
      <c r="X33" s="10" t="n">
        <f aca="false">IF(P33&gt;=2,MIN(MaxDed,MIN(0.4,HoldRate*G33)+MIN(0.4,LiveRate*P33)),IF(G33&gt;=3,MIN(0.3,0.02*G33),0))</f>
        <v>0.1</v>
      </c>
      <c r="Y33" s="21" t="n">
        <f aca="false">MAX(0,W33*(1-X33)-InitDed)</f>
        <v>0</v>
      </c>
      <c r="Z33" s="29" t="n">
        <f aca="false">SUMPRODUCT((Y33&gt;CLo)*(Y33-CLo)*CD)*(1+LocalTax)</f>
        <v>0</v>
      </c>
      <c r="AA33" s="21" t="n">
        <f aca="false">K33+T33+Z33</f>
        <v>0</v>
      </c>
      <c r="AB33" s="29" t="n">
        <f aca="false">IF(C33=5,0,(Q33-H33)-K33-L33-R33-S33-T33-Z33)</f>
        <v>0</v>
      </c>
      <c r="AC33" s="21" t="n">
        <f aca="false">IF(C33=5,0,N33*((1+DepRate*(1-DepTax))^G33-1))</f>
        <v>0</v>
      </c>
      <c r="AD33" s="29" t="n">
        <f aca="false">IF(C33=5,0,AB33-AC33+I33*(((1+DepRate*(1-DepTax))^G33-1)-((1+DepRate*(1-DepTax))^O33-1)))</f>
        <v>0</v>
      </c>
      <c r="AE33" s="30" t="n">
        <f aca="false">IF(J33&gt;0,-PMT(Rm,LoanYears*12,J33)*10000,0)</f>
        <v>0</v>
      </c>
      <c r="AF33" s="21" t="n">
        <f aca="false">IF(J33&gt;0,-PMT((Rate+Stress)/12,LoanYears*12,J33)*12/DSR,0)</f>
        <v>0</v>
      </c>
      <c r="AG33" s="20" t="n">
        <f aca="false">IF(N33&lt;=CapA,1,0)</f>
        <v>1</v>
      </c>
      <c r="AH33" s="20" t="n">
        <f aca="false">IF(N33&lt;=CapB,1,0)</f>
        <v>1</v>
      </c>
      <c r="AI33" s="20" t="n">
        <f aca="false">IF(N33&lt;=CapC,1,0)</f>
        <v>1</v>
      </c>
      <c r="AJ33" s="21" t="n">
        <f aca="false">IF(AG33=1,AD33,-999)</f>
        <v>0</v>
      </c>
      <c r="AK33" s="21" t="n">
        <f aca="false">IF(AH33=1,AD33,-999)</f>
        <v>0</v>
      </c>
      <c r="AL33" s="21" t="n">
        <f aca="false">IF(AI33=1,AD33,-999)</f>
        <v>0</v>
      </c>
      <c r="AM33" s="21" t="str">
        <f aca="false">C33&amp;"|"&amp;E33&amp;"|"&amp;G33&amp;"|"&amp;TEXT(AJ33,"0.00000")</f>
        <v>5|3|5|0.00000</v>
      </c>
      <c r="AN33" s="21" t="str">
        <f aca="false">C33&amp;"|"&amp;E33&amp;"|"&amp;G33&amp;"|"&amp;TEXT(AK33,"0.00000")</f>
        <v>5|3|5|0.00000</v>
      </c>
      <c r="AO33" s="21" t="str">
        <f aca="false">C33&amp;"|"&amp;E33&amp;"|"&amp;G33&amp;"|"&amp;TEXT(AL33,"0.00000")</f>
        <v>5|3|5|0.00000</v>
      </c>
    </row>
    <row r="34" customFormat="false" ht="15" hidden="false" customHeight="false" outlineLevel="0" collapsed="false">
      <c r="A34" s="20" t="n">
        <v>1</v>
      </c>
      <c r="B34" s="18" t="str">
        <f aca="false">INDEX(C_Name,A34)</f>
        <v>문래건영아파트 84㎡</v>
      </c>
      <c r="C34" s="20" t="n">
        <v>5</v>
      </c>
      <c r="D34" s="21" t="str">
        <f aca="false">CHOOSE(C34,"1안 표준형(대출 최대)","2안 절충형(대출 50%)","3안 무대출형","4안 임대차 승계 후 입주","5안 매수 보류(전세 거주)")</f>
        <v>5안 매수 보류(전세 거주)</v>
      </c>
      <c r="E34" s="20" t="n">
        <v>3</v>
      </c>
      <c r="F34" s="10" t="n">
        <f aca="false">CHOOSE(E34,GrowLo,GrowMid,GrowHi)</f>
        <v>0.06</v>
      </c>
      <c r="G34" s="20" t="n">
        <v>10</v>
      </c>
      <c r="H34" s="18" t="n">
        <f aca="false">INDEX(C_Price,A34)</f>
        <v>13.9</v>
      </c>
      <c r="I34" s="18" t="n">
        <f aca="false">INDEX(C_Jeonse,A34)</f>
        <v>7.228</v>
      </c>
      <c r="J34" s="21" t="n">
        <f aca="false">IF(C34=5,0,IF(C34=1,INDEX(C_Loan,A34),IF(C34=2,INDEX(C_Loan,A34)*LoanShare2,IF(C34=3,0,MIN(INDEX(C_Loan,A34),I34)))))</f>
        <v>0</v>
      </c>
      <c r="K34" s="18" t="n">
        <f aca="false">IF(C34=5,0,INDEX(C_Acq,A34))</f>
        <v>0</v>
      </c>
      <c r="L34" s="18" t="n">
        <f aca="false">IF(C34=5,0,INDEX(C_Fee,A34))</f>
        <v>0</v>
      </c>
      <c r="M34" s="21" t="n">
        <f aca="false">IF(C34=4,MAX(0,I34-J34),0)</f>
        <v>0</v>
      </c>
      <c r="N34" s="21" t="n">
        <f aca="false">IF(C34=5,I34,IF(C34=4,(H34-I34)+K34+L34+M34,H34-J34+K34+L34))</f>
        <v>7.228</v>
      </c>
      <c r="O34" s="20" t="n">
        <f aca="false">IF(C34=4,RentYears,0)</f>
        <v>0</v>
      </c>
      <c r="P34" s="20" t="n">
        <f aca="false">IF(C34=5,0,MAX(0,G34-O34-NonRes))</f>
        <v>0</v>
      </c>
      <c r="Q34" s="21" t="n">
        <f aca="false">IF(C34=5,0,H34*(1+F34)^G34)</f>
        <v>0</v>
      </c>
      <c r="R34" s="21" t="n">
        <f aca="false">IF(C34=5,0,Q34*LOOKUP(Q34,FeeLo,FeeR)*(1+VAT))</f>
        <v>0</v>
      </c>
      <c r="S34" s="21" t="n">
        <f aca="false">IF(J34&gt;0,-CUMIPMT(Rm,LoanYears*12,J34,1,(G34-O34)*12,0),0)</f>
        <v>0</v>
      </c>
      <c r="T34" s="29" t="n">
        <f aca="false">IF(C34=5,0,SUMIFS(Sch_Total,Sch_Idx,A34,Sch_Scen,E34,Sch_Year,"&lt;="&amp;G34))</f>
        <v>0</v>
      </c>
      <c r="U34" s="21" t="n">
        <f aca="false">K34+L34+R34</f>
        <v>0</v>
      </c>
      <c r="V34" s="21" t="n">
        <f aca="false">IF(C34=5,0,Q34-H34-U34)</f>
        <v>0</v>
      </c>
      <c r="W34" s="21" t="n">
        <f aca="false">IF(C34=5,0,MAX(0,IF(P34&gt;=2,IF(Q34&gt;Exempt,V34*(Q34-Exempt)/Q34,0),V34)))</f>
        <v>0</v>
      </c>
      <c r="X34" s="10" t="n">
        <f aca="false">IF(P34&gt;=2,MIN(MaxDed,MIN(0.4,HoldRate*G34)+MIN(0.4,LiveRate*P34)),IF(G34&gt;=3,MIN(0.3,0.02*G34),0))</f>
        <v>0.2</v>
      </c>
      <c r="Y34" s="21" t="n">
        <f aca="false">MAX(0,W34*(1-X34)-InitDed)</f>
        <v>0</v>
      </c>
      <c r="Z34" s="29" t="n">
        <f aca="false">SUMPRODUCT((Y34&gt;CLo)*(Y34-CLo)*CD)*(1+LocalTax)</f>
        <v>0</v>
      </c>
      <c r="AA34" s="21" t="n">
        <f aca="false">K34+T34+Z34</f>
        <v>0</v>
      </c>
      <c r="AB34" s="29" t="n">
        <f aca="false">IF(C34=5,0,(Q34-H34)-K34-L34-R34-S34-T34-Z34)</f>
        <v>0</v>
      </c>
      <c r="AC34" s="21" t="n">
        <f aca="false">IF(C34=5,0,N34*((1+DepRate*(1-DepTax))^G34-1))</f>
        <v>0</v>
      </c>
      <c r="AD34" s="29" t="n">
        <f aca="false">IF(C34=5,0,AB34-AC34+I34*(((1+DepRate*(1-DepTax))^G34-1)-((1+DepRate*(1-DepTax))^O34-1)))</f>
        <v>0</v>
      </c>
      <c r="AE34" s="30" t="n">
        <f aca="false">IF(J34&gt;0,-PMT(Rm,LoanYears*12,J34)*10000,0)</f>
        <v>0</v>
      </c>
      <c r="AF34" s="21" t="n">
        <f aca="false">IF(J34&gt;0,-PMT((Rate+Stress)/12,LoanYears*12,J34)*12/DSR,0)</f>
        <v>0</v>
      </c>
      <c r="AG34" s="20" t="n">
        <f aca="false">IF(N34&lt;=CapA,1,0)</f>
        <v>1</v>
      </c>
      <c r="AH34" s="20" t="n">
        <f aca="false">IF(N34&lt;=CapB,1,0)</f>
        <v>1</v>
      </c>
      <c r="AI34" s="20" t="n">
        <f aca="false">IF(N34&lt;=CapC,1,0)</f>
        <v>1</v>
      </c>
      <c r="AJ34" s="21" t="n">
        <f aca="false">IF(AG34=1,AD34,-999)</f>
        <v>0</v>
      </c>
      <c r="AK34" s="21" t="n">
        <f aca="false">IF(AH34=1,AD34,-999)</f>
        <v>0</v>
      </c>
      <c r="AL34" s="21" t="n">
        <f aca="false">IF(AI34=1,AD34,-999)</f>
        <v>0</v>
      </c>
      <c r="AM34" s="21" t="str">
        <f aca="false">C34&amp;"|"&amp;E34&amp;"|"&amp;G34&amp;"|"&amp;TEXT(AJ34,"0.00000")</f>
        <v>5|3|10|0.00000</v>
      </c>
      <c r="AN34" s="21" t="str">
        <f aca="false">C34&amp;"|"&amp;E34&amp;"|"&amp;G34&amp;"|"&amp;TEXT(AK34,"0.00000")</f>
        <v>5|3|10|0.00000</v>
      </c>
      <c r="AO34" s="21" t="str">
        <f aca="false">C34&amp;"|"&amp;E34&amp;"|"&amp;G34&amp;"|"&amp;TEXT(AL34,"0.00000")</f>
        <v>5|3|10|0.00000</v>
      </c>
    </row>
    <row r="35" customFormat="false" ht="15" hidden="false" customHeight="false" outlineLevel="0" collapsed="false">
      <c r="A35" s="20" t="n">
        <v>2</v>
      </c>
      <c r="B35" s="18" t="str">
        <f aca="false">INDEX(C_Name,A35)</f>
        <v>e편한세상 문래 에듀플라츠 84.99㎡</v>
      </c>
      <c r="C35" s="20" t="n">
        <v>1</v>
      </c>
      <c r="D35" s="21" t="str">
        <f aca="false">CHOOSE(C35,"1안 표준형(대출 최대)","2안 절충형(대출 50%)","3안 무대출형","4안 임대차 승계 후 입주","5안 매수 보류(전세 거주)")</f>
        <v>1안 표준형(대출 최대)</v>
      </c>
      <c r="E35" s="20" t="n">
        <v>1</v>
      </c>
      <c r="F35" s="10" t="n">
        <f aca="false">CHOOSE(E35,GrowLo,GrowMid,GrowHi)</f>
        <v>0.02</v>
      </c>
      <c r="G35" s="20" t="n">
        <v>5</v>
      </c>
      <c r="H35" s="18" t="n">
        <f aca="false">INDEX(C_Price,A35)</f>
        <v>14.9</v>
      </c>
      <c r="I35" s="18" t="n">
        <f aca="false">INDEX(C_Jeonse,A35)</f>
        <v>7.748</v>
      </c>
      <c r="J35" s="21" t="n">
        <f aca="false">IF(C35=5,0,IF(C35=1,INDEX(C_Loan,A35),IF(C35=2,INDEX(C_Loan,A35)*LoanShare2,IF(C35=3,0,MIN(INDEX(C_Loan,A35),I35)))))</f>
        <v>5.96</v>
      </c>
      <c r="K35" s="18" t="n">
        <f aca="false">IF(C35=5,0,INDEX(C_Acq,A35))</f>
        <v>0.4917</v>
      </c>
      <c r="L35" s="18" t="n">
        <f aca="false">IF(C35=5,0,INDEX(C_Fee,A35))</f>
        <v>0.11834</v>
      </c>
      <c r="M35" s="21" t="n">
        <f aca="false">IF(C35=4,MAX(0,I35-J35),0)</f>
        <v>0</v>
      </c>
      <c r="N35" s="21" t="n">
        <f aca="false">IF(C35=5,I35,IF(C35=4,(H35-I35)+K35+L35+M35,H35-J35+K35+L35))</f>
        <v>9.55004</v>
      </c>
      <c r="O35" s="20" t="n">
        <f aca="false">IF(C35=4,RentYears,0)</f>
        <v>0</v>
      </c>
      <c r="P35" s="20" t="n">
        <f aca="false">IF(C35=5,0,MAX(0,G35-O35-NonRes))</f>
        <v>5</v>
      </c>
      <c r="Q35" s="21" t="n">
        <f aca="false">IF(C35=5,0,H35*(1+F35)^G35)</f>
        <v>16.45080396768</v>
      </c>
      <c r="R35" s="21" t="n">
        <f aca="false">IF(C35=5,0,Q35*LOOKUP(Q35,FeeLo,FeeR)*(1+VAT))</f>
        <v>0.126671190551136</v>
      </c>
      <c r="S35" s="21" t="n">
        <f aca="false">IF(J35&gt;0,-CUMIPMT(Rm,LoanYears*12,J35,1,(G35-O35)*12,0),0)</f>
        <v>1.1379088794955</v>
      </c>
      <c r="T35" s="29" t="n">
        <f aca="false">IF(C35=5,0,SUMIFS(Sch_Total,Sch_Idx,A35,Sch_Scen,E35,Sch_Year,"&lt;="&amp;G35))</f>
        <v>0.161230181212051</v>
      </c>
      <c r="U35" s="21" t="n">
        <f aca="false">K35+L35+R35</f>
        <v>0.736711190551136</v>
      </c>
      <c r="V35" s="21" t="n">
        <f aca="false">IF(C35=5,0,Q35-H35-U35)</f>
        <v>0.814092777128862</v>
      </c>
      <c r="W35" s="21" t="n">
        <f aca="false">IF(C35=5,0,MAX(0,IF(P35&gt;=2,IF(Q35&gt;Exempt,V35*(Q35-Exempt)/Q35,0),V35)))</f>
        <v>0.220254728560586</v>
      </c>
      <c r="X35" s="10" t="n">
        <f aca="false">IF(P35&gt;=2,MIN(MaxDed,MIN(0.4,HoldRate*G35)+MIN(0.4,LiveRate*P35)),IF(G35&gt;=3,MIN(0.3,0.02*G35),0))</f>
        <v>0.4</v>
      </c>
      <c r="Y35" s="21" t="n">
        <f aca="false">MAX(0,W35*(1-X35)-InitDed)</f>
        <v>0.107152837136352</v>
      </c>
      <c r="Z35" s="29" t="n">
        <f aca="false">SUMPRODUCT((Y35&gt;CLo)*(Y35-CLo)*CD)*(1+LocalTax)</f>
        <v>0.00707208725099921</v>
      </c>
      <c r="AA35" s="21" t="n">
        <f aca="false">K35+T35+Z35</f>
        <v>0.66000226846305</v>
      </c>
      <c r="AB35" s="29" t="n">
        <f aca="false">IF(C35=5,0,(Q35-H35)-K35-L35-R35-S35-T35-Z35)</f>
        <v>-0.492118370829691</v>
      </c>
      <c r="AC35" s="21" t="n">
        <f aca="false">IF(C35=5,0,N35*((1+DepRate*(1-DepTax))^G35-1))</f>
        <v>1.27499731433006</v>
      </c>
      <c r="AD35" s="29" t="n">
        <f aca="false">IF(C35=5,0,AB35-AC35+I35*(((1+DepRate*(1-DepTax))^G35-1)-((1+DepRate*(1-DepTax))^O35-1)))</f>
        <v>-0.732703348517255</v>
      </c>
      <c r="AE35" s="30" t="n">
        <f aca="false">IF(J35&gt;0,-PMT(Rm,LoanYears*12,J35)*10000,0)</f>
        <v>284.539516097414</v>
      </c>
      <c r="AF35" s="21" t="n">
        <f aca="false">IF(J35&gt;0,-PMT((Rate+Stress)/12,LoanYears*12,J35)*12/DSR,0)</f>
        <v>1.18956086138038</v>
      </c>
      <c r="AG35" s="20" t="n">
        <f aca="false">IF(N35&lt;=CapA,1,0)</f>
        <v>1</v>
      </c>
      <c r="AH35" s="20" t="n">
        <f aca="false">IF(N35&lt;=CapB,1,0)</f>
        <v>1</v>
      </c>
      <c r="AI35" s="20" t="n">
        <f aca="false">IF(N35&lt;=CapC,1,0)</f>
        <v>1</v>
      </c>
      <c r="AJ35" s="21" t="n">
        <f aca="false">IF(AG35=1,AD35,-999)</f>
        <v>-0.732703348517255</v>
      </c>
      <c r="AK35" s="21" t="n">
        <f aca="false">IF(AH35=1,AD35,-999)</f>
        <v>-0.732703348517255</v>
      </c>
      <c r="AL35" s="21" t="n">
        <f aca="false">IF(AI35=1,AD35,-999)</f>
        <v>-0.732703348517255</v>
      </c>
      <c r="AM35" s="21" t="str">
        <f aca="false">C35&amp;"|"&amp;E35&amp;"|"&amp;G35&amp;"|"&amp;TEXT(AJ35,"0.00000")</f>
        <v>1|1|5|-0.73270</v>
      </c>
      <c r="AN35" s="21" t="str">
        <f aca="false">C35&amp;"|"&amp;E35&amp;"|"&amp;G35&amp;"|"&amp;TEXT(AK35,"0.00000")</f>
        <v>1|1|5|-0.73270</v>
      </c>
      <c r="AO35" s="21" t="str">
        <f aca="false">C35&amp;"|"&amp;E35&amp;"|"&amp;G35&amp;"|"&amp;TEXT(AL35,"0.00000")</f>
        <v>1|1|5|-0.73270</v>
      </c>
    </row>
    <row r="36" customFormat="false" ht="15" hidden="false" customHeight="false" outlineLevel="0" collapsed="false">
      <c r="A36" s="20" t="n">
        <v>2</v>
      </c>
      <c r="B36" s="18" t="str">
        <f aca="false">INDEX(C_Name,A36)</f>
        <v>e편한세상 문래 에듀플라츠 84.99㎡</v>
      </c>
      <c r="C36" s="20" t="n">
        <v>1</v>
      </c>
      <c r="D36" s="21" t="str">
        <f aca="false">CHOOSE(C36,"1안 표준형(대출 최대)","2안 절충형(대출 50%)","3안 무대출형","4안 임대차 승계 후 입주","5안 매수 보류(전세 거주)")</f>
        <v>1안 표준형(대출 최대)</v>
      </c>
      <c r="E36" s="20" t="n">
        <v>1</v>
      </c>
      <c r="F36" s="10" t="n">
        <f aca="false">CHOOSE(E36,GrowLo,GrowMid,GrowHi)</f>
        <v>0.02</v>
      </c>
      <c r="G36" s="20" t="n">
        <v>10</v>
      </c>
      <c r="H36" s="18" t="n">
        <f aca="false">INDEX(C_Price,A36)</f>
        <v>14.9</v>
      </c>
      <c r="I36" s="18" t="n">
        <f aca="false">INDEX(C_Jeonse,A36)</f>
        <v>7.748</v>
      </c>
      <c r="J36" s="21" t="n">
        <f aca="false">IF(C36=5,0,IF(C36=1,INDEX(C_Loan,A36),IF(C36=2,INDEX(C_Loan,A36)*LoanShare2,IF(C36=3,0,MIN(INDEX(C_Loan,A36),I36)))))</f>
        <v>5.96</v>
      </c>
      <c r="K36" s="18" t="n">
        <f aca="false">IF(C36=5,0,INDEX(C_Acq,A36))</f>
        <v>0.4917</v>
      </c>
      <c r="L36" s="18" t="n">
        <f aca="false">IF(C36=5,0,INDEX(C_Fee,A36))</f>
        <v>0.11834</v>
      </c>
      <c r="M36" s="21" t="n">
        <f aca="false">IF(C36=4,MAX(0,I36-J36),0)</f>
        <v>0</v>
      </c>
      <c r="N36" s="21" t="n">
        <f aca="false">IF(C36=5,I36,IF(C36=4,(H36-I36)+K36+L36+M36,H36-J36+K36+L36))</f>
        <v>9.55004</v>
      </c>
      <c r="O36" s="20" t="n">
        <f aca="false">IF(C36=4,RentYears,0)</f>
        <v>0</v>
      </c>
      <c r="P36" s="20" t="n">
        <f aca="false">IF(C36=5,0,MAX(0,G36-O36-NonRes))</f>
        <v>10</v>
      </c>
      <c r="Q36" s="21" t="n">
        <f aca="false">IF(C36=5,0,H36*(1+F36)^G36)</f>
        <v>18.1630168579219</v>
      </c>
      <c r="R36" s="21" t="n">
        <f aca="false">IF(C36=5,0,Q36*LOOKUP(Q36,FeeLo,FeeR)*(1+VAT))</f>
        <v>0.139855229805999</v>
      </c>
      <c r="S36" s="21" t="n">
        <f aca="false">IF(J36&gt;0,-CUMIPMT(Rm,LoanYears*12,J36,1,(G36-O36)*12,0),0)</f>
        <v>2.1499981621792</v>
      </c>
      <c r="T36" s="29" t="n">
        <f aca="false">IF(C36=5,0,SUMIFS(Sch_Total,Sch_Idx,A36,Sch_Scen,E36,Sch_Year,"&lt;="&amp;G36))</f>
        <v>0.344372860004419</v>
      </c>
      <c r="U36" s="21" t="n">
        <f aca="false">K36+L36+R36</f>
        <v>0.749895229805999</v>
      </c>
      <c r="V36" s="21" t="n">
        <f aca="false">IF(C36=5,0,Q36-H36-U36)</f>
        <v>2.51312162811589</v>
      </c>
      <c r="W36" s="21" t="n">
        <f aca="false">IF(C36=5,0,MAX(0,IF(P36&gt;=2,IF(Q36&gt;Exempt,V36*(Q36-Exempt)/Q36,0),V36)))</f>
        <v>0.852744402609028</v>
      </c>
      <c r="X36" s="10" t="n">
        <f aca="false">IF(P36&gt;=2,MIN(MaxDed,MIN(0.4,HoldRate*G36)+MIN(0.4,LiveRate*P36)),IF(G36&gt;=3,MIN(0.3,0.02*G36),0))</f>
        <v>0.8</v>
      </c>
      <c r="Y36" s="21" t="n">
        <f aca="false">MAX(0,W36*(1-X36)-InitDed)</f>
        <v>0.145548880521806</v>
      </c>
      <c r="Z36" s="29" t="n">
        <f aca="false">SUMPRODUCT((Y36&gt;CLo)*(Y36-CLo)*CD)*(1+LocalTax)</f>
        <v>0.0101555652860979</v>
      </c>
      <c r="AA36" s="21" t="n">
        <f aca="false">K36+T36+Z36</f>
        <v>0.846228425290517</v>
      </c>
      <c r="AB36" s="29" t="n">
        <f aca="false">IF(C36=5,0,(Q36-H36)-K36-L36-R36-S36-T36-Z36)</f>
        <v>0.00859504064616888</v>
      </c>
      <c r="AC36" s="21" t="n">
        <f aca="false">IF(C36=5,0,N36*((1+DepRate*(1-DepTax))^G36-1))</f>
        <v>2.72021571166593</v>
      </c>
      <c r="AD36" s="29" t="n">
        <f aca="false">IF(C36=5,0,AB36-AC36+I36*(((1+DepRate*(1-DepTax))^G36-1)-((1+DepRate*(1-DepTax))^O36-1)))</f>
        <v>-0.504694696470165</v>
      </c>
      <c r="AE36" s="30" t="n">
        <f aca="false">IF(J36&gt;0,-PMT(Rm,LoanYears*12,J36)*10000,0)</f>
        <v>284.539516097414</v>
      </c>
      <c r="AF36" s="21" t="n">
        <f aca="false">IF(J36&gt;0,-PMT((Rate+Stress)/12,LoanYears*12,J36)*12/DSR,0)</f>
        <v>1.18956086138038</v>
      </c>
      <c r="AG36" s="20" t="n">
        <f aca="false">IF(N36&lt;=CapA,1,0)</f>
        <v>1</v>
      </c>
      <c r="AH36" s="20" t="n">
        <f aca="false">IF(N36&lt;=CapB,1,0)</f>
        <v>1</v>
      </c>
      <c r="AI36" s="20" t="n">
        <f aca="false">IF(N36&lt;=CapC,1,0)</f>
        <v>1</v>
      </c>
      <c r="AJ36" s="21" t="n">
        <f aca="false">IF(AG36=1,AD36,-999)</f>
        <v>-0.504694696470165</v>
      </c>
      <c r="AK36" s="21" t="n">
        <f aca="false">IF(AH36=1,AD36,-999)</f>
        <v>-0.504694696470165</v>
      </c>
      <c r="AL36" s="21" t="n">
        <f aca="false">IF(AI36=1,AD36,-999)</f>
        <v>-0.504694696470165</v>
      </c>
      <c r="AM36" s="21" t="str">
        <f aca="false">C36&amp;"|"&amp;E36&amp;"|"&amp;G36&amp;"|"&amp;TEXT(AJ36,"0.00000")</f>
        <v>1|1|10|-0.50469</v>
      </c>
      <c r="AN36" s="21" t="str">
        <f aca="false">C36&amp;"|"&amp;E36&amp;"|"&amp;G36&amp;"|"&amp;TEXT(AK36,"0.00000")</f>
        <v>1|1|10|-0.50469</v>
      </c>
      <c r="AO36" s="21" t="str">
        <f aca="false">C36&amp;"|"&amp;E36&amp;"|"&amp;G36&amp;"|"&amp;TEXT(AL36,"0.00000")</f>
        <v>1|1|10|-0.50469</v>
      </c>
    </row>
    <row r="37" customFormat="false" ht="15" hidden="false" customHeight="false" outlineLevel="0" collapsed="false">
      <c r="A37" s="20" t="n">
        <v>2</v>
      </c>
      <c r="B37" s="18" t="str">
        <f aca="false">INDEX(C_Name,A37)</f>
        <v>e편한세상 문래 에듀플라츠 84.99㎡</v>
      </c>
      <c r="C37" s="20" t="n">
        <v>1</v>
      </c>
      <c r="D37" s="21" t="str">
        <f aca="false">CHOOSE(C37,"1안 표준형(대출 최대)","2안 절충형(대출 50%)","3안 무대출형","4안 임대차 승계 후 입주","5안 매수 보류(전세 거주)")</f>
        <v>1안 표준형(대출 최대)</v>
      </c>
      <c r="E37" s="20" t="n">
        <v>2</v>
      </c>
      <c r="F37" s="10" t="n">
        <f aca="false">CHOOSE(E37,GrowLo,GrowMid,GrowHi)</f>
        <v>0.04</v>
      </c>
      <c r="G37" s="20" t="n">
        <v>5</v>
      </c>
      <c r="H37" s="18" t="n">
        <f aca="false">INDEX(C_Price,A37)</f>
        <v>14.9</v>
      </c>
      <c r="I37" s="18" t="n">
        <f aca="false">INDEX(C_Jeonse,A37)</f>
        <v>7.748</v>
      </c>
      <c r="J37" s="21" t="n">
        <f aca="false">IF(C37=5,0,IF(C37=1,INDEX(C_Loan,A37),IF(C37=2,INDEX(C_Loan,A37)*LoanShare2,IF(C37=3,0,MIN(INDEX(C_Loan,A37),I37)))))</f>
        <v>5.96</v>
      </c>
      <c r="K37" s="18" t="n">
        <f aca="false">IF(C37=5,0,INDEX(C_Acq,A37))</f>
        <v>0.4917</v>
      </c>
      <c r="L37" s="18" t="n">
        <f aca="false">IF(C37=5,0,INDEX(C_Fee,A37))</f>
        <v>0.11834</v>
      </c>
      <c r="M37" s="21" t="n">
        <f aca="false">IF(C37=4,MAX(0,I37-J37),0)</f>
        <v>0</v>
      </c>
      <c r="N37" s="21" t="n">
        <f aca="false">IF(C37=5,I37,IF(C37=4,(H37-I37)+K37+L37+M37,H37-J37+K37+L37))</f>
        <v>9.55004</v>
      </c>
      <c r="O37" s="20" t="n">
        <f aca="false">IF(C37=4,RentYears,0)</f>
        <v>0</v>
      </c>
      <c r="P37" s="20" t="n">
        <f aca="false">IF(C37=5,0,MAX(0,G37-O37-NonRes))</f>
        <v>5</v>
      </c>
      <c r="Q37" s="21" t="n">
        <f aca="false">IF(C37=5,0,H37*(1+F37)^G37)</f>
        <v>18.12812824576</v>
      </c>
      <c r="R37" s="21" t="n">
        <f aca="false">IF(C37=5,0,Q37*LOOKUP(Q37,FeeLo,FeeR)*(1+VAT))</f>
        <v>0.139586587492352</v>
      </c>
      <c r="S37" s="21" t="n">
        <f aca="false">IF(J37&gt;0,-CUMIPMT(Rm,LoanYears*12,J37,1,(G37-O37)*12,0),0)</f>
        <v>1.1379088794955</v>
      </c>
      <c r="T37" s="29" t="n">
        <f aca="false">IF(C37=5,0,SUMIFS(Sch_Total,Sch_Idx,A37,Sch_Scen,E37,Sch_Year,"&lt;="&amp;G37))</f>
        <v>0.169447326609715</v>
      </c>
      <c r="U37" s="21" t="n">
        <f aca="false">K37+L37+R37</f>
        <v>0.749626587492352</v>
      </c>
      <c r="V37" s="21" t="n">
        <f aca="false">IF(C37=5,0,Q37-H37-U37)</f>
        <v>2.47850165826765</v>
      </c>
      <c r="W37" s="21" t="n">
        <f aca="false">IF(C37=5,0,MAX(0,IF(P37&gt;=2,IF(Q37&gt;Exempt,V37*(Q37-Exempt)/Q37,0),V37)))</f>
        <v>0.837845794848978</v>
      </c>
      <c r="X37" s="10" t="n">
        <f aca="false">IF(P37&gt;=2,MIN(MaxDed,MIN(0.4,HoldRate*G37)+MIN(0.4,LiveRate*P37)),IF(G37&gt;=3,MIN(0.3,0.02*G37),0))</f>
        <v>0.4</v>
      </c>
      <c r="Y37" s="21" t="n">
        <f aca="false">MAX(0,W37*(1-X37)-InitDed)</f>
        <v>0.477707476909387</v>
      </c>
      <c r="Z37" s="29" t="n">
        <f aca="false">SUMPRODUCT((Y37&gt;CLo)*(Y37-CLo)*CD)*(1+LocalTax)</f>
        <v>0.0649617336900488</v>
      </c>
      <c r="AA37" s="21" t="n">
        <f aca="false">K37+T37+Z37</f>
        <v>0.726109060299764</v>
      </c>
      <c r="AB37" s="29" t="n">
        <f aca="false">IF(C37=5,0,(Q37-H37)-K37-L37-R37-S37-T37-Z37)</f>
        <v>1.10618371847238</v>
      </c>
      <c r="AC37" s="21" t="n">
        <f aca="false">IF(C37=5,0,N37*((1+DepRate*(1-DepTax))^G37-1))</f>
        <v>1.27499731433006</v>
      </c>
      <c r="AD37" s="29" t="n">
        <f aca="false">IF(C37=5,0,AB37-AC37+I37*(((1+DepRate*(1-DepTax))^G37-1)-((1+DepRate*(1-DepTax))^O37-1)))</f>
        <v>0.86559874078482</v>
      </c>
      <c r="AE37" s="30" t="n">
        <f aca="false">IF(J37&gt;0,-PMT(Rm,LoanYears*12,J37)*10000,0)</f>
        <v>284.539516097414</v>
      </c>
      <c r="AF37" s="21" t="n">
        <f aca="false">IF(J37&gt;0,-PMT((Rate+Stress)/12,LoanYears*12,J37)*12/DSR,0)</f>
        <v>1.18956086138038</v>
      </c>
      <c r="AG37" s="20" t="n">
        <f aca="false">IF(N37&lt;=CapA,1,0)</f>
        <v>1</v>
      </c>
      <c r="AH37" s="20" t="n">
        <f aca="false">IF(N37&lt;=CapB,1,0)</f>
        <v>1</v>
      </c>
      <c r="AI37" s="20" t="n">
        <f aca="false">IF(N37&lt;=CapC,1,0)</f>
        <v>1</v>
      </c>
      <c r="AJ37" s="21" t="n">
        <f aca="false">IF(AG37=1,AD37,-999)</f>
        <v>0.86559874078482</v>
      </c>
      <c r="AK37" s="21" t="n">
        <f aca="false">IF(AH37=1,AD37,-999)</f>
        <v>0.86559874078482</v>
      </c>
      <c r="AL37" s="21" t="n">
        <f aca="false">IF(AI37=1,AD37,-999)</f>
        <v>0.86559874078482</v>
      </c>
      <c r="AM37" s="21" t="str">
        <f aca="false">C37&amp;"|"&amp;E37&amp;"|"&amp;G37&amp;"|"&amp;TEXT(AJ37,"0.00000")</f>
        <v>1|2|5|0.86560</v>
      </c>
      <c r="AN37" s="21" t="str">
        <f aca="false">C37&amp;"|"&amp;E37&amp;"|"&amp;G37&amp;"|"&amp;TEXT(AK37,"0.00000")</f>
        <v>1|2|5|0.86560</v>
      </c>
      <c r="AO37" s="21" t="str">
        <f aca="false">C37&amp;"|"&amp;E37&amp;"|"&amp;G37&amp;"|"&amp;TEXT(AL37,"0.00000")</f>
        <v>1|2|5|0.86560</v>
      </c>
    </row>
    <row r="38" customFormat="false" ht="15" hidden="false" customHeight="false" outlineLevel="0" collapsed="false">
      <c r="A38" s="20" t="n">
        <v>2</v>
      </c>
      <c r="B38" s="18" t="str">
        <f aca="false">INDEX(C_Name,A38)</f>
        <v>e편한세상 문래 에듀플라츠 84.99㎡</v>
      </c>
      <c r="C38" s="20" t="n">
        <v>1</v>
      </c>
      <c r="D38" s="21" t="str">
        <f aca="false">CHOOSE(C38,"1안 표준형(대출 최대)","2안 절충형(대출 50%)","3안 무대출형","4안 임대차 승계 후 입주","5안 매수 보류(전세 거주)")</f>
        <v>1안 표준형(대출 최대)</v>
      </c>
      <c r="E38" s="20" t="n">
        <v>2</v>
      </c>
      <c r="F38" s="10" t="n">
        <f aca="false">CHOOSE(E38,GrowLo,GrowMid,GrowHi)</f>
        <v>0.04</v>
      </c>
      <c r="G38" s="20" t="n">
        <v>10</v>
      </c>
      <c r="H38" s="18" t="n">
        <f aca="false">INDEX(C_Price,A38)</f>
        <v>14.9</v>
      </c>
      <c r="I38" s="18" t="n">
        <f aca="false">INDEX(C_Jeonse,A38)</f>
        <v>7.748</v>
      </c>
      <c r="J38" s="21" t="n">
        <f aca="false">IF(C38=5,0,IF(C38=1,INDEX(C_Loan,A38),IF(C38=2,INDEX(C_Loan,A38)*LoanShare2,IF(C38=3,0,MIN(INDEX(C_Loan,A38),I38)))))</f>
        <v>5.96</v>
      </c>
      <c r="K38" s="18" t="n">
        <f aca="false">IF(C38=5,0,INDEX(C_Acq,A38))</f>
        <v>0.4917</v>
      </c>
      <c r="L38" s="18" t="n">
        <f aca="false">IF(C38=5,0,INDEX(C_Fee,A38))</f>
        <v>0.11834</v>
      </c>
      <c r="M38" s="21" t="n">
        <f aca="false">IF(C38=4,MAX(0,I38-J38),0)</f>
        <v>0</v>
      </c>
      <c r="N38" s="21" t="n">
        <f aca="false">IF(C38=5,I38,IF(C38=4,(H38-I38)+K38+L38+M38,H38-J38+K38+L38))</f>
        <v>9.55004</v>
      </c>
      <c r="O38" s="20" t="n">
        <f aca="false">IF(C38=4,RentYears,0)</f>
        <v>0</v>
      </c>
      <c r="P38" s="20" t="n">
        <f aca="false">IF(C38=5,0,MAX(0,G38-O38-NonRes))</f>
        <v>10</v>
      </c>
      <c r="Q38" s="21" t="n">
        <f aca="false">IF(C38=5,0,H38*(1+F38)^G38)</f>
        <v>22.0556398452833</v>
      </c>
      <c r="R38" s="21" t="n">
        <f aca="false">IF(C38=5,0,Q38*LOOKUP(Q38,FeeLo,FeeR)*(1+VAT))</f>
        <v>0.169828426808682</v>
      </c>
      <c r="S38" s="21" t="n">
        <f aca="false">IF(J38&gt;0,-CUMIPMT(Rm,LoanYears*12,J38,1,(G38-O38)*12,0),0)</f>
        <v>2.1499981621792</v>
      </c>
      <c r="T38" s="29" t="n">
        <f aca="false">IF(C38=5,0,SUMIFS(Sch_Total,Sch_Idx,A38,Sch_Scen,E38,Sch_Year,"&lt;="&amp;G38))</f>
        <v>0.411574216281525</v>
      </c>
      <c r="U38" s="21" t="n">
        <f aca="false">K38+L38+R38</f>
        <v>0.779868426808682</v>
      </c>
      <c r="V38" s="21" t="n">
        <f aca="false">IF(C38=5,0,Q38-H38-U38)</f>
        <v>6.37577141847465</v>
      </c>
      <c r="W38" s="21" t="n">
        <f aca="false">IF(C38=5,0,MAX(0,IF(P38&gt;=2,IF(Q38&gt;Exempt,V38*(Q38-Exempt)/Q38,0),V38)))</f>
        <v>2.90685110791483</v>
      </c>
      <c r="X38" s="10" t="n">
        <f aca="false">IF(P38&gt;=2,MIN(MaxDed,MIN(0.4,HoldRate*G38)+MIN(0.4,LiveRate*P38)),IF(G38&gt;=3,MIN(0.3,0.02*G38),0))</f>
        <v>0.8</v>
      </c>
      <c r="Y38" s="21" t="n">
        <f aca="false">MAX(0,W38*(1-X38)-InitDed)</f>
        <v>0.556370221582966</v>
      </c>
      <c r="Z38" s="29" t="n">
        <f aca="false">SUMPRODUCT((Y38&gt;CLo)*(Y38-CLo)*CD)*(1+LocalTax)</f>
        <v>0.083521738497903</v>
      </c>
      <c r="AA38" s="21" t="n">
        <f aca="false">K38+T38+Z38</f>
        <v>0.986795954779429</v>
      </c>
      <c r="AB38" s="29" t="n">
        <f aca="false">IF(C38=5,0,(Q38-H38)-K38-L38-R38-S38-T38-Z38)</f>
        <v>3.73067730151602</v>
      </c>
      <c r="AC38" s="21" t="n">
        <f aca="false">IF(C38=5,0,N38*((1+DepRate*(1-DepTax))^G38-1))</f>
        <v>2.72021571166593</v>
      </c>
      <c r="AD38" s="29" t="n">
        <f aca="false">IF(C38=5,0,AB38-AC38+I38*(((1+DepRate*(1-DepTax))^G38-1)-((1+DepRate*(1-DepTax))^O38-1)))</f>
        <v>3.21738756439969</v>
      </c>
      <c r="AE38" s="30" t="n">
        <f aca="false">IF(J38&gt;0,-PMT(Rm,LoanYears*12,J38)*10000,0)</f>
        <v>284.539516097414</v>
      </c>
      <c r="AF38" s="21" t="n">
        <f aca="false">IF(J38&gt;0,-PMT((Rate+Stress)/12,LoanYears*12,J38)*12/DSR,0)</f>
        <v>1.18956086138038</v>
      </c>
      <c r="AG38" s="20" t="n">
        <f aca="false">IF(N38&lt;=CapA,1,0)</f>
        <v>1</v>
      </c>
      <c r="AH38" s="20" t="n">
        <f aca="false">IF(N38&lt;=CapB,1,0)</f>
        <v>1</v>
      </c>
      <c r="AI38" s="20" t="n">
        <f aca="false">IF(N38&lt;=CapC,1,0)</f>
        <v>1</v>
      </c>
      <c r="AJ38" s="21" t="n">
        <f aca="false">IF(AG38=1,AD38,-999)</f>
        <v>3.21738756439969</v>
      </c>
      <c r="AK38" s="21" t="n">
        <f aca="false">IF(AH38=1,AD38,-999)</f>
        <v>3.21738756439969</v>
      </c>
      <c r="AL38" s="21" t="n">
        <f aca="false">IF(AI38=1,AD38,-999)</f>
        <v>3.21738756439969</v>
      </c>
      <c r="AM38" s="21" t="str">
        <f aca="false">C38&amp;"|"&amp;E38&amp;"|"&amp;G38&amp;"|"&amp;TEXT(AJ38,"0.00000")</f>
        <v>1|2|10|3.21739</v>
      </c>
      <c r="AN38" s="21" t="str">
        <f aca="false">C38&amp;"|"&amp;E38&amp;"|"&amp;G38&amp;"|"&amp;TEXT(AK38,"0.00000")</f>
        <v>1|2|10|3.21739</v>
      </c>
      <c r="AO38" s="21" t="str">
        <f aca="false">C38&amp;"|"&amp;E38&amp;"|"&amp;G38&amp;"|"&amp;TEXT(AL38,"0.00000")</f>
        <v>1|2|10|3.21739</v>
      </c>
    </row>
    <row r="39" customFormat="false" ht="15" hidden="false" customHeight="false" outlineLevel="0" collapsed="false">
      <c r="A39" s="20" t="n">
        <v>2</v>
      </c>
      <c r="B39" s="18" t="str">
        <f aca="false">INDEX(C_Name,A39)</f>
        <v>e편한세상 문래 에듀플라츠 84.99㎡</v>
      </c>
      <c r="C39" s="20" t="n">
        <v>1</v>
      </c>
      <c r="D39" s="21" t="str">
        <f aca="false">CHOOSE(C39,"1안 표준형(대출 최대)","2안 절충형(대출 50%)","3안 무대출형","4안 임대차 승계 후 입주","5안 매수 보류(전세 거주)")</f>
        <v>1안 표준형(대출 최대)</v>
      </c>
      <c r="E39" s="20" t="n">
        <v>3</v>
      </c>
      <c r="F39" s="10" t="n">
        <f aca="false">CHOOSE(E39,GrowLo,GrowMid,GrowHi)</f>
        <v>0.06</v>
      </c>
      <c r="G39" s="20" t="n">
        <v>5</v>
      </c>
      <c r="H39" s="18" t="n">
        <f aca="false">INDEX(C_Price,A39)</f>
        <v>14.9</v>
      </c>
      <c r="I39" s="18" t="n">
        <f aca="false">INDEX(C_Jeonse,A39)</f>
        <v>7.748</v>
      </c>
      <c r="J39" s="21" t="n">
        <f aca="false">IF(C39=5,0,IF(C39=1,INDEX(C_Loan,A39),IF(C39=2,INDEX(C_Loan,A39)*LoanShare2,IF(C39=3,0,MIN(INDEX(C_Loan,A39),I39)))))</f>
        <v>5.96</v>
      </c>
      <c r="K39" s="18" t="n">
        <f aca="false">IF(C39=5,0,INDEX(C_Acq,A39))</f>
        <v>0.4917</v>
      </c>
      <c r="L39" s="18" t="n">
        <f aca="false">IF(C39=5,0,INDEX(C_Fee,A39))</f>
        <v>0.11834</v>
      </c>
      <c r="M39" s="21" t="n">
        <f aca="false">IF(C39=4,MAX(0,I39-J39),0)</f>
        <v>0</v>
      </c>
      <c r="N39" s="21" t="n">
        <f aca="false">IF(C39=5,I39,IF(C39=4,(H39-I39)+K39+L39+M39,H39-J39+K39+L39))</f>
        <v>9.55004</v>
      </c>
      <c r="O39" s="20" t="n">
        <f aca="false">IF(C39=4,RentYears,0)</f>
        <v>0</v>
      </c>
      <c r="P39" s="20" t="n">
        <f aca="false">IF(C39=5,0,MAX(0,G39-O39-NonRes))</f>
        <v>5</v>
      </c>
      <c r="Q39" s="21" t="n">
        <f aca="false">IF(C39=5,0,H39*(1+F39)^G39)</f>
        <v>19.93956110624</v>
      </c>
      <c r="R39" s="21" t="n">
        <f aca="false">IF(C39=5,0,Q39*LOOKUP(Q39,FeeLo,FeeR)*(1+VAT))</f>
        <v>0.153534620518048</v>
      </c>
      <c r="S39" s="21" t="n">
        <f aca="false">IF(J39&gt;0,-CUMIPMT(Rm,LoanYears*12,J39,1,(G39-O39)*12,0),0)</f>
        <v>1.1379088794955</v>
      </c>
      <c r="T39" s="29" t="n">
        <f aca="false">IF(C39=5,0,SUMIFS(Sch_Total,Sch_Idx,A39,Sch_Scen,E39,Sch_Year,"&lt;="&amp;G39))</f>
        <v>0.182200124163283</v>
      </c>
      <c r="U39" s="21" t="n">
        <f aca="false">K39+L39+R39</f>
        <v>0.763574620518048</v>
      </c>
      <c r="V39" s="21" t="n">
        <f aca="false">IF(C39=5,0,Q39-H39-U39)</f>
        <v>4.27598648572196</v>
      </c>
      <c r="W39" s="21" t="n">
        <f aca="false">IF(C39=5,0,MAX(0,IF(P39&gt;=2,IF(Q39&gt;Exempt,V39*(Q39-Exempt)/Q39,0),V39)))</f>
        <v>1.70261801711481</v>
      </c>
      <c r="X39" s="10" t="n">
        <f aca="false">IF(P39&gt;=2,MIN(MaxDed,MIN(0.4,HoldRate*G39)+MIN(0.4,LiveRate*P39)),IF(G39&gt;=3,MIN(0.3,0.02*G39),0))</f>
        <v>0.4</v>
      </c>
      <c r="Y39" s="21" t="n">
        <f aca="false">MAX(0,W39*(1-X39)-InitDed)</f>
        <v>0.996570810268885</v>
      </c>
      <c r="Z39" s="29" t="n">
        <f aca="false">SUMPRODUCT((Y39&gt;CLo)*(Y39-CLo)*CD)*(1+LocalTax)</f>
        <v>0.213839761953521</v>
      </c>
      <c r="AA39" s="21" t="n">
        <f aca="false">K39+T39+Z39</f>
        <v>0.887739886116804</v>
      </c>
      <c r="AB39" s="29" t="n">
        <f aca="false">IF(C39=5,0,(Q39-H39)-K39-L39-R39-S39-T39-Z39)</f>
        <v>2.74203772010965</v>
      </c>
      <c r="AC39" s="21" t="n">
        <f aca="false">IF(C39=5,0,N39*((1+DepRate*(1-DepTax))^G39-1))</f>
        <v>1.27499731433006</v>
      </c>
      <c r="AD39" s="29" t="n">
        <f aca="false">IF(C39=5,0,AB39-AC39+I39*(((1+DepRate*(1-DepTax))^G39-1)-((1+DepRate*(1-DepTax))^O39-1)))</f>
        <v>2.50145274242208</v>
      </c>
      <c r="AE39" s="30" t="n">
        <f aca="false">IF(J39&gt;0,-PMT(Rm,LoanYears*12,J39)*10000,0)</f>
        <v>284.539516097414</v>
      </c>
      <c r="AF39" s="21" t="n">
        <f aca="false">IF(J39&gt;0,-PMT((Rate+Stress)/12,LoanYears*12,J39)*12/DSR,0)</f>
        <v>1.18956086138038</v>
      </c>
      <c r="AG39" s="20" t="n">
        <f aca="false">IF(N39&lt;=CapA,1,0)</f>
        <v>1</v>
      </c>
      <c r="AH39" s="20" t="n">
        <f aca="false">IF(N39&lt;=CapB,1,0)</f>
        <v>1</v>
      </c>
      <c r="AI39" s="20" t="n">
        <f aca="false">IF(N39&lt;=CapC,1,0)</f>
        <v>1</v>
      </c>
      <c r="AJ39" s="21" t="n">
        <f aca="false">IF(AG39=1,AD39,-999)</f>
        <v>2.50145274242208</v>
      </c>
      <c r="AK39" s="21" t="n">
        <f aca="false">IF(AH39=1,AD39,-999)</f>
        <v>2.50145274242208</v>
      </c>
      <c r="AL39" s="21" t="n">
        <f aca="false">IF(AI39=1,AD39,-999)</f>
        <v>2.50145274242208</v>
      </c>
      <c r="AM39" s="21" t="str">
        <f aca="false">C39&amp;"|"&amp;E39&amp;"|"&amp;G39&amp;"|"&amp;TEXT(AJ39,"0.00000")</f>
        <v>1|3|5|2.50145</v>
      </c>
      <c r="AN39" s="21" t="str">
        <f aca="false">C39&amp;"|"&amp;E39&amp;"|"&amp;G39&amp;"|"&amp;TEXT(AK39,"0.00000")</f>
        <v>1|3|5|2.50145</v>
      </c>
      <c r="AO39" s="21" t="str">
        <f aca="false">C39&amp;"|"&amp;E39&amp;"|"&amp;G39&amp;"|"&amp;TEXT(AL39,"0.00000")</f>
        <v>1|3|5|2.50145</v>
      </c>
    </row>
    <row r="40" customFormat="false" ht="15" hidden="false" customHeight="false" outlineLevel="0" collapsed="false">
      <c r="A40" s="20" t="n">
        <v>2</v>
      </c>
      <c r="B40" s="18" t="str">
        <f aca="false">INDEX(C_Name,A40)</f>
        <v>e편한세상 문래 에듀플라츠 84.99㎡</v>
      </c>
      <c r="C40" s="20" t="n">
        <v>1</v>
      </c>
      <c r="D40" s="21" t="str">
        <f aca="false">CHOOSE(C40,"1안 표준형(대출 최대)","2안 절충형(대출 50%)","3안 무대출형","4안 임대차 승계 후 입주","5안 매수 보류(전세 거주)")</f>
        <v>1안 표준형(대출 최대)</v>
      </c>
      <c r="E40" s="20" t="n">
        <v>3</v>
      </c>
      <c r="F40" s="10" t="n">
        <f aca="false">CHOOSE(E40,GrowLo,GrowMid,GrowHi)</f>
        <v>0.06</v>
      </c>
      <c r="G40" s="20" t="n">
        <v>10</v>
      </c>
      <c r="H40" s="18" t="n">
        <f aca="false">INDEX(C_Price,A40)</f>
        <v>14.9</v>
      </c>
      <c r="I40" s="18" t="n">
        <f aca="false">INDEX(C_Jeonse,A40)</f>
        <v>7.748</v>
      </c>
      <c r="J40" s="21" t="n">
        <f aca="false">IF(C40=5,0,IF(C40=1,INDEX(C_Loan,A40),IF(C40=2,INDEX(C_Loan,A40)*LoanShare2,IF(C40=3,0,MIN(INDEX(C_Loan,A40),I40)))))</f>
        <v>5.96</v>
      </c>
      <c r="K40" s="18" t="n">
        <f aca="false">IF(C40=5,0,INDEX(C_Acq,A40))</f>
        <v>0.4917</v>
      </c>
      <c r="L40" s="18" t="n">
        <f aca="false">IF(C40=5,0,INDEX(C_Fee,A40))</f>
        <v>0.11834</v>
      </c>
      <c r="M40" s="21" t="n">
        <f aca="false">IF(C40=4,MAX(0,I40-J40),0)</f>
        <v>0</v>
      </c>
      <c r="N40" s="21" t="n">
        <f aca="false">IF(C40=5,I40,IF(C40=4,(H40-I40)+K40+L40+M40,H40-J40+K40+L40))</f>
        <v>9.55004</v>
      </c>
      <c r="O40" s="20" t="n">
        <f aca="false">IF(C40=4,RentYears,0)</f>
        <v>0</v>
      </c>
      <c r="P40" s="20" t="n">
        <f aca="false">IF(C40=5,0,MAX(0,G40-O40-NonRes))</f>
        <v>10</v>
      </c>
      <c r="Q40" s="21" t="n">
        <f aca="false">IF(C40=5,0,H40*(1+F40)^G40)</f>
        <v>26.6836306784885</v>
      </c>
      <c r="R40" s="21" t="n">
        <f aca="false">IF(C40=5,0,Q40*LOOKUP(Q40,FeeLo,FeeR)*(1+VAT))</f>
        <v>0.205463956224362</v>
      </c>
      <c r="S40" s="21" t="n">
        <f aca="false">IF(J40&gt;0,-CUMIPMT(Rm,LoanYears*12,J40,1,(G40-O40)*12,0),0)</f>
        <v>2.1499981621792</v>
      </c>
      <c r="T40" s="29" t="n">
        <f aca="false">IF(C40=5,0,SUMIFS(Sch_Total,Sch_Idx,A40,Sch_Scen,E40,Sch_Year,"&lt;="&amp;G40))</f>
        <v>0.496648028530773</v>
      </c>
      <c r="U40" s="21" t="n">
        <f aca="false">K40+L40+R40</f>
        <v>0.815503956224362</v>
      </c>
      <c r="V40" s="21" t="n">
        <f aca="false">IF(C40=5,0,Q40-H40-U40)</f>
        <v>10.9681267222642</v>
      </c>
      <c r="W40" s="21" t="n">
        <f aca="false">IF(C40=5,0,MAX(0,IF(P40&gt;=2,IF(Q40&gt;Exempt,V40*(Q40-Exempt)/Q40,0),V40)))</f>
        <v>6.03560752152153</v>
      </c>
      <c r="X40" s="10" t="n">
        <f aca="false">IF(P40&gt;=2,MIN(MaxDed,MIN(0.4,HoldRate*G40)+MIN(0.4,LiveRate*P40)),IF(G40&gt;=3,MIN(0.3,0.02*G40),0))</f>
        <v>0.8</v>
      </c>
      <c r="Y40" s="21" t="n">
        <f aca="false">MAX(0,W40*(1-X40)-InitDed)</f>
        <v>1.18212150430431</v>
      </c>
      <c r="Z40" s="29" t="n">
        <f aca="false">SUMPRODUCT((Y40&gt;CLo)*(Y40-CLo)*CD)*(1+LocalTax)</f>
        <v>0.285276779157158</v>
      </c>
      <c r="AA40" s="21" t="n">
        <f aca="false">K40+T40+Z40</f>
        <v>1.27362480768793</v>
      </c>
      <c r="AB40" s="29" t="n">
        <f aca="false">IF(C40=5,0,(Q40-H40)-K40-L40-R40-S40-T40-Z40)</f>
        <v>8.03620375239704</v>
      </c>
      <c r="AC40" s="21" t="n">
        <f aca="false">IF(C40=5,0,N40*((1+DepRate*(1-DepTax))^G40-1))</f>
        <v>2.72021571166593</v>
      </c>
      <c r="AD40" s="29" t="n">
        <f aca="false">IF(C40=5,0,AB40-AC40+I40*(((1+DepRate*(1-DepTax))^G40-1)-((1+DepRate*(1-DepTax))^O40-1)))</f>
        <v>7.52291401528071</v>
      </c>
      <c r="AE40" s="30" t="n">
        <f aca="false">IF(J40&gt;0,-PMT(Rm,LoanYears*12,J40)*10000,0)</f>
        <v>284.539516097414</v>
      </c>
      <c r="AF40" s="21" t="n">
        <f aca="false">IF(J40&gt;0,-PMT((Rate+Stress)/12,LoanYears*12,J40)*12/DSR,0)</f>
        <v>1.18956086138038</v>
      </c>
      <c r="AG40" s="20" t="n">
        <f aca="false">IF(N40&lt;=CapA,1,0)</f>
        <v>1</v>
      </c>
      <c r="AH40" s="20" t="n">
        <f aca="false">IF(N40&lt;=CapB,1,0)</f>
        <v>1</v>
      </c>
      <c r="AI40" s="20" t="n">
        <f aca="false">IF(N40&lt;=CapC,1,0)</f>
        <v>1</v>
      </c>
      <c r="AJ40" s="21" t="n">
        <f aca="false">IF(AG40=1,AD40,-999)</f>
        <v>7.52291401528071</v>
      </c>
      <c r="AK40" s="21" t="n">
        <f aca="false">IF(AH40=1,AD40,-999)</f>
        <v>7.52291401528071</v>
      </c>
      <c r="AL40" s="21" t="n">
        <f aca="false">IF(AI40=1,AD40,-999)</f>
        <v>7.52291401528071</v>
      </c>
      <c r="AM40" s="21" t="str">
        <f aca="false">C40&amp;"|"&amp;E40&amp;"|"&amp;G40&amp;"|"&amp;TEXT(AJ40,"0.00000")</f>
        <v>1|3|10|7.52291</v>
      </c>
      <c r="AN40" s="21" t="str">
        <f aca="false">C40&amp;"|"&amp;E40&amp;"|"&amp;G40&amp;"|"&amp;TEXT(AK40,"0.00000")</f>
        <v>1|3|10|7.52291</v>
      </c>
      <c r="AO40" s="21" t="str">
        <f aca="false">C40&amp;"|"&amp;E40&amp;"|"&amp;G40&amp;"|"&amp;TEXT(AL40,"0.00000")</f>
        <v>1|3|10|7.52291</v>
      </c>
    </row>
    <row r="41" customFormat="false" ht="15" hidden="false" customHeight="false" outlineLevel="0" collapsed="false">
      <c r="A41" s="20" t="n">
        <v>2</v>
      </c>
      <c r="B41" s="18" t="str">
        <f aca="false">INDEX(C_Name,A41)</f>
        <v>e편한세상 문래 에듀플라츠 84.99㎡</v>
      </c>
      <c r="C41" s="20" t="n">
        <v>2</v>
      </c>
      <c r="D41" s="21" t="str">
        <f aca="false">CHOOSE(C41,"1안 표준형(대출 최대)","2안 절충형(대출 50%)","3안 무대출형","4안 임대차 승계 후 입주","5안 매수 보류(전세 거주)")</f>
        <v>2안 절충형(대출 50%)</v>
      </c>
      <c r="E41" s="20" t="n">
        <v>1</v>
      </c>
      <c r="F41" s="10" t="n">
        <f aca="false">CHOOSE(E41,GrowLo,GrowMid,GrowHi)</f>
        <v>0.02</v>
      </c>
      <c r="G41" s="20" t="n">
        <v>5</v>
      </c>
      <c r="H41" s="18" t="n">
        <f aca="false">INDEX(C_Price,A41)</f>
        <v>14.9</v>
      </c>
      <c r="I41" s="18" t="n">
        <f aca="false">INDEX(C_Jeonse,A41)</f>
        <v>7.748</v>
      </c>
      <c r="J41" s="21" t="n">
        <f aca="false">IF(C41=5,0,IF(C41=1,INDEX(C_Loan,A41),IF(C41=2,INDEX(C_Loan,A41)*LoanShare2,IF(C41=3,0,MIN(INDEX(C_Loan,A41),I41)))))</f>
        <v>2.98</v>
      </c>
      <c r="K41" s="18" t="n">
        <f aca="false">IF(C41=5,0,INDEX(C_Acq,A41))</f>
        <v>0.4917</v>
      </c>
      <c r="L41" s="18" t="n">
        <f aca="false">IF(C41=5,0,INDEX(C_Fee,A41))</f>
        <v>0.11834</v>
      </c>
      <c r="M41" s="21" t="n">
        <f aca="false">IF(C41=4,MAX(0,I41-J41),0)</f>
        <v>0</v>
      </c>
      <c r="N41" s="21" t="n">
        <f aca="false">IF(C41=5,I41,IF(C41=4,(H41-I41)+K41+L41+M41,H41-J41+K41+L41))</f>
        <v>12.53004</v>
      </c>
      <c r="O41" s="20" t="n">
        <f aca="false">IF(C41=4,RentYears,0)</f>
        <v>0</v>
      </c>
      <c r="P41" s="20" t="n">
        <f aca="false">IF(C41=5,0,MAX(0,G41-O41-NonRes))</f>
        <v>5</v>
      </c>
      <c r="Q41" s="21" t="n">
        <f aca="false">IF(C41=5,0,H41*(1+F41)^G41)</f>
        <v>16.45080396768</v>
      </c>
      <c r="R41" s="21" t="n">
        <f aca="false">IF(C41=5,0,Q41*LOOKUP(Q41,FeeLo,FeeR)*(1+VAT))</f>
        <v>0.126671190551136</v>
      </c>
      <c r="S41" s="21" t="n">
        <f aca="false">IF(J41&gt;0,-CUMIPMT(Rm,LoanYears*12,J41,1,(G41-O41)*12,0),0)</f>
        <v>0.568954439747752</v>
      </c>
      <c r="T41" s="29" t="n">
        <f aca="false">IF(C41=5,0,SUMIFS(Sch_Total,Sch_Idx,A41,Sch_Scen,E41,Sch_Year,"&lt;="&amp;G41))</f>
        <v>0.161230181212051</v>
      </c>
      <c r="U41" s="21" t="n">
        <f aca="false">K41+L41+R41</f>
        <v>0.736711190551136</v>
      </c>
      <c r="V41" s="21" t="n">
        <f aca="false">IF(C41=5,0,Q41-H41-U41)</f>
        <v>0.814092777128862</v>
      </c>
      <c r="W41" s="21" t="n">
        <f aca="false">IF(C41=5,0,MAX(0,IF(P41&gt;=2,IF(Q41&gt;Exempt,V41*(Q41-Exempt)/Q41,0),V41)))</f>
        <v>0.220254728560586</v>
      </c>
      <c r="X41" s="10" t="n">
        <f aca="false">IF(P41&gt;=2,MIN(MaxDed,MIN(0.4,HoldRate*G41)+MIN(0.4,LiveRate*P41)),IF(G41&gt;=3,MIN(0.3,0.02*G41),0))</f>
        <v>0.4</v>
      </c>
      <c r="Y41" s="21" t="n">
        <f aca="false">MAX(0,W41*(1-X41)-InitDed)</f>
        <v>0.107152837136352</v>
      </c>
      <c r="Z41" s="29" t="n">
        <f aca="false">SUMPRODUCT((Y41&gt;CLo)*(Y41-CLo)*CD)*(1+LocalTax)</f>
        <v>0.00707208725099921</v>
      </c>
      <c r="AA41" s="21" t="n">
        <f aca="false">K41+T41+Z41</f>
        <v>0.66000226846305</v>
      </c>
      <c r="AB41" s="29" t="n">
        <f aca="false">IF(C41=5,0,(Q41-H41)-K41-L41-R41-S41-T41-Z41)</f>
        <v>0.0768360689180604</v>
      </c>
      <c r="AC41" s="21" t="n">
        <f aca="false">IF(C41=5,0,N41*((1+DepRate*(1-DepTax))^G41-1))</f>
        <v>1.67284821303871</v>
      </c>
      <c r="AD41" s="29" t="n">
        <f aca="false">IF(C41=5,0,AB41-AC41+I41*(((1+DepRate*(1-DepTax))^G41-1)-((1+DepRate*(1-DepTax))^O41-1)))</f>
        <v>-0.561599807478155</v>
      </c>
      <c r="AE41" s="30" t="n">
        <f aca="false">IF(J41&gt;0,-PMT(Rm,LoanYears*12,J41)*10000,0)</f>
        <v>142.269758048707</v>
      </c>
      <c r="AF41" s="21" t="n">
        <f aca="false">IF(J41&gt;0,-PMT((Rate+Stress)/12,LoanYears*12,J41)*12/DSR,0)</f>
        <v>0.59478043069019</v>
      </c>
      <c r="AG41" s="20" t="n">
        <f aca="false">IF(N41&lt;=CapA,1,0)</f>
        <v>0</v>
      </c>
      <c r="AH41" s="20" t="n">
        <f aca="false">IF(N41&lt;=CapB,1,0)</f>
        <v>1</v>
      </c>
      <c r="AI41" s="20" t="n">
        <f aca="false">IF(N41&lt;=CapC,1,0)</f>
        <v>1</v>
      </c>
      <c r="AJ41" s="21" t="n">
        <f aca="false">IF(AG41=1,AD41,-999)</f>
        <v>-999</v>
      </c>
      <c r="AK41" s="21" t="n">
        <f aca="false">IF(AH41=1,AD41,-999)</f>
        <v>-0.561599807478155</v>
      </c>
      <c r="AL41" s="21" t="n">
        <f aca="false">IF(AI41=1,AD41,-999)</f>
        <v>-0.561599807478155</v>
      </c>
      <c r="AM41" s="21" t="str">
        <f aca="false">C41&amp;"|"&amp;E41&amp;"|"&amp;G41&amp;"|"&amp;TEXT(AJ41,"0.00000")</f>
        <v>2|1|5|-999.00000</v>
      </c>
      <c r="AN41" s="21" t="str">
        <f aca="false">C41&amp;"|"&amp;E41&amp;"|"&amp;G41&amp;"|"&amp;TEXT(AK41,"0.00000")</f>
        <v>2|1|5|-0.56160</v>
      </c>
      <c r="AO41" s="21" t="str">
        <f aca="false">C41&amp;"|"&amp;E41&amp;"|"&amp;G41&amp;"|"&amp;TEXT(AL41,"0.00000")</f>
        <v>2|1|5|-0.56160</v>
      </c>
    </row>
    <row r="42" customFormat="false" ht="15" hidden="false" customHeight="false" outlineLevel="0" collapsed="false">
      <c r="A42" s="20" t="n">
        <v>2</v>
      </c>
      <c r="B42" s="18" t="str">
        <f aca="false">INDEX(C_Name,A42)</f>
        <v>e편한세상 문래 에듀플라츠 84.99㎡</v>
      </c>
      <c r="C42" s="20" t="n">
        <v>2</v>
      </c>
      <c r="D42" s="21" t="str">
        <f aca="false">CHOOSE(C42,"1안 표준형(대출 최대)","2안 절충형(대출 50%)","3안 무대출형","4안 임대차 승계 후 입주","5안 매수 보류(전세 거주)")</f>
        <v>2안 절충형(대출 50%)</v>
      </c>
      <c r="E42" s="20" t="n">
        <v>1</v>
      </c>
      <c r="F42" s="10" t="n">
        <f aca="false">CHOOSE(E42,GrowLo,GrowMid,GrowHi)</f>
        <v>0.02</v>
      </c>
      <c r="G42" s="20" t="n">
        <v>10</v>
      </c>
      <c r="H42" s="18" t="n">
        <f aca="false">INDEX(C_Price,A42)</f>
        <v>14.9</v>
      </c>
      <c r="I42" s="18" t="n">
        <f aca="false">INDEX(C_Jeonse,A42)</f>
        <v>7.748</v>
      </c>
      <c r="J42" s="21" t="n">
        <f aca="false">IF(C42=5,0,IF(C42=1,INDEX(C_Loan,A42),IF(C42=2,INDEX(C_Loan,A42)*LoanShare2,IF(C42=3,0,MIN(INDEX(C_Loan,A42),I42)))))</f>
        <v>2.98</v>
      </c>
      <c r="K42" s="18" t="n">
        <f aca="false">IF(C42=5,0,INDEX(C_Acq,A42))</f>
        <v>0.4917</v>
      </c>
      <c r="L42" s="18" t="n">
        <f aca="false">IF(C42=5,0,INDEX(C_Fee,A42))</f>
        <v>0.11834</v>
      </c>
      <c r="M42" s="21" t="n">
        <f aca="false">IF(C42=4,MAX(0,I42-J42),0)</f>
        <v>0</v>
      </c>
      <c r="N42" s="21" t="n">
        <f aca="false">IF(C42=5,I42,IF(C42=4,(H42-I42)+K42+L42+M42,H42-J42+K42+L42))</f>
        <v>12.53004</v>
      </c>
      <c r="O42" s="20" t="n">
        <f aca="false">IF(C42=4,RentYears,0)</f>
        <v>0</v>
      </c>
      <c r="P42" s="20" t="n">
        <f aca="false">IF(C42=5,0,MAX(0,G42-O42-NonRes))</f>
        <v>10</v>
      </c>
      <c r="Q42" s="21" t="n">
        <f aca="false">IF(C42=5,0,H42*(1+F42)^G42)</f>
        <v>18.1630168579219</v>
      </c>
      <c r="R42" s="21" t="n">
        <f aca="false">IF(C42=5,0,Q42*LOOKUP(Q42,FeeLo,FeeR)*(1+VAT))</f>
        <v>0.139855229805999</v>
      </c>
      <c r="S42" s="21" t="n">
        <f aca="false">IF(J42&gt;0,-CUMIPMT(Rm,LoanYears*12,J42,1,(G42-O42)*12,0),0)</f>
        <v>1.0749990810896</v>
      </c>
      <c r="T42" s="29" t="n">
        <f aca="false">IF(C42=5,0,SUMIFS(Sch_Total,Sch_Idx,A42,Sch_Scen,E42,Sch_Year,"&lt;="&amp;G42))</f>
        <v>0.344372860004419</v>
      </c>
      <c r="U42" s="21" t="n">
        <f aca="false">K42+L42+R42</f>
        <v>0.749895229805999</v>
      </c>
      <c r="V42" s="21" t="n">
        <f aca="false">IF(C42=5,0,Q42-H42-U42)</f>
        <v>2.51312162811589</v>
      </c>
      <c r="W42" s="21" t="n">
        <f aca="false">IF(C42=5,0,MAX(0,IF(P42&gt;=2,IF(Q42&gt;Exempt,V42*(Q42-Exempt)/Q42,0),V42)))</f>
        <v>0.852744402609028</v>
      </c>
      <c r="X42" s="10" t="n">
        <f aca="false">IF(P42&gt;=2,MIN(MaxDed,MIN(0.4,HoldRate*G42)+MIN(0.4,LiveRate*P42)),IF(G42&gt;=3,MIN(0.3,0.02*G42),0))</f>
        <v>0.8</v>
      </c>
      <c r="Y42" s="21" t="n">
        <f aca="false">MAX(0,W42*(1-X42)-InitDed)</f>
        <v>0.145548880521806</v>
      </c>
      <c r="Z42" s="29" t="n">
        <f aca="false">SUMPRODUCT((Y42&gt;CLo)*(Y42-CLo)*CD)*(1+LocalTax)</f>
        <v>0.0101555652860979</v>
      </c>
      <c r="AA42" s="21" t="n">
        <f aca="false">K42+T42+Z42</f>
        <v>0.846228425290517</v>
      </c>
      <c r="AB42" s="29" t="n">
        <f aca="false">IF(C42=5,0,(Q42-H42)-K42-L42-R42-S42-T42-Z42)</f>
        <v>1.08359412173577</v>
      </c>
      <c r="AC42" s="21" t="n">
        <f aca="false">IF(C42=5,0,N42*((1+DepRate*(1-DepTax))^G42-1))</f>
        <v>3.56903339418501</v>
      </c>
      <c r="AD42" s="29" t="n">
        <f aca="false">IF(C42=5,0,AB42-AC42+I42*(((1+DepRate*(1-DepTax))^G42-1)-((1+DepRate*(1-DepTax))^O42-1)))</f>
        <v>-0.278513297899642</v>
      </c>
      <c r="AE42" s="30" t="n">
        <f aca="false">IF(J42&gt;0,-PMT(Rm,LoanYears*12,J42)*10000,0)</f>
        <v>142.269758048707</v>
      </c>
      <c r="AF42" s="21" t="n">
        <f aca="false">IF(J42&gt;0,-PMT((Rate+Stress)/12,LoanYears*12,J42)*12/DSR,0)</f>
        <v>0.59478043069019</v>
      </c>
      <c r="AG42" s="20" t="n">
        <f aca="false">IF(N42&lt;=CapA,1,0)</f>
        <v>0</v>
      </c>
      <c r="AH42" s="20" t="n">
        <f aca="false">IF(N42&lt;=CapB,1,0)</f>
        <v>1</v>
      </c>
      <c r="AI42" s="20" t="n">
        <f aca="false">IF(N42&lt;=CapC,1,0)</f>
        <v>1</v>
      </c>
      <c r="AJ42" s="21" t="n">
        <f aca="false">IF(AG42=1,AD42,-999)</f>
        <v>-999</v>
      </c>
      <c r="AK42" s="21" t="n">
        <f aca="false">IF(AH42=1,AD42,-999)</f>
        <v>-0.278513297899642</v>
      </c>
      <c r="AL42" s="21" t="n">
        <f aca="false">IF(AI42=1,AD42,-999)</f>
        <v>-0.278513297899642</v>
      </c>
      <c r="AM42" s="21" t="str">
        <f aca="false">C42&amp;"|"&amp;E42&amp;"|"&amp;G42&amp;"|"&amp;TEXT(AJ42,"0.00000")</f>
        <v>2|1|10|-999.00000</v>
      </c>
      <c r="AN42" s="21" t="str">
        <f aca="false">C42&amp;"|"&amp;E42&amp;"|"&amp;G42&amp;"|"&amp;TEXT(AK42,"0.00000")</f>
        <v>2|1|10|-0.27851</v>
      </c>
      <c r="AO42" s="21" t="str">
        <f aca="false">C42&amp;"|"&amp;E42&amp;"|"&amp;G42&amp;"|"&amp;TEXT(AL42,"0.00000")</f>
        <v>2|1|10|-0.27851</v>
      </c>
    </row>
    <row r="43" customFormat="false" ht="15" hidden="false" customHeight="false" outlineLevel="0" collapsed="false">
      <c r="A43" s="20" t="n">
        <v>2</v>
      </c>
      <c r="B43" s="18" t="str">
        <f aca="false">INDEX(C_Name,A43)</f>
        <v>e편한세상 문래 에듀플라츠 84.99㎡</v>
      </c>
      <c r="C43" s="20" t="n">
        <v>2</v>
      </c>
      <c r="D43" s="21" t="str">
        <f aca="false">CHOOSE(C43,"1안 표준형(대출 최대)","2안 절충형(대출 50%)","3안 무대출형","4안 임대차 승계 후 입주","5안 매수 보류(전세 거주)")</f>
        <v>2안 절충형(대출 50%)</v>
      </c>
      <c r="E43" s="20" t="n">
        <v>2</v>
      </c>
      <c r="F43" s="10" t="n">
        <f aca="false">CHOOSE(E43,GrowLo,GrowMid,GrowHi)</f>
        <v>0.04</v>
      </c>
      <c r="G43" s="20" t="n">
        <v>5</v>
      </c>
      <c r="H43" s="18" t="n">
        <f aca="false">INDEX(C_Price,A43)</f>
        <v>14.9</v>
      </c>
      <c r="I43" s="18" t="n">
        <f aca="false">INDEX(C_Jeonse,A43)</f>
        <v>7.748</v>
      </c>
      <c r="J43" s="21" t="n">
        <f aca="false">IF(C43=5,0,IF(C43=1,INDEX(C_Loan,A43),IF(C43=2,INDEX(C_Loan,A43)*LoanShare2,IF(C43=3,0,MIN(INDEX(C_Loan,A43),I43)))))</f>
        <v>2.98</v>
      </c>
      <c r="K43" s="18" t="n">
        <f aca="false">IF(C43=5,0,INDEX(C_Acq,A43))</f>
        <v>0.4917</v>
      </c>
      <c r="L43" s="18" t="n">
        <f aca="false">IF(C43=5,0,INDEX(C_Fee,A43))</f>
        <v>0.11834</v>
      </c>
      <c r="M43" s="21" t="n">
        <f aca="false">IF(C43=4,MAX(0,I43-J43),0)</f>
        <v>0</v>
      </c>
      <c r="N43" s="21" t="n">
        <f aca="false">IF(C43=5,I43,IF(C43=4,(H43-I43)+K43+L43+M43,H43-J43+K43+L43))</f>
        <v>12.53004</v>
      </c>
      <c r="O43" s="20" t="n">
        <f aca="false">IF(C43=4,RentYears,0)</f>
        <v>0</v>
      </c>
      <c r="P43" s="20" t="n">
        <f aca="false">IF(C43=5,0,MAX(0,G43-O43-NonRes))</f>
        <v>5</v>
      </c>
      <c r="Q43" s="21" t="n">
        <f aca="false">IF(C43=5,0,H43*(1+F43)^G43)</f>
        <v>18.12812824576</v>
      </c>
      <c r="R43" s="21" t="n">
        <f aca="false">IF(C43=5,0,Q43*LOOKUP(Q43,FeeLo,FeeR)*(1+VAT))</f>
        <v>0.139586587492352</v>
      </c>
      <c r="S43" s="21" t="n">
        <f aca="false">IF(J43&gt;0,-CUMIPMT(Rm,LoanYears*12,J43,1,(G43-O43)*12,0),0)</f>
        <v>0.568954439747752</v>
      </c>
      <c r="T43" s="29" t="n">
        <f aca="false">IF(C43=5,0,SUMIFS(Sch_Total,Sch_Idx,A43,Sch_Scen,E43,Sch_Year,"&lt;="&amp;G43))</f>
        <v>0.169447326609715</v>
      </c>
      <c r="U43" s="21" t="n">
        <f aca="false">K43+L43+R43</f>
        <v>0.749626587492352</v>
      </c>
      <c r="V43" s="21" t="n">
        <f aca="false">IF(C43=5,0,Q43-H43-U43)</f>
        <v>2.47850165826765</v>
      </c>
      <c r="W43" s="21" t="n">
        <f aca="false">IF(C43=5,0,MAX(0,IF(P43&gt;=2,IF(Q43&gt;Exempt,V43*(Q43-Exempt)/Q43,0),V43)))</f>
        <v>0.837845794848978</v>
      </c>
      <c r="X43" s="10" t="n">
        <f aca="false">IF(P43&gt;=2,MIN(MaxDed,MIN(0.4,HoldRate*G43)+MIN(0.4,LiveRate*P43)),IF(G43&gt;=3,MIN(0.3,0.02*G43),0))</f>
        <v>0.4</v>
      </c>
      <c r="Y43" s="21" t="n">
        <f aca="false">MAX(0,W43*(1-X43)-InitDed)</f>
        <v>0.477707476909387</v>
      </c>
      <c r="Z43" s="29" t="n">
        <f aca="false">SUMPRODUCT((Y43&gt;CLo)*(Y43-CLo)*CD)*(1+LocalTax)</f>
        <v>0.0649617336900488</v>
      </c>
      <c r="AA43" s="21" t="n">
        <f aca="false">K43+T43+Z43</f>
        <v>0.726109060299764</v>
      </c>
      <c r="AB43" s="29" t="n">
        <f aca="false">IF(C43=5,0,(Q43-H43)-K43-L43-R43-S43-T43-Z43)</f>
        <v>1.67513815822014</v>
      </c>
      <c r="AC43" s="21" t="n">
        <f aca="false">IF(C43=5,0,N43*((1+DepRate*(1-DepTax))^G43-1))</f>
        <v>1.67284821303871</v>
      </c>
      <c r="AD43" s="29" t="n">
        <f aca="false">IF(C43=5,0,AB43-AC43+I43*(((1+DepRate*(1-DepTax))^G43-1)-((1+DepRate*(1-DepTax))^O43-1)))</f>
        <v>1.03670228182392</v>
      </c>
      <c r="AE43" s="30" t="n">
        <f aca="false">IF(J43&gt;0,-PMT(Rm,LoanYears*12,J43)*10000,0)</f>
        <v>142.269758048707</v>
      </c>
      <c r="AF43" s="21" t="n">
        <f aca="false">IF(J43&gt;0,-PMT((Rate+Stress)/12,LoanYears*12,J43)*12/DSR,0)</f>
        <v>0.59478043069019</v>
      </c>
      <c r="AG43" s="20" t="n">
        <f aca="false">IF(N43&lt;=CapA,1,0)</f>
        <v>0</v>
      </c>
      <c r="AH43" s="20" t="n">
        <f aca="false">IF(N43&lt;=CapB,1,0)</f>
        <v>1</v>
      </c>
      <c r="AI43" s="20" t="n">
        <f aca="false">IF(N43&lt;=CapC,1,0)</f>
        <v>1</v>
      </c>
      <c r="AJ43" s="21" t="n">
        <f aca="false">IF(AG43=1,AD43,-999)</f>
        <v>-999</v>
      </c>
      <c r="AK43" s="21" t="n">
        <f aca="false">IF(AH43=1,AD43,-999)</f>
        <v>1.03670228182392</v>
      </c>
      <c r="AL43" s="21" t="n">
        <f aca="false">IF(AI43=1,AD43,-999)</f>
        <v>1.03670228182392</v>
      </c>
      <c r="AM43" s="21" t="str">
        <f aca="false">C43&amp;"|"&amp;E43&amp;"|"&amp;G43&amp;"|"&amp;TEXT(AJ43,"0.00000")</f>
        <v>2|2|5|-999.00000</v>
      </c>
      <c r="AN43" s="21" t="str">
        <f aca="false">C43&amp;"|"&amp;E43&amp;"|"&amp;G43&amp;"|"&amp;TEXT(AK43,"0.00000")</f>
        <v>2|2|5|1.03670</v>
      </c>
      <c r="AO43" s="21" t="str">
        <f aca="false">C43&amp;"|"&amp;E43&amp;"|"&amp;G43&amp;"|"&amp;TEXT(AL43,"0.00000")</f>
        <v>2|2|5|1.03670</v>
      </c>
    </row>
    <row r="44" customFormat="false" ht="15" hidden="false" customHeight="false" outlineLevel="0" collapsed="false">
      <c r="A44" s="20" t="n">
        <v>2</v>
      </c>
      <c r="B44" s="18" t="str">
        <f aca="false">INDEX(C_Name,A44)</f>
        <v>e편한세상 문래 에듀플라츠 84.99㎡</v>
      </c>
      <c r="C44" s="20" t="n">
        <v>2</v>
      </c>
      <c r="D44" s="21" t="str">
        <f aca="false">CHOOSE(C44,"1안 표준형(대출 최대)","2안 절충형(대출 50%)","3안 무대출형","4안 임대차 승계 후 입주","5안 매수 보류(전세 거주)")</f>
        <v>2안 절충형(대출 50%)</v>
      </c>
      <c r="E44" s="20" t="n">
        <v>2</v>
      </c>
      <c r="F44" s="10" t="n">
        <f aca="false">CHOOSE(E44,GrowLo,GrowMid,GrowHi)</f>
        <v>0.04</v>
      </c>
      <c r="G44" s="20" t="n">
        <v>10</v>
      </c>
      <c r="H44" s="18" t="n">
        <f aca="false">INDEX(C_Price,A44)</f>
        <v>14.9</v>
      </c>
      <c r="I44" s="18" t="n">
        <f aca="false">INDEX(C_Jeonse,A44)</f>
        <v>7.748</v>
      </c>
      <c r="J44" s="21" t="n">
        <f aca="false">IF(C44=5,0,IF(C44=1,INDEX(C_Loan,A44),IF(C44=2,INDEX(C_Loan,A44)*LoanShare2,IF(C44=3,0,MIN(INDEX(C_Loan,A44),I44)))))</f>
        <v>2.98</v>
      </c>
      <c r="K44" s="18" t="n">
        <f aca="false">IF(C44=5,0,INDEX(C_Acq,A44))</f>
        <v>0.4917</v>
      </c>
      <c r="L44" s="18" t="n">
        <f aca="false">IF(C44=5,0,INDEX(C_Fee,A44))</f>
        <v>0.11834</v>
      </c>
      <c r="M44" s="21" t="n">
        <f aca="false">IF(C44=4,MAX(0,I44-J44),0)</f>
        <v>0</v>
      </c>
      <c r="N44" s="21" t="n">
        <f aca="false">IF(C44=5,I44,IF(C44=4,(H44-I44)+K44+L44+M44,H44-J44+K44+L44))</f>
        <v>12.53004</v>
      </c>
      <c r="O44" s="20" t="n">
        <f aca="false">IF(C44=4,RentYears,0)</f>
        <v>0</v>
      </c>
      <c r="P44" s="20" t="n">
        <f aca="false">IF(C44=5,0,MAX(0,G44-O44-NonRes))</f>
        <v>10</v>
      </c>
      <c r="Q44" s="21" t="n">
        <f aca="false">IF(C44=5,0,H44*(1+F44)^G44)</f>
        <v>22.0556398452833</v>
      </c>
      <c r="R44" s="21" t="n">
        <f aca="false">IF(C44=5,0,Q44*LOOKUP(Q44,FeeLo,FeeR)*(1+VAT))</f>
        <v>0.169828426808682</v>
      </c>
      <c r="S44" s="21" t="n">
        <f aca="false">IF(J44&gt;0,-CUMIPMT(Rm,LoanYears*12,J44,1,(G44-O44)*12,0),0)</f>
        <v>1.0749990810896</v>
      </c>
      <c r="T44" s="29" t="n">
        <f aca="false">IF(C44=5,0,SUMIFS(Sch_Total,Sch_Idx,A44,Sch_Scen,E44,Sch_Year,"&lt;="&amp;G44))</f>
        <v>0.411574216281525</v>
      </c>
      <c r="U44" s="21" t="n">
        <f aca="false">K44+L44+R44</f>
        <v>0.779868426808682</v>
      </c>
      <c r="V44" s="21" t="n">
        <f aca="false">IF(C44=5,0,Q44-H44-U44)</f>
        <v>6.37577141847465</v>
      </c>
      <c r="W44" s="21" t="n">
        <f aca="false">IF(C44=5,0,MAX(0,IF(P44&gt;=2,IF(Q44&gt;Exempt,V44*(Q44-Exempt)/Q44,0),V44)))</f>
        <v>2.90685110791483</v>
      </c>
      <c r="X44" s="10" t="n">
        <f aca="false">IF(P44&gt;=2,MIN(MaxDed,MIN(0.4,HoldRate*G44)+MIN(0.4,LiveRate*P44)),IF(G44&gt;=3,MIN(0.3,0.02*G44),0))</f>
        <v>0.8</v>
      </c>
      <c r="Y44" s="21" t="n">
        <f aca="false">MAX(0,W44*(1-X44)-InitDed)</f>
        <v>0.556370221582966</v>
      </c>
      <c r="Z44" s="29" t="n">
        <f aca="false">SUMPRODUCT((Y44&gt;CLo)*(Y44-CLo)*CD)*(1+LocalTax)</f>
        <v>0.083521738497903</v>
      </c>
      <c r="AA44" s="21" t="n">
        <f aca="false">K44+T44+Z44</f>
        <v>0.986795954779429</v>
      </c>
      <c r="AB44" s="29" t="n">
        <f aca="false">IF(C44=5,0,(Q44-H44)-K44-L44-R44-S44-T44-Z44)</f>
        <v>4.80567638260562</v>
      </c>
      <c r="AC44" s="21" t="n">
        <f aca="false">IF(C44=5,0,N44*((1+DepRate*(1-DepTax))^G44-1))</f>
        <v>3.56903339418501</v>
      </c>
      <c r="AD44" s="29" t="n">
        <f aca="false">IF(C44=5,0,AB44-AC44+I44*(((1+DepRate*(1-DepTax))^G44-1)-((1+DepRate*(1-DepTax))^O44-1)))</f>
        <v>3.44356896297021</v>
      </c>
      <c r="AE44" s="30" t="n">
        <f aca="false">IF(J44&gt;0,-PMT(Rm,LoanYears*12,J44)*10000,0)</f>
        <v>142.269758048707</v>
      </c>
      <c r="AF44" s="21" t="n">
        <f aca="false">IF(J44&gt;0,-PMT((Rate+Stress)/12,LoanYears*12,J44)*12/DSR,0)</f>
        <v>0.59478043069019</v>
      </c>
      <c r="AG44" s="20" t="n">
        <f aca="false">IF(N44&lt;=CapA,1,0)</f>
        <v>0</v>
      </c>
      <c r="AH44" s="20" t="n">
        <f aca="false">IF(N44&lt;=CapB,1,0)</f>
        <v>1</v>
      </c>
      <c r="AI44" s="20" t="n">
        <f aca="false">IF(N44&lt;=CapC,1,0)</f>
        <v>1</v>
      </c>
      <c r="AJ44" s="21" t="n">
        <f aca="false">IF(AG44=1,AD44,-999)</f>
        <v>-999</v>
      </c>
      <c r="AK44" s="21" t="n">
        <f aca="false">IF(AH44=1,AD44,-999)</f>
        <v>3.44356896297021</v>
      </c>
      <c r="AL44" s="21" t="n">
        <f aca="false">IF(AI44=1,AD44,-999)</f>
        <v>3.44356896297021</v>
      </c>
      <c r="AM44" s="21" t="str">
        <f aca="false">C44&amp;"|"&amp;E44&amp;"|"&amp;G44&amp;"|"&amp;TEXT(AJ44,"0.00000")</f>
        <v>2|2|10|-999.00000</v>
      </c>
      <c r="AN44" s="21" t="str">
        <f aca="false">C44&amp;"|"&amp;E44&amp;"|"&amp;G44&amp;"|"&amp;TEXT(AK44,"0.00000")</f>
        <v>2|2|10|3.44357</v>
      </c>
      <c r="AO44" s="21" t="str">
        <f aca="false">C44&amp;"|"&amp;E44&amp;"|"&amp;G44&amp;"|"&amp;TEXT(AL44,"0.00000")</f>
        <v>2|2|10|3.44357</v>
      </c>
    </row>
    <row r="45" customFormat="false" ht="15" hidden="false" customHeight="false" outlineLevel="0" collapsed="false">
      <c r="A45" s="20" t="n">
        <v>2</v>
      </c>
      <c r="B45" s="18" t="str">
        <f aca="false">INDEX(C_Name,A45)</f>
        <v>e편한세상 문래 에듀플라츠 84.99㎡</v>
      </c>
      <c r="C45" s="20" t="n">
        <v>2</v>
      </c>
      <c r="D45" s="21" t="str">
        <f aca="false">CHOOSE(C45,"1안 표준형(대출 최대)","2안 절충형(대출 50%)","3안 무대출형","4안 임대차 승계 후 입주","5안 매수 보류(전세 거주)")</f>
        <v>2안 절충형(대출 50%)</v>
      </c>
      <c r="E45" s="20" t="n">
        <v>3</v>
      </c>
      <c r="F45" s="10" t="n">
        <f aca="false">CHOOSE(E45,GrowLo,GrowMid,GrowHi)</f>
        <v>0.06</v>
      </c>
      <c r="G45" s="20" t="n">
        <v>5</v>
      </c>
      <c r="H45" s="18" t="n">
        <f aca="false">INDEX(C_Price,A45)</f>
        <v>14.9</v>
      </c>
      <c r="I45" s="18" t="n">
        <f aca="false">INDEX(C_Jeonse,A45)</f>
        <v>7.748</v>
      </c>
      <c r="J45" s="21" t="n">
        <f aca="false">IF(C45=5,0,IF(C45=1,INDEX(C_Loan,A45),IF(C45=2,INDEX(C_Loan,A45)*LoanShare2,IF(C45=3,0,MIN(INDEX(C_Loan,A45),I45)))))</f>
        <v>2.98</v>
      </c>
      <c r="K45" s="18" t="n">
        <f aca="false">IF(C45=5,0,INDEX(C_Acq,A45))</f>
        <v>0.4917</v>
      </c>
      <c r="L45" s="18" t="n">
        <f aca="false">IF(C45=5,0,INDEX(C_Fee,A45))</f>
        <v>0.11834</v>
      </c>
      <c r="M45" s="21" t="n">
        <f aca="false">IF(C45=4,MAX(0,I45-J45),0)</f>
        <v>0</v>
      </c>
      <c r="N45" s="21" t="n">
        <f aca="false">IF(C45=5,I45,IF(C45=4,(H45-I45)+K45+L45+M45,H45-J45+K45+L45))</f>
        <v>12.53004</v>
      </c>
      <c r="O45" s="20" t="n">
        <f aca="false">IF(C45=4,RentYears,0)</f>
        <v>0</v>
      </c>
      <c r="P45" s="20" t="n">
        <f aca="false">IF(C45=5,0,MAX(0,G45-O45-NonRes))</f>
        <v>5</v>
      </c>
      <c r="Q45" s="21" t="n">
        <f aca="false">IF(C45=5,0,H45*(1+F45)^G45)</f>
        <v>19.93956110624</v>
      </c>
      <c r="R45" s="21" t="n">
        <f aca="false">IF(C45=5,0,Q45*LOOKUP(Q45,FeeLo,FeeR)*(1+VAT))</f>
        <v>0.153534620518048</v>
      </c>
      <c r="S45" s="21" t="n">
        <f aca="false">IF(J45&gt;0,-CUMIPMT(Rm,LoanYears*12,J45,1,(G45-O45)*12,0),0)</f>
        <v>0.568954439747752</v>
      </c>
      <c r="T45" s="29" t="n">
        <f aca="false">IF(C45=5,0,SUMIFS(Sch_Total,Sch_Idx,A45,Sch_Scen,E45,Sch_Year,"&lt;="&amp;G45))</f>
        <v>0.182200124163283</v>
      </c>
      <c r="U45" s="21" t="n">
        <f aca="false">K45+L45+R45</f>
        <v>0.763574620518048</v>
      </c>
      <c r="V45" s="21" t="n">
        <f aca="false">IF(C45=5,0,Q45-H45-U45)</f>
        <v>4.27598648572196</v>
      </c>
      <c r="W45" s="21" t="n">
        <f aca="false">IF(C45=5,0,MAX(0,IF(P45&gt;=2,IF(Q45&gt;Exempt,V45*(Q45-Exempt)/Q45,0),V45)))</f>
        <v>1.70261801711481</v>
      </c>
      <c r="X45" s="10" t="n">
        <f aca="false">IF(P45&gt;=2,MIN(MaxDed,MIN(0.4,HoldRate*G45)+MIN(0.4,LiveRate*P45)),IF(G45&gt;=3,MIN(0.3,0.02*G45),0))</f>
        <v>0.4</v>
      </c>
      <c r="Y45" s="21" t="n">
        <f aca="false">MAX(0,W45*(1-X45)-InitDed)</f>
        <v>0.996570810268885</v>
      </c>
      <c r="Z45" s="29" t="n">
        <f aca="false">SUMPRODUCT((Y45&gt;CLo)*(Y45-CLo)*CD)*(1+LocalTax)</f>
        <v>0.213839761953521</v>
      </c>
      <c r="AA45" s="21" t="n">
        <f aca="false">K45+T45+Z45</f>
        <v>0.887739886116804</v>
      </c>
      <c r="AB45" s="29" t="n">
        <f aca="false">IF(C45=5,0,(Q45-H45)-K45-L45-R45-S45-T45-Z45)</f>
        <v>3.3109921598574</v>
      </c>
      <c r="AC45" s="21" t="n">
        <f aca="false">IF(C45=5,0,N45*((1+DepRate*(1-DepTax))^G45-1))</f>
        <v>1.67284821303871</v>
      </c>
      <c r="AD45" s="29" t="n">
        <f aca="false">IF(C45=5,0,AB45-AC45+I45*(((1+DepRate*(1-DepTax))^G45-1)-((1+DepRate*(1-DepTax))^O45-1)))</f>
        <v>2.67255628346118</v>
      </c>
      <c r="AE45" s="30" t="n">
        <f aca="false">IF(J45&gt;0,-PMT(Rm,LoanYears*12,J45)*10000,0)</f>
        <v>142.269758048707</v>
      </c>
      <c r="AF45" s="21" t="n">
        <f aca="false">IF(J45&gt;0,-PMT((Rate+Stress)/12,LoanYears*12,J45)*12/DSR,0)</f>
        <v>0.59478043069019</v>
      </c>
      <c r="AG45" s="20" t="n">
        <f aca="false">IF(N45&lt;=CapA,1,0)</f>
        <v>0</v>
      </c>
      <c r="AH45" s="20" t="n">
        <f aca="false">IF(N45&lt;=CapB,1,0)</f>
        <v>1</v>
      </c>
      <c r="AI45" s="20" t="n">
        <f aca="false">IF(N45&lt;=CapC,1,0)</f>
        <v>1</v>
      </c>
      <c r="AJ45" s="21" t="n">
        <f aca="false">IF(AG45=1,AD45,-999)</f>
        <v>-999</v>
      </c>
      <c r="AK45" s="21" t="n">
        <f aca="false">IF(AH45=1,AD45,-999)</f>
        <v>2.67255628346118</v>
      </c>
      <c r="AL45" s="21" t="n">
        <f aca="false">IF(AI45=1,AD45,-999)</f>
        <v>2.67255628346118</v>
      </c>
      <c r="AM45" s="21" t="str">
        <f aca="false">C45&amp;"|"&amp;E45&amp;"|"&amp;G45&amp;"|"&amp;TEXT(AJ45,"0.00000")</f>
        <v>2|3|5|-999.00000</v>
      </c>
      <c r="AN45" s="21" t="str">
        <f aca="false">C45&amp;"|"&amp;E45&amp;"|"&amp;G45&amp;"|"&amp;TEXT(AK45,"0.00000")</f>
        <v>2|3|5|2.67256</v>
      </c>
      <c r="AO45" s="21" t="str">
        <f aca="false">C45&amp;"|"&amp;E45&amp;"|"&amp;G45&amp;"|"&amp;TEXT(AL45,"0.00000")</f>
        <v>2|3|5|2.67256</v>
      </c>
    </row>
    <row r="46" customFormat="false" ht="15" hidden="false" customHeight="false" outlineLevel="0" collapsed="false">
      <c r="A46" s="20" t="n">
        <v>2</v>
      </c>
      <c r="B46" s="18" t="str">
        <f aca="false">INDEX(C_Name,A46)</f>
        <v>e편한세상 문래 에듀플라츠 84.99㎡</v>
      </c>
      <c r="C46" s="20" t="n">
        <v>2</v>
      </c>
      <c r="D46" s="21" t="str">
        <f aca="false">CHOOSE(C46,"1안 표준형(대출 최대)","2안 절충형(대출 50%)","3안 무대출형","4안 임대차 승계 후 입주","5안 매수 보류(전세 거주)")</f>
        <v>2안 절충형(대출 50%)</v>
      </c>
      <c r="E46" s="20" t="n">
        <v>3</v>
      </c>
      <c r="F46" s="10" t="n">
        <f aca="false">CHOOSE(E46,GrowLo,GrowMid,GrowHi)</f>
        <v>0.06</v>
      </c>
      <c r="G46" s="20" t="n">
        <v>10</v>
      </c>
      <c r="H46" s="18" t="n">
        <f aca="false">INDEX(C_Price,A46)</f>
        <v>14.9</v>
      </c>
      <c r="I46" s="18" t="n">
        <f aca="false">INDEX(C_Jeonse,A46)</f>
        <v>7.748</v>
      </c>
      <c r="J46" s="21" t="n">
        <f aca="false">IF(C46=5,0,IF(C46=1,INDEX(C_Loan,A46),IF(C46=2,INDEX(C_Loan,A46)*LoanShare2,IF(C46=3,0,MIN(INDEX(C_Loan,A46),I46)))))</f>
        <v>2.98</v>
      </c>
      <c r="K46" s="18" t="n">
        <f aca="false">IF(C46=5,0,INDEX(C_Acq,A46))</f>
        <v>0.4917</v>
      </c>
      <c r="L46" s="18" t="n">
        <f aca="false">IF(C46=5,0,INDEX(C_Fee,A46))</f>
        <v>0.11834</v>
      </c>
      <c r="M46" s="21" t="n">
        <f aca="false">IF(C46=4,MAX(0,I46-J46),0)</f>
        <v>0</v>
      </c>
      <c r="N46" s="21" t="n">
        <f aca="false">IF(C46=5,I46,IF(C46=4,(H46-I46)+K46+L46+M46,H46-J46+K46+L46))</f>
        <v>12.53004</v>
      </c>
      <c r="O46" s="20" t="n">
        <f aca="false">IF(C46=4,RentYears,0)</f>
        <v>0</v>
      </c>
      <c r="P46" s="20" t="n">
        <f aca="false">IF(C46=5,0,MAX(0,G46-O46-NonRes))</f>
        <v>10</v>
      </c>
      <c r="Q46" s="21" t="n">
        <f aca="false">IF(C46=5,0,H46*(1+F46)^G46)</f>
        <v>26.6836306784885</v>
      </c>
      <c r="R46" s="21" t="n">
        <f aca="false">IF(C46=5,0,Q46*LOOKUP(Q46,FeeLo,FeeR)*(1+VAT))</f>
        <v>0.205463956224362</v>
      </c>
      <c r="S46" s="21" t="n">
        <f aca="false">IF(J46&gt;0,-CUMIPMT(Rm,LoanYears*12,J46,1,(G46-O46)*12,0),0)</f>
        <v>1.0749990810896</v>
      </c>
      <c r="T46" s="29" t="n">
        <f aca="false">IF(C46=5,0,SUMIFS(Sch_Total,Sch_Idx,A46,Sch_Scen,E46,Sch_Year,"&lt;="&amp;G46))</f>
        <v>0.496648028530773</v>
      </c>
      <c r="U46" s="21" t="n">
        <f aca="false">K46+L46+R46</f>
        <v>0.815503956224362</v>
      </c>
      <c r="V46" s="21" t="n">
        <f aca="false">IF(C46=5,0,Q46-H46-U46)</f>
        <v>10.9681267222642</v>
      </c>
      <c r="W46" s="21" t="n">
        <f aca="false">IF(C46=5,0,MAX(0,IF(P46&gt;=2,IF(Q46&gt;Exempt,V46*(Q46-Exempt)/Q46,0),V46)))</f>
        <v>6.03560752152153</v>
      </c>
      <c r="X46" s="10" t="n">
        <f aca="false">IF(P46&gt;=2,MIN(MaxDed,MIN(0.4,HoldRate*G46)+MIN(0.4,LiveRate*P46)),IF(G46&gt;=3,MIN(0.3,0.02*G46),0))</f>
        <v>0.8</v>
      </c>
      <c r="Y46" s="21" t="n">
        <f aca="false">MAX(0,W46*(1-X46)-InitDed)</f>
        <v>1.18212150430431</v>
      </c>
      <c r="Z46" s="29" t="n">
        <f aca="false">SUMPRODUCT((Y46&gt;CLo)*(Y46-CLo)*CD)*(1+LocalTax)</f>
        <v>0.285276779157158</v>
      </c>
      <c r="AA46" s="21" t="n">
        <f aca="false">K46+T46+Z46</f>
        <v>1.27362480768793</v>
      </c>
      <c r="AB46" s="29" t="n">
        <f aca="false">IF(C46=5,0,(Q46-H46)-K46-L46-R46-S46-T46-Z46)</f>
        <v>9.11120283348664</v>
      </c>
      <c r="AC46" s="21" t="n">
        <f aca="false">IF(C46=5,0,N46*((1+DepRate*(1-DepTax))^G46-1))</f>
        <v>3.56903339418501</v>
      </c>
      <c r="AD46" s="29" t="n">
        <f aca="false">IF(C46=5,0,AB46-AC46+I46*(((1+DepRate*(1-DepTax))^G46-1)-((1+DepRate*(1-DepTax))^O46-1)))</f>
        <v>7.74909541385123</v>
      </c>
      <c r="AE46" s="30" t="n">
        <f aca="false">IF(J46&gt;0,-PMT(Rm,LoanYears*12,J46)*10000,0)</f>
        <v>142.269758048707</v>
      </c>
      <c r="AF46" s="21" t="n">
        <f aca="false">IF(J46&gt;0,-PMT((Rate+Stress)/12,LoanYears*12,J46)*12/DSR,0)</f>
        <v>0.59478043069019</v>
      </c>
      <c r="AG46" s="20" t="n">
        <f aca="false">IF(N46&lt;=CapA,1,0)</f>
        <v>0</v>
      </c>
      <c r="AH46" s="20" t="n">
        <f aca="false">IF(N46&lt;=CapB,1,0)</f>
        <v>1</v>
      </c>
      <c r="AI46" s="20" t="n">
        <f aca="false">IF(N46&lt;=CapC,1,0)</f>
        <v>1</v>
      </c>
      <c r="AJ46" s="21" t="n">
        <f aca="false">IF(AG46=1,AD46,-999)</f>
        <v>-999</v>
      </c>
      <c r="AK46" s="21" t="n">
        <f aca="false">IF(AH46=1,AD46,-999)</f>
        <v>7.74909541385123</v>
      </c>
      <c r="AL46" s="21" t="n">
        <f aca="false">IF(AI46=1,AD46,-999)</f>
        <v>7.74909541385123</v>
      </c>
      <c r="AM46" s="21" t="str">
        <f aca="false">C46&amp;"|"&amp;E46&amp;"|"&amp;G46&amp;"|"&amp;TEXT(AJ46,"0.00000")</f>
        <v>2|3|10|-999.00000</v>
      </c>
      <c r="AN46" s="21" t="str">
        <f aca="false">C46&amp;"|"&amp;E46&amp;"|"&amp;G46&amp;"|"&amp;TEXT(AK46,"0.00000")</f>
        <v>2|3|10|7.74910</v>
      </c>
      <c r="AO46" s="21" t="str">
        <f aca="false">C46&amp;"|"&amp;E46&amp;"|"&amp;G46&amp;"|"&amp;TEXT(AL46,"0.00000")</f>
        <v>2|3|10|7.74910</v>
      </c>
    </row>
    <row r="47" customFormat="false" ht="15" hidden="false" customHeight="false" outlineLevel="0" collapsed="false">
      <c r="A47" s="20" t="n">
        <v>2</v>
      </c>
      <c r="B47" s="18" t="str">
        <f aca="false">INDEX(C_Name,A47)</f>
        <v>e편한세상 문래 에듀플라츠 84.99㎡</v>
      </c>
      <c r="C47" s="20" t="n">
        <v>3</v>
      </c>
      <c r="D47" s="21" t="str">
        <f aca="false">CHOOSE(C47,"1안 표준형(대출 최대)","2안 절충형(대출 50%)","3안 무대출형","4안 임대차 승계 후 입주","5안 매수 보류(전세 거주)")</f>
        <v>3안 무대출형</v>
      </c>
      <c r="E47" s="20" t="n">
        <v>1</v>
      </c>
      <c r="F47" s="10" t="n">
        <f aca="false">CHOOSE(E47,GrowLo,GrowMid,GrowHi)</f>
        <v>0.02</v>
      </c>
      <c r="G47" s="20" t="n">
        <v>5</v>
      </c>
      <c r="H47" s="18" t="n">
        <f aca="false">INDEX(C_Price,A47)</f>
        <v>14.9</v>
      </c>
      <c r="I47" s="18" t="n">
        <f aca="false">INDEX(C_Jeonse,A47)</f>
        <v>7.748</v>
      </c>
      <c r="J47" s="21" t="n">
        <f aca="false">IF(C47=5,0,IF(C47=1,INDEX(C_Loan,A47),IF(C47=2,INDEX(C_Loan,A47)*LoanShare2,IF(C47=3,0,MIN(INDEX(C_Loan,A47),I47)))))</f>
        <v>0</v>
      </c>
      <c r="K47" s="18" t="n">
        <f aca="false">IF(C47=5,0,INDEX(C_Acq,A47))</f>
        <v>0.4917</v>
      </c>
      <c r="L47" s="18" t="n">
        <f aca="false">IF(C47=5,0,INDEX(C_Fee,A47))</f>
        <v>0.11834</v>
      </c>
      <c r="M47" s="21" t="n">
        <f aca="false">IF(C47=4,MAX(0,I47-J47),0)</f>
        <v>0</v>
      </c>
      <c r="N47" s="21" t="n">
        <f aca="false">IF(C47=5,I47,IF(C47=4,(H47-I47)+K47+L47+M47,H47-J47+K47+L47))</f>
        <v>15.51004</v>
      </c>
      <c r="O47" s="20" t="n">
        <f aca="false">IF(C47=4,RentYears,0)</f>
        <v>0</v>
      </c>
      <c r="P47" s="20" t="n">
        <f aca="false">IF(C47=5,0,MAX(0,G47-O47-NonRes))</f>
        <v>5</v>
      </c>
      <c r="Q47" s="21" t="n">
        <f aca="false">IF(C47=5,0,H47*(1+F47)^G47)</f>
        <v>16.45080396768</v>
      </c>
      <c r="R47" s="21" t="n">
        <f aca="false">IF(C47=5,0,Q47*LOOKUP(Q47,FeeLo,FeeR)*(1+VAT))</f>
        <v>0.126671190551136</v>
      </c>
      <c r="S47" s="21" t="n">
        <f aca="false">IF(J47&gt;0,-CUMIPMT(Rm,LoanYears*12,J47,1,(G47-O47)*12,0),0)</f>
        <v>0</v>
      </c>
      <c r="T47" s="29" t="n">
        <f aca="false">IF(C47=5,0,SUMIFS(Sch_Total,Sch_Idx,A47,Sch_Scen,E47,Sch_Year,"&lt;="&amp;G47))</f>
        <v>0.161230181212051</v>
      </c>
      <c r="U47" s="21" t="n">
        <f aca="false">K47+L47+R47</f>
        <v>0.736711190551136</v>
      </c>
      <c r="V47" s="21" t="n">
        <f aca="false">IF(C47=5,0,Q47-H47-U47)</f>
        <v>0.814092777128862</v>
      </c>
      <c r="W47" s="21" t="n">
        <f aca="false">IF(C47=5,0,MAX(0,IF(P47&gt;=2,IF(Q47&gt;Exempt,V47*(Q47-Exempt)/Q47,0),V47)))</f>
        <v>0.220254728560586</v>
      </c>
      <c r="X47" s="10" t="n">
        <f aca="false">IF(P47&gt;=2,MIN(MaxDed,MIN(0.4,HoldRate*G47)+MIN(0.4,LiveRate*P47)),IF(G47&gt;=3,MIN(0.3,0.02*G47),0))</f>
        <v>0.4</v>
      </c>
      <c r="Y47" s="21" t="n">
        <f aca="false">MAX(0,W47*(1-X47)-InitDed)</f>
        <v>0.107152837136352</v>
      </c>
      <c r="Z47" s="29" t="n">
        <f aca="false">SUMPRODUCT((Y47&gt;CLo)*(Y47-CLo)*CD)*(1+LocalTax)</f>
        <v>0.00707208725099921</v>
      </c>
      <c r="AA47" s="21" t="n">
        <f aca="false">K47+T47+Z47</f>
        <v>0.66000226846305</v>
      </c>
      <c r="AB47" s="29" t="n">
        <f aca="false">IF(C47=5,0,(Q47-H47)-K47-L47-R47-S47-T47-Z47)</f>
        <v>0.645790508665812</v>
      </c>
      <c r="AC47" s="21" t="n">
        <f aca="false">IF(C47=5,0,N47*((1+DepRate*(1-DepTax))^G47-1))</f>
        <v>2.07069911174736</v>
      </c>
      <c r="AD47" s="29" t="n">
        <f aca="false">IF(C47=5,0,AB47-AC47+I47*(((1+DepRate*(1-DepTax))^G47-1)-((1+DepRate*(1-DepTax))^O47-1)))</f>
        <v>-0.390496266439057</v>
      </c>
      <c r="AE47" s="30" t="n">
        <f aca="false">IF(J47&gt;0,-PMT(Rm,LoanYears*12,J47)*10000,0)</f>
        <v>0</v>
      </c>
      <c r="AF47" s="21" t="n">
        <f aca="false">IF(J47&gt;0,-PMT((Rate+Stress)/12,LoanYears*12,J47)*12/DSR,0)</f>
        <v>0</v>
      </c>
      <c r="AG47" s="20" t="n">
        <f aca="false">IF(N47&lt;=CapA,1,0)</f>
        <v>0</v>
      </c>
      <c r="AH47" s="20" t="n">
        <f aca="false">IF(N47&lt;=CapB,1,0)</f>
        <v>0</v>
      </c>
      <c r="AI47" s="20" t="n">
        <f aca="false">IF(N47&lt;=CapC,1,0)</f>
        <v>1</v>
      </c>
      <c r="AJ47" s="21" t="n">
        <f aca="false">IF(AG47=1,AD47,-999)</f>
        <v>-999</v>
      </c>
      <c r="AK47" s="21" t="n">
        <f aca="false">IF(AH47=1,AD47,-999)</f>
        <v>-999</v>
      </c>
      <c r="AL47" s="21" t="n">
        <f aca="false">IF(AI47=1,AD47,-999)</f>
        <v>-0.390496266439057</v>
      </c>
      <c r="AM47" s="21" t="str">
        <f aca="false">C47&amp;"|"&amp;E47&amp;"|"&amp;G47&amp;"|"&amp;TEXT(AJ47,"0.00000")</f>
        <v>3|1|5|-999.00000</v>
      </c>
      <c r="AN47" s="21" t="str">
        <f aca="false">C47&amp;"|"&amp;E47&amp;"|"&amp;G47&amp;"|"&amp;TEXT(AK47,"0.00000")</f>
        <v>3|1|5|-999.00000</v>
      </c>
      <c r="AO47" s="21" t="str">
        <f aca="false">C47&amp;"|"&amp;E47&amp;"|"&amp;G47&amp;"|"&amp;TEXT(AL47,"0.00000")</f>
        <v>3|1|5|-0.39050</v>
      </c>
    </row>
    <row r="48" customFormat="false" ht="15" hidden="false" customHeight="false" outlineLevel="0" collapsed="false">
      <c r="A48" s="20" t="n">
        <v>2</v>
      </c>
      <c r="B48" s="18" t="str">
        <f aca="false">INDEX(C_Name,A48)</f>
        <v>e편한세상 문래 에듀플라츠 84.99㎡</v>
      </c>
      <c r="C48" s="20" t="n">
        <v>3</v>
      </c>
      <c r="D48" s="21" t="str">
        <f aca="false">CHOOSE(C48,"1안 표준형(대출 최대)","2안 절충형(대출 50%)","3안 무대출형","4안 임대차 승계 후 입주","5안 매수 보류(전세 거주)")</f>
        <v>3안 무대출형</v>
      </c>
      <c r="E48" s="20" t="n">
        <v>1</v>
      </c>
      <c r="F48" s="10" t="n">
        <f aca="false">CHOOSE(E48,GrowLo,GrowMid,GrowHi)</f>
        <v>0.02</v>
      </c>
      <c r="G48" s="20" t="n">
        <v>10</v>
      </c>
      <c r="H48" s="18" t="n">
        <f aca="false">INDEX(C_Price,A48)</f>
        <v>14.9</v>
      </c>
      <c r="I48" s="18" t="n">
        <f aca="false">INDEX(C_Jeonse,A48)</f>
        <v>7.748</v>
      </c>
      <c r="J48" s="21" t="n">
        <f aca="false">IF(C48=5,0,IF(C48=1,INDEX(C_Loan,A48),IF(C48=2,INDEX(C_Loan,A48)*LoanShare2,IF(C48=3,0,MIN(INDEX(C_Loan,A48),I48)))))</f>
        <v>0</v>
      </c>
      <c r="K48" s="18" t="n">
        <f aca="false">IF(C48=5,0,INDEX(C_Acq,A48))</f>
        <v>0.4917</v>
      </c>
      <c r="L48" s="18" t="n">
        <f aca="false">IF(C48=5,0,INDEX(C_Fee,A48))</f>
        <v>0.11834</v>
      </c>
      <c r="M48" s="21" t="n">
        <f aca="false">IF(C48=4,MAX(0,I48-J48),0)</f>
        <v>0</v>
      </c>
      <c r="N48" s="21" t="n">
        <f aca="false">IF(C48=5,I48,IF(C48=4,(H48-I48)+K48+L48+M48,H48-J48+K48+L48))</f>
        <v>15.51004</v>
      </c>
      <c r="O48" s="20" t="n">
        <f aca="false">IF(C48=4,RentYears,0)</f>
        <v>0</v>
      </c>
      <c r="P48" s="20" t="n">
        <f aca="false">IF(C48=5,0,MAX(0,G48-O48-NonRes))</f>
        <v>10</v>
      </c>
      <c r="Q48" s="21" t="n">
        <f aca="false">IF(C48=5,0,H48*(1+F48)^G48)</f>
        <v>18.1630168579219</v>
      </c>
      <c r="R48" s="21" t="n">
        <f aca="false">IF(C48=5,0,Q48*LOOKUP(Q48,FeeLo,FeeR)*(1+VAT))</f>
        <v>0.139855229805999</v>
      </c>
      <c r="S48" s="21" t="n">
        <f aca="false">IF(J48&gt;0,-CUMIPMT(Rm,LoanYears*12,J48,1,(G48-O48)*12,0),0)</f>
        <v>0</v>
      </c>
      <c r="T48" s="29" t="n">
        <f aca="false">IF(C48=5,0,SUMIFS(Sch_Total,Sch_Idx,A48,Sch_Scen,E48,Sch_Year,"&lt;="&amp;G48))</f>
        <v>0.344372860004419</v>
      </c>
      <c r="U48" s="21" t="n">
        <f aca="false">K48+L48+R48</f>
        <v>0.749895229805999</v>
      </c>
      <c r="V48" s="21" t="n">
        <f aca="false">IF(C48=5,0,Q48-H48-U48)</f>
        <v>2.51312162811589</v>
      </c>
      <c r="W48" s="21" t="n">
        <f aca="false">IF(C48=5,0,MAX(0,IF(P48&gt;=2,IF(Q48&gt;Exempt,V48*(Q48-Exempt)/Q48,0),V48)))</f>
        <v>0.852744402609028</v>
      </c>
      <c r="X48" s="10" t="n">
        <f aca="false">IF(P48&gt;=2,MIN(MaxDed,MIN(0.4,HoldRate*G48)+MIN(0.4,LiveRate*P48)),IF(G48&gt;=3,MIN(0.3,0.02*G48),0))</f>
        <v>0.8</v>
      </c>
      <c r="Y48" s="21" t="n">
        <f aca="false">MAX(0,W48*(1-X48)-InitDed)</f>
        <v>0.145548880521806</v>
      </c>
      <c r="Z48" s="29" t="n">
        <f aca="false">SUMPRODUCT((Y48&gt;CLo)*(Y48-CLo)*CD)*(1+LocalTax)</f>
        <v>0.0101555652860979</v>
      </c>
      <c r="AA48" s="21" t="n">
        <f aca="false">K48+T48+Z48</f>
        <v>0.846228425290517</v>
      </c>
      <c r="AB48" s="29" t="n">
        <f aca="false">IF(C48=5,0,(Q48-H48)-K48-L48-R48-S48-T48-Z48)</f>
        <v>2.15859320282537</v>
      </c>
      <c r="AC48" s="21" t="n">
        <f aca="false">IF(C48=5,0,N48*((1+DepRate*(1-DepTax))^G48-1))</f>
        <v>4.41785107670409</v>
      </c>
      <c r="AD48" s="29" t="n">
        <f aca="false">IF(C48=5,0,AB48-AC48+I48*(((1+DepRate*(1-DepTax))^G48-1)-((1+DepRate*(1-DepTax))^O48-1)))</f>
        <v>-0.0523318993291189</v>
      </c>
      <c r="AE48" s="30" t="n">
        <f aca="false">IF(J48&gt;0,-PMT(Rm,LoanYears*12,J48)*10000,0)</f>
        <v>0</v>
      </c>
      <c r="AF48" s="21" t="n">
        <f aca="false">IF(J48&gt;0,-PMT((Rate+Stress)/12,LoanYears*12,J48)*12/DSR,0)</f>
        <v>0</v>
      </c>
      <c r="AG48" s="20" t="n">
        <f aca="false">IF(N48&lt;=CapA,1,0)</f>
        <v>0</v>
      </c>
      <c r="AH48" s="20" t="n">
        <f aca="false">IF(N48&lt;=CapB,1,0)</f>
        <v>0</v>
      </c>
      <c r="AI48" s="20" t="n">
        <f aca="false">IF(N48&lt;=CapC,1,0)</f>
        <v>1</v>
      </c>
      <c r="AJ48" s="21" t="n">
        <f aca="false">IF(AG48=1,AD48,-999)</f>
        <v>-999</v>
      </c>
      <c r="AK48" s="21" t="n">
        <f aca="false">IF(AH48=1,AD48,-999)</f>
        <v>-999</v>
      </c>
      <c r="AL48" s="21" t="n">
        <f aca="false">IF(AI48=1,AD48,-999)</f>
        <v>-0.0523318993291189</v>
      </c>
      <c r="AM48" s="21" t="str">
        <f aca="false">C48&amp;"|"&amp;E48&amp;"|"&amp;G48&amp;"|"&amp;TEXT(AJ48,"0.00000")</f>
        <v>3|1|10|-999.00000</v>
      </c>
      <c r="AN48" s="21" t="str">
        <f aca="false">C48&amp;"|"&amp;E48&amp;"|"&amp;G48&amp;"|"&amp;TEXT(AK48,"0.00000")</f>
        <v>3|1|10|-999.00000</v>
      </c>
      <c r="AO48" s="21" t="str">
        <f aca="false">C48&amp;"|"&amp;E48&amp;"|"&amp;G48&amp;"|"&amp;TEXT(AL48,"0.00000")</f>
        <v>3|1|10|-0.05233</v>
      </c>
    </row>
    <row r="49" customFormat="false" ht="15" hidden="false" customHeight="false" outlineLevel="0" collapsed="false">
      <c r="A49" s="20" t="n">
        <v>2</v>
      </c>
      <c r="B49" s="18" t="str">
        <f aca="false">INDEX(C_Name,A49)</f>
        <v>e편한세상 문래 에듀플라츠 84.99㎡</v>
      </c>
      <c r="C49" s="20" t="n">
        <v>3</v>
      </c>
      <c r="D49" s="21" t="str">
        <f aca="false">CHOOSE(C49,"1안 표준형(대출 최대)","2안 절충형(대출 50%)","3안 무대출형","4안 임대차 승계 후 입주","5안 매수 보류(전세 거주)")</f>
        <v>3안 무대출형</v>
      </c>
      <c r="E49" s="20" t="n">
        <v>2</v>
      </c>
      <c r="F49" s="10" t="n">
        <f aca="false">CHOOSE(E49,GrowLo,GrowMid,GrowHi)</f>
        <v>0.04</v>
      </c>
      <c r="G49" s="20" t="n">
        <v>5</v>
      </c>
      <c r="H49" s="18" t="n">
        <f aca="false">INDEX(C_Price,A49)</f>
        <v>14.9</v>
      </c>
      <c r="I49" s="18" t="n">
        <f aca="false">INDEX(C_Jeonse,A49)</f>
        <v>7.748</v>
      </c>
      <c r="J49" s="21" t="n">
        <f aca="false">IF(C49=5,0,IF(C49=1,INDEX(C_Loan,A49),IF(C49=2,INDEX(C_Loan,A49)*LoanShare2,IF(C49=3,0,MIN(INDEX(C_Loan,A49),I49)))))</f>
        <v>0</v>
      </c>
      <c r="K49" s="18" t="n">
        <f aca="false">IF(C49=5,0,INDEX(C_Acq,A49))</f>
        <v>0.4917</v>
      </c>
      <c r="L49" s="18" t="n">
        <f aca="false">IF(C49=5,0,INDEX(C_Fee,A49))</f>
        <v>0.11834</v>
      </c>
      <c r="M49" s="21" t="n">
        <f aca="false">IF(C49=4,MAX(0,I49-J49),0)</f>
        <v>0</v>
      </c>
      <c r="N49" s="21" t="n">
        <f aca="false">IF(C49=5,I49,IF(C49=4,(H49-I49)+K49+L49+M49,H49-J49+K49+L49))</f>
        <v>15.51004</v>
      </c>
      <c r="O49" s="20" t="n">
        <f aca="false">IF(C49=4,RentYears,0)</f>
        <v>0</v>
      </c>
      <c r="P49" s="20" t="n">
        <f aca="false">IF(C49=5,0,MAX(0,G49-O49-NonRes))</f>
        <v>5</v>
      </c>
      <c r="Q49" s="21" t="n">
        <f aca="false">IF(C49=5,0,H49*(1+F49)^G49)</f>
        <v>18.12812824576</v>
      </c>
      <c r="R49" s="21" t="n">
        <f aca="false">IF(C49=5,0,Q49*LOOKUP(Q49,FeeLo,FeeR)*(1+VAT))</f>
        <v>0.139586587492352</v>
      </c>
      <c r="S49" s="21" t="n">
        <f aca="false">IF(J49&gt;0,-CUMIPMT(Rm,LoanYears*12,J49,1,(G49-O49)*12,0),0)</f>
        <v>0</v>
      </c>
      <c r="T49" s="29" t="n">
        <f aca="false">IF(C49=5,0,SUMIFS(Sch_Total,Sch_Idx,A49,Sch_Scen,E49,Sch_Year,"&lt;="&amp;G49))</f>
        <v>0.169447326609715</v>
      </c>
      <c r="U49" s="21" t="n">
        <f aca="false">K49+L49+R49</f>
        <v>0.749626587492352</v>
      </c>
      <c r="V49" s="21" t="n">
        <f aca="false">IF(C49=5,0,Q49-H49-U49)</f>
        <v>2.47850165826765</v>
      </c>
      <c r="W49" s="21" t="n">
        <f aca="false">IF(C49=5,0,MAX(0,IF(P49&gt;=2,IF(Q49&gt;Exempt,V49*(Q49-Exempt)/Q49,0),V49)))</f>
        <v>0.837845794848978</v>
      </c>
      <c r="X49" s="10" t="n">
        <f aca="false">IF(P49&gt;=2,MIN(MaxDed,MIN(0.4,HoldRate*G49)+MIN(0.4,LiveRate*P49)),IF(G49&gt;=3,MIN(0.3,0.02*G49),0))</f>
        <v>0.4</v>
      </c>
      <c r="Y49" s="21" t="n">
        <f aca="false">MAX(0,W49*(1-X49)-InitDed)</f>
        <v>0.477707476909387</v>
      </c>
      <c r="Z49" s="29" t="n">
        <f aca="false">SUMPRODUCT((Y49&gt;CLo)*(Y49-CLo)*CD)*(1+LocalTax)</f>
        <v>0.0649617336900488</v>
      </c>
      <c r="AA49" s="21" t="n">
        <f aca="false">K49+T49+Z49</f>
        <v>0.726109060299764</v>
      </c>
      <c r="AB49" s="29" t="n">
        <f aca="false">IF(C49=5,0,(Q49-H49)-K49-L49-R49-S49-T49-Z49)</f>
        <v>2.24409259796789</v>
      </c>
      <c r="AC49" s="21" t="n">
        <f aca="false">IF(C49=5,0,N49*((1+DepRate*(1-DepTax))^G49-1))</f>
        <v>2.07069911174736</v>
      </c>
      <c r="AD49" s="29" t="n">
        <f aca="false">IF(C49=5,0,AB49-AC49+I49*(((1+DepRate*(1-DepTax))^G49-1)-((1+DepRate*(1-DepTax))^O49-1)))</f>
        <v>1.20780582286302</v>
      </c>
      <c r="AE49" s="30" t="n">
        <f aca="false">IF(J49&gt;0,-PMT(Rm,LoanYears*12,J49)*10000,0)</f>
        <v>0</v>
      </c>
      <c r="AF49" s="21" t="n">
        <f aca="false">IF(J49&gt;0,-PMT((Rate+Stress)/12,LoanYears*12,J49)*12/DSR,0)</f>
        <v>0</v>
      </c>
      <c r="AG49" s="20" t="n">
        <f aca="false">IF(N49&lt;=CapA,1,0)</f>
        <v>0</v>
      </c>
      <c r="AH49" s="20" t="n">
        <f aca="false">IF(N49&lt;=CapB,1,0)</f>
        <v>0</v>
      </c>
      <c r="AI49" s="20" t="n">
        <f aca="false">IF(N49&lt;=CapC,1,0)</f>
        <v>1</v>
      </c>
      <c r="AJ49" s="21" t="n">
        <f aca="false">IF(AG49=1,AD49,-999)</f>
        <v>-999</v>
      </c>
      <c r="AK49" s="21" t="n">
        <f aca="false">IF(AH49=1,AD49,-999)</f>
        <v>-999</v>
      </c>
      <c r="AL49" s="21" t="n">
        <f aca="false">IF(AI49=1,AD49,-999)</f>
        <v>1.20780582286302</v>
      </c>
      <c r="AM49" s="21" t="str">
        <f aca="false">C49&amp;"|"&amp;E49&amp;"|"&amp;G49&amp;"|"&amp;TEXT(AJ49,"0.00000")</f>
        <v>3|2|5|-999.00000</v>
      </c>
      <c r="AN49" s="21" t="str">
        <f aca="false">C49&amp;"|"&amp;E49&amp;"|"&amp;G49&amp;"|"&amp;TEXT(AK49,"0.00000")</f>
        <v>3|2|5|-999.00000</v>
      </c>
      <c r="AO49" s="21" t="str">
        <f aca="false">C49&amp;"|"&amp;E49&amp;"|"&amp;G49&amp;"|"&amp;TEXT(AL49,"0.00000")</f>
        <v>3|2|5|1.20781</v>
      </c>
    </row>
    <row r="50" customFormat="false" ht="15" hidden="false" customHeight="false" outlineLevel="0" collapsed="false">
      <c r="A50" s="20" t="n">
        <v>2</v>
      </c>
      <c r="B50" s="18" t="str">
        <f aca="false">INDEX(C_Name,A50)</f>
        <v>e편한세상 문래 에듀플라츠 84.99㎡</v>
      </c>
      <c r="C50" s="20" t="n">
        <v>3</v>
      </c>
      <c r="D50" s="21" t="str">
        <f aca="false">CHOOSE(C50,"1안 표준형(대출 최대)","2안 절충형(대출 50%)","3안 무대출형","4안 임대차 승계 후 입주","5안 매수 보류(전세 거주)")</f>
        <v>3안 무대출형</v>
      </c>
      <c r="E50" s="20" t="n">
        <v>2</v>
      </c>
      <c r="F50" s="10" t="n">
        <f aca="false">CHOOSE(E50,GrowLo,GrowMid,GrowHi)</f>
        <v>0.04</v>
      </c>
      <c r="G50" s="20" t="n">
        <v>10</v>
      </c>
      <c r="H50" s="18" t="n">
        <f aca="false">INDEX(C_Price,A50)</f>
        <v>14.9</v>
      </c>
      <c r="I50" s="18" t="n">
        <f aca="false">INDEX(C_Jeonse,A50)</f>
        <v>7.748</v>
      </c>
      <c r="J50" s="21" t="n">
        <f aca="false">IF(C50=5,0,IF(C50=1,INDEX(C_Loan,A50),IF(C50=2,INDEX(C_Loan,A50)*LoanShare2,IF(C50=3,0,MIN(INDEX(C_Loan,A50),I50)))))</f>
        <v>0</v>
      </c>
      <c r="K50" s="18" t="n">
        <f aca="false">IF(C50=5,0,INDEX(C_Acq,A50))</f>
        <v>0.4917</v>
      </c>
      <c r="L50" s="18" t="n">
        <f aca="false">IF(C50=5,0,INDEX(C_Fee,A50))</f>
        <v>0.11834</v>
      </c>
      <c r="M50" s="21" t="n">
        <f aca="false">IF(C50=4,MAX(0,I50-J50),0)</f>
        <v>0</v>
      </c>
      <c r="N50" s="21" t="n">
        <f aca="false">IF(C50=5,I50,IF(C50=4,(H50-I50)+K50+L50+M50,H50-J50+K50+L50))</f>
        <v>15.51004</v>
      </c>
      <c r="O50" s="20" t="n">
        <f aca="false">IF(C50=4,RentYears,0)</f>
        <v>0</v>
      </c>
      <c r="P50" s="20" t="n">
        <f aca="false">IF(C50=5,0,MAX(0,G50-O50-NonRes))</f>
        <v>10</v>
      </c>
      <c r="Q50" s="21" t="n">
        <f aca="false">IF(C50=5,0,H50*(1+F50)^G50)</f>
        <v>22.0556398452833</v>
      </c>
      <c r="R50" s="21" t="n">
        <f aca="false">IF(C50=5,0,Q50*LOOKUP(Q50,FeeLo,FeeR)*(1+VAT))</f>
        <v>0.169828426808682</v>
      </c>
      <c r="S50" s="21" t="n">
        <f aca="false">IF(J50&gt;0,-CUMIPMT(Rm,LoanYears*12,J50,1,(G50-O50)*12,0),0)</f>
        <v>0</v>
      </c>
      <c r="T50" s="29" t="n">
        <f aca="false">IF(C50=5,0,SUMIFS(Sch_Total,Sch_Idx,A50,Sch_Scen,E50,Sch_Year,"&lt;="&amp;G50))</f>
        <v>0.411574216281525</v>
      </c>
      <c r="U50" s="21" t="n">
        <f aca="false">K50+L50+R50</f>
        <v>0.779868426808682</v>
      </c>
      <c r="V50" s="21" t="n">
        <f aca="false">IF(C50=5,0,Q50-H50-U50)</f>
        <v>6.37577141847465</v>
      </c>
      <c r="W50" s="21" t="n">
        <f aca="false">IF(C50=5,0,MAX(0,IF(P50&gt;=2,IF(Q50&gt;Exempt,V50*(Q50-Exempt)/Q50,0),V50)))</f>
        <v>2.90685110791483</v>
      </c>
      <c r="X50" s="10" t="n">
        <f aca="false">IF(P50&gt;=2,MIN(MaxDed,MIN(0.4,HoldRate*G50)+MIN(0.4,LiveRate*P50)),IF(G50&gt;=3,MIN(0.3,0.02*G50),0))</f>
        <v>0.8</v>
      </c>
      <c r="Y50" s="21" t="n">
        <f aca="false">MAX(0,W50*(1-X50)-InitDed)</f>
        <v>0.556370221582966</v>
      </c>
      <c r="Z50" s="29" t="n">
        <f aca="false">SUMPRODUCT((Y50&gt;CLo)*(Y50-CLo)*CD)*(1+LocalTax)</f>
        <v>0.083521738497903</v>
      </c>
      <c r="AA50" s="21" t="n">
        <f aca="false">K50+T50+Z50</f>
        <v>0.986795954779429</v>
      </c>
      <c r="AB50" s="29" t="n">
        <f aca="false">IF(C50=5,0,(Q50-H50)-K50-L50-R50-S50-T50-Z50)</f>
        <v>5.88067546369522</v>
      </c>
      <c r="AC50" s="21" t="n">
        <f aca="false">IF(C50=5,0,N50*((1+DepRate*(1-DepTax))^G50-1))</f>
        <v>4.41785107670409</v>
      </c>
      <c r="AD50" s="29" t="n">
        <f aca="false">IF(C50=5,0,AB50-AC50+I50*(((1+DepRate*(1-DepTax))^G50-1)-((1+DepRate*(1-DepTax))^O50-1)))</f>
        <v>3.66975036154073</v>
      </c>
      <c r="AE50" s="30" t="n">
        <f aca="false">IF(J50&gt;0,-PMT(Rm,LoanYears*12,J50)*10000,0)</f>
        <v>0</v>
      </c>
      <c r="AF50" s="21" t="n">
        <f aca="false">IF(J50&gt;0,-PMT((Rate+Stress)/12,LoanYears*12,J50)*12/DSR,0)</f>
        <v>0</v>
      </c>
      <c r="AG50" s="20" t="n">
        <f aca="false">IF(N50&lt;=CapA,1,0)</f>
        <v>0</v>
      </c>
      <c r="AH50" s="20" t="n">
        <f aca="false">IF(N50&lt;=CapB,1,0)</f>
        <v>0</v>
      </c>
      <c r="AI50" s="20" t="n">
        <f aca="false">IF(N50&lt;=CapC,1,0)</f>
        <v>1</v>
      </c>
      <c r="AJ50" s="21" t="n">
        <f aca="false">IF(AG50=1,AD50,-999)</f>
        <v>-999</v>
      </c>
      <c r="AK50" s="21" t="n">
        <f aca="false">IF(AH50=1,AD50,-999)</f>
        <v>-999</v>
      </c>
      <c r="AL50" s="21" t="n">
        <f aca="false">IF(AI50=1,AD50,-999)</f>
        <v>3.66975036154073</v>
      </c>
      <c r="AM50" s="21" t="str">
        <f aca="false">C50&amp;"|"&amp;E50&amp;"|"&amp;G50&amp;"|"&amp;TEXT(AJ50,"0.00000")</f>
        <v>3|2|10|-999.00000</v>
      </c>
      <c r="AN50" s="21" t="str">
        <f aca="false">C50&amp;"|"&amp;E50&amp;"|"&amp;G50&amp;"|"&amp;TEXT(AK50,"0.00000")</f>
        <v>3|2|10|-999.00000</v>
      </c>
      <c r="AO50" s="21" t="str">
        <f aca="false">C50&amp;"|"&amp;E50&amp;"|"&amp;G50&amp;"|"&amp;TEXT(AL50,"0.00000")</f>
        <v>3|2|10|3.66975</v>
      </c>
    </row>
    <row r="51" customFormat="false" ht="15" hidden="false" customHeight="false" outlineLevel="0" collapsed="false">
      <c r="A51" s="20" t="n">
        <v>2</v>
      </c>
      <c r="B51" s="18" t="str">
        <f aca="false">INDEX(C_Name,A51)</f>
        <v>e편한세상 문래 에듀플라츠 84.99㎡</v>
      </c>
      <c r="C51" s="20" t="n">
        <v>3</v>
      </c>
      <c r="D51" s="21" t="str">
        <f aca="false">CHOOSE(C51,"1안 표준형(대출 최대)","2안 절충형(대출 50%)","3안 무대출형","4안 임대차 승계 후 입주","5안 매수 보류(전세 거주)")</f>
        <v>3안 무대출형</v>
      </c>
      <c r="E51" s="20" t="n">
        <v>3</v>
      </c>
      <c r="F51" s="10" t="n">
        <f aca="false">CHOOSE(E51,GrowLo,GrowMid,GrowHi)</f>
        <v>0.06</v>
      </c>
      <c r="G51" s="20" t="n">
        <v>5</v>
      </c>
      <c r="H51" s="18" t="n">
        <f aca="false">INDEX(C_Price,A51)</f>
        <v>14.9</v>
      </c>
      <c r="I51" s="18" t="n">
        <f aca="false">INDEX(C_Jeonse,A51)</f>
        <v>7.748</v>
      </c>
      <c r="J51" s="21" t="n">
        <f aca="false">IF(C51=5,0,IF(C51=1,INDEX(C_Loan,A51),IF(C51=2,INDEX(C_Loan,A51)*LoanShare2,IF(C51=3,0,MIN(INDEX(C_Loan,A51),I51)))))</f>
        <v>0</v>
      </c>
      <c r="K51" s="18" t="n">
        <f aca="false">IF(C51=5,0,INDEX(C_Acq,A51))</f>
        <v>0.4917</v>
      </c>
      <c r="L51" s="18" t="n">
        <f aca="false">IF(C51=5,0,INDEX(C_Fee,A51))</f>
        <v>0.11834</v>
      </c>
      <c r="M51" s="21" t="n">
        <f aca="false">IF(C51=4,MAX(0,I51-J51),0)</f>
        <v>0</v>
      </c>
      <c r="N51" s="21" t="n">
        <f aca="false">IF(C51=5,I51,IF(C51=4,(H51-I51)+K51+L51+M51,H51-J51+K51+L51))</f>
        <v>15.51004</v>
      </c>
      <c r="O51" s="20" t="n">
        <f aca="false">IF(C51=4,RentYears,0)</f>
        <v>0</v>
      </c>
      <c r="P51" s="20" t="n">
        <f aca="false">IF(C51=5,0,MAX(0,G51-O51-NonRes))</f>
        <v>5</v>
      </c>
      <c r="Q51" s="21" t="n">
        <f aca="false">IF(C51=5,0,H51*(1+F51)^G51)</f>
        <v>19.93956110624</v>
      </c>
      <c r="R51" s="21" t="n">
        <f aca="false">IF(C51=5,0,Q51*LOOKUP(Q51,FeeLo,FeeR)*(1+VAT))</f>
        <v>0.153534620518048</v>
      </c>
      <c r="S51" s="21" t="n">
        <f aca="false">IF(J51&gt;0,-CUMIPMT(Rm,LoanYears*12,J51,1,(G51-O51)*12,0),0)</f>
        <v>0</v>
      </c>
      <c r="T51" s="29" t="n">
        <f aca="false">IF(C51=5,0,SUMIFS(Sch_Total,Sch_Idx,A51,Sch_Scen,E51,Sch_Year,"&lt;="&amp;G51))</f>
        <v>0.182200124163283</v>
      </c>
      <c r="U51" s="21" t="n">
        <f aca="false">K51+L51+R51</f>
        <v>0.763574620518048</v>
      </c>
      <c r="V51" s="21" t="n">
        <f aca="false">IF(C51=5,0,Q51-H51-U51)</f>
        <v>4.27598648572196</v>
      </c>
      <c r="W51" s="21" t="n">
        <f aca="false">IF(C51=5,0,MAX(0,IF(P51&gt;=2,IF(Q51&gt;Exempt,V51*(Q51-Exempt)/Q51,0),V51)))</f>
        <v>1.70261801711481</v>
      </c>
      <c r="X51" s="10" t="n">
        <f aca="false">IF(P51&gt;=2,MIN(MaxDed,MIN(0.4,HoldRate*G51)+MIN(0.4,LiveRate*P51)),IF(G51&gt;=3,MIN(0.3,0.02*G51),0))</f>
        <v>0.4</v>
      </c>
      <c r="Y51" s="21" t="n">
        <f aca="false">MAX(0,W51*(1-X51)-InitDed)</f>
        <v>0.996570810268885</v>
      </c>
      <c r="Z51" s="29" t="n">
        <f aca="false">SUMPRODUCT((Y51&gt;CLo)*(Y51-CLo)*CD)*(1+LocalTax)</f>
        <v>0.213839761953521</v>
      </c>
      <c r="AA51" s="21" t="n">
        <f aca="false">K51+T51+Z51</f>
        <v>0.887739886116804</v>
      </c>
      <c r="AB51" s="29" t="n">
        <f aca="false">IF(C51=5,0,(Q51-H51)-K51-L51-R51-S51-T51-Z51)</f>
        <v>3.87994659960515</v>
      </c>
      <c r="AC51" s="21" t="n">
        <f aca="false">IF(C51=5,0,N51*((1+DepRate*(1-DepTax))^G51-1))</f>
        <v>2.07069911174736</v>
      </c>
      <c r="AD51" s="29" t="n">
        <f aca="false">IF(C51=5,0,AB51-AC51+I51*(((1+DepRate*(1-DepTax))^G51-1)-((1+DepRate*(1-DepTax))^O51-1)))</f>
        <v>2.84365982450028</v>
      </c>
      <c r="AE51" s="30" t="n">
        <f aca="false">IF(J51&gt;0,-PMT(Rm,LoanYears*12,J51)*10000,0)</f>
        <v>0</v>
      </c>
      <c r="AF51" s="21" t="n">
        <f aca="false">IF(J51&gt;0,-PMT((Rate+Stress)/12,LoanYears*12,J51)*12/DSR,0)</f>
        <v>0</v>
      </c>
      <c r="AG51" s="20" t="n">
        <f aca="false">IF(N51&lt;=CapA,1,0)</f>
        <v>0</v>
      </c>
      <c r="AH51" s="20" t="n">
        <f aca="false">IF(N51&lt;=CapB,1,0)</f>
        <v>0</v>
      </c>
      <c r="AI51" s="20" t="n">
        <f aca="false">IF(N51&lt;=CapC,1,0)</f>
        <v>1</v>
      </c>
      <c r="AJ51" s="21" t="n">
        <f aca="false">IF(AG51=1,AD51,-999)</f>
        <v>-999</v>
      </c>
      <c r="AK51" s="21" t="n">
        <f aca="false">IF(AH51=1,AD51,-999)</f>
        <v>-999</v>
      </c>
      <c r="AL51" s="21" t="n">
        <f aca="false">IF(AI51=1,AD51,-999)</f>
        <v>2.84365982450028</v>
      </c>
      <c r="AM51" s="21" t="str">
        <f aca="false">C51&amp;"|"&amp;E51&amp;"|"&amp;G51&amp;"|"&amp;TEXT(AJ51,"0.00000")</f>
        <v>3|3|5|-999.00000</v>
      </c>
      <c r="AN51" s="21" t="str">
        <f aca="false">C51&amp;"|"&amp;E51&amp;"|"&amp;G51&amp;"|"&amp;TEXT(AK51,"0.00000")</f>
        <v>3|3|5|-999.00000</v>
      </c>
      <c r="AO51" s="21" t="str">
        <f aca="false">C51&amp;"|"&amp;E51&amp;"|"&amp;G51&amp;"|"&amp;TEXT(AL51,"0.00000")</f>
        <v>3|3|5|2.84366</v>
      </c>
    </row>
    <row r="52" customFormat="false" ht="15" hidden="false" customHeight="false" outlineLevel="0" collapsed="false">
      <c r="A52" s="20" t="n">
        <v>2</v>
      </c>
      <c r="B52" s="18" t="str">
        <f aca="false">INDEX(C_Name,A52)</f>
        <v>e편한세상 문래 에듀플라츠 84.99㎡</v>
      </c>
      <c r="C52" s="20" t="n">
        <v>3</v>
      </c>
      <c r="D52" s="21" t="str">
        <f aca="false">CHOOSE(C52,"1안 표준형(대출 최대)","2안 절충형(대출 50%)","3안 무대출형","4안 임대차 승계 후 입주","5안 매수 보류(전세 거주)")</f>
        <v>3안 무대출형</v>
      </c>
      <c r="E52" s="20" t="n">
        <v>3</v>
      </c>
      <c r="F52" s="10" t="n">
        <f aca="false">CHOOSE(E52,GrowLo,GrowMid,GrowHi)</f>
        <v>0.06</v>
      </c>
      <c r="G52" s="20" t="n">
        <v>10</v>
      </c>
      <c r="H52" s="18" t="n">
        <f aca="false">INDEX(C_Price,A52)</f>
        <v>14.9</v>
      </c>
      <c r="I52" s="18" t="n">
        <f aca="false">INDEX(C_Jeonse,A52)</f>
        <v>7.748</v>
      </c>
      <c r="J52" s="21" t="n">
        <f aca="false">IF(C52=5,0,IF(C52=1,INDEX(C_Loan,A52),IF(C52=2,INDEX(C_Loan,A52)*LoanShare2,IF(C52=3,0,MIN(INDEX(C_Loan,A52),I52)))))</f>
        <v>0</v>
      </c>
      <c r="K52" s="18" t="n">
        <f aca="false">IF(C52=5,0,INDEX(C_Acq,A52))</f>
        <v>0.4917</v>
      </c>
      <c r="L52" s="18" t="n">
        <f aca="false">IF(C52=5,0,INDEX(C_Fee,A52))</f>
        <v>0.11834</v>
      </c>
      <c r="M52" s="21" t="n">
        <f aca="false">IF(C52=4,MAX(0,I52-J52),0)</f>
        <v>0</v>
      </c>
      <c r="N52" s="21" t="n">
        <f aca="false">IF(C52=5,I52,IF(C52=4,(H52-I52)+K52+L52+M52,H52-J52+K52+L52))</f>
        <v>15.51004</v>
      </c>
      <c r="O52" s="20" t="n">
        <f aca="false">IF(C52=4,RentYears,0)</f>
        <v>0</v>
      </c>
      <c r="P52" s="20" t="n">
        <f aca="false">IF(C52=5,0,MAX(0,G52-O52-NonRes))</f>
        <v>10</v>
      </c>
      <c r="Q52" s="21" t="n">
        <f aca="false">IF(C52=5,0,H52*(1+F52)^G52)</f>
        <v>26.6836306784885</v>
      </c>
      <c r="R52" s="21" t="n">
        <f aca="false">IF(C52=5,0,Q52*LOOKUP(Q52,FeeLo,FeeR)*(1+VAT))</f>
        <v>0.205463956224362</v>
      </c>
      <c r="S52" s="21" t="n">
        <f aca="false">IF(J52&gt;0,-CUMIPMT(Rm,LoanYears*12,J52,1,(G52-O52)*12,0),0)</f>
        <v>0</v>
      </c>
      <c r="T52" s="29" t="n">
        <f aca="false">IF(C52=5,0,SUMIFS(Sch_Total,Sch_Idx,A52,Sch_Scen,E52,Sch_Year,"&lt;="&amp;G52))</f>
        <v>0.496648028530773</v>
      </c>
      <c r="U52" s="21" t="n">
        <f aca="false">K52+L52+R52</f>
        <v>0.815503956224362</v>
      </c>
      <c r="V52" s="21" t="n">
        <f aca="false">IF(C52=5,0,Q52-H52-U52)</f>
        <v>10.9681267222642</v>
      </c>
      <c r="W52" s="21" t="n">
        <f aca="false">IF(C52=5,0,MAX(0,IF(P52&gt;=2,IF(Q52&gt;Exempt,V52*(Q52-Exempt)/Q52,0),V52)))</f>
        <v>6.03560752152153</v>
      </c>
      <c r="X52" s="10" t="n">
        <f aca="false">IF(P52&gt;=2,MIN(MaxDed,MIN(0.4,HoldRate*G52)+MIN(0.4,LiveRate*P52)),IF(G52&gt;=3,MIN(0.3,0.02*G52),0))</f>
        <v>0.8</v>
      </c>
      <c r="Y52" s="21" t="n">
        <f aca="false">MAX(0,W52*(1-X52)-InitDed)</f>
        <v>1.18212150430431</v>
      </c>
      <c r="Z52" s="29" t="n">
        <f aca="false">SUMPRODUCT((Y52&gt;CLo)*(Y52-CLo)*CD)*(1+LocalTax)</f>
        <v>0.285276779157158</v>
      </c>
      <c r="AA52" s="21" t="n">
        <f aca="false">K52+T52+Z52</f>
        <v>1.27362480768793</v>
      </c>
      <c r="AB52" s="29" t="n">
        <f aca="false">IF(C52=5,0,(Q52-H52)-K52-L52-R52-S52-T52-Z52)</f>
        <v>10.1862019145762</v>
      </c>
      <c r="AC52" s="21" t="n">
        <f aca="false">IF(C52=5,0,N52*((1+DepRate*(1-DepTax))^G52-1))</f>
        <v>4.41785107670409</v>
      </c>
      <c r="AD52" s="29" t="n">
        <f aca="false">IF(C52=5,0,AB52-AC52+I52*(((1+DepRate*(1-DepTax))^G52-1)-((1+DepRate*(1-DepTax))^O52-1)))</f>
        <v>7.97527681242175</v>
      </c>
      <c r="AE52" s="30" t="n">
        <f aca="false">IF(J52&gt;0,-PMT(Rm,LoanYears*12,J52)*10000,0)</f>
        <v>0</v>
      </c>
      <c r="AF52" s="21" t="n">
        <f aca="false">IF(J52&gt;0,-PMT((Rate+Stress)/12,LoanYears*12,J52)*12/DSR,0)</f>
        <v>0</v>
      </c>
      <c r="AG52" s="20" t="n">
        <f aca="false">IF(N52&lt;=CapA,1,0)</f>
        <v>0</v>
      </c>
      <c r="AH52" s="20" t="n">
        <f aca="false">IF(N52&lt;=CapB,1,0)</f>
        <v>0</v>
      </c>
      <c r="AI52" s="20" t="n">
        <f aca="false">IF(N52&lt;=CapC,1,0)</f>
        <v>1</v>
      </c>
      <c r="AJ52" s="21" t="n">
        <f aca="false">IF(AG52=1,AD52,-999)</f>
        <v>-999</v>
      </c>
      <c r="AK52" s="21" t="n">
        <f aca="false">IF(AH52=1,AD52,-999)</f>
        <v>-999</v>
      </c>
      <c r="AL52" s="21" t="n">
        <f aca="false">IF(AI52=1,AD52,-999)</f>
        <v>7.97527681242175</v>
      </c>
      <c r="AM52" s="21" t="str">
        <f aca="false">C52&amp;"|"&amp;E52&amp;"|"&amp;G52&amp;"|"&amp;TEXT(AJ52,"0.00000")</f>
        <v>3|3|10|-999.00000</v>
      </c>
      <c r="AN52" s="21" t="str">
        <f aca="false">C52&amp;"|"&amp;E52&amp;"|"&amp;G52&amp;"|"&amp;TEXT(AK52,"0.00000")</f>
        <v>3|3|10|-999.00000</v>
      </c>
      <c r="AO52" s="21" t="str">
        <f aca="false">C52&amp;"|"&amp;E52&amp;"|"&amp;G52&amp;"|"&amp;TEXT(AL52,"0.00000")</f>
        <v>3|3|10|7.97528</v>
      </c>
    </row>
    <row r="53" customFormat="false" ht="15" hidden="false" customHeight="false" outlineLevel="0" collapsed="false">
      <c r="A53" s="20" t="n">
        <v>2</v>
      </c>
      <c r="B53" s="18" t="str">
        <f aca="false">INDEX(C_Name,A53)</f>
        <v>e편한세상 문래 에듀플라츠 84.99㎡</v>
      </c>
      <c r="C53" s="20" t="n">
        <v>4</v>
      </c>
      <c r="D53" s="21" t="str">
        <f aca="false">CHOOSE(C53,"1안 표준형(대출 최대)","2안 절충형(대출 50%)","3안 무대출형","4안 임대차 승계 후 입주","5안 매수 보류(전세 거주)")</f>
        <v>4안 임대차 승계 후 입주</v>
      </c>
      <c r="E53" s="20" t="n">
        <v>1</v>
      </c>
      <c r="F53" s="10" t="n">
        <f aca="false">CHOOSE(E53,GrowLo,GrowMid,GrowHi)</f>
        <v>0.02</v>
      </c>
      <c r="G53" s="20" t="n">
        <v>5</v>
      </c>
      <c r="H53" s="18" t="n">
        <f aca="false">INDEX(C_Price,A53)</f>
        <v>14.9</v>
      </c>
      <c r="I53" s="18" t="n">
        <f aca="false">INDEX(C_Jeonse,A53)</f>
        <v>7.748</v>
      </c>
      <c r="J53" s="21" t="n">
        <f aca="false">IF(C53=5,0,IF(C53=1,INDEX(C_Loan,A53),IF(C53=2,INDEX(C_Loan,A53)*LoanShare2,IF(C53=3,0,MIN(INDEX(C_Loan,A53),I53)))))</f>
        <v>5.96</v>
      </c>
      <c r="K53" s="18" t="n">
        <f aca="false">IF(C53=5,0,INDEX(C_Acq,A53))</f>
        <v>0.4917</v>
      </c>
      <c r="L53" s="18" t="n">
        <f aca="false">IF(C53=5,0,INDEX(C_Fee,A53))</f>
        <v>0.11834</v>
      </c>
      <c r="M53" s="21" t="n">
        <f aca="false">IF(C53=4,MAX(0,I53-J53),0)</f>
        <v>1.788</v>
      </c>
      <c r="N53" s="21" t="n">
        <f aca="false">IF(C53=5,I53,IF(C53=4,(H53-I53)+K53+L53+M53,H53-J53+K53+L53))</f>
        <v>9.55004</v>
      </c>
      <c r="O53" s="20" t="n">
        <f aca="false">IF(C53=4,RentYears,0)</f>
        <v>2</v>
      </c>
      <c r="P53" s="20" t="n">
        <f aca="false">IF(C53=5,0,MAX(0,G53-O53-NonRes))</f>
        <v>3</v>
      </c>
      <c r="Q53" s="21" t="n">
        <f aca="false">IF(C53=5,0,H53*(1+F53)^G53)</f>
        <v>16.45080396768</v>
      </c>
      <c r="R53" s="21" t="n">
        <f aca="false">IF(C53=5,0,Q53*LOOKUP(Q53,FeeLo,FeeR)*(1+VAT))</f>
        <v>0.126671190551136</v>
      </c>
      <c r="S53" s="21" t="n">
        <f aca="false">IF(J53&gt;0,-CUMIPMT(Rm,LoanYears*12,J53,1,(G53-O53)*12,0),0)</f>
        <v>0.696466302433323</v>
      </c>
      <c r="T53" s="29" t="n">
        <f aca="false">IF(C53=5,0,SUMIFS(Sch_Total,Sch_Idx,A53,Sch_Scen,E53,Sch_Year,"&lt;="&amp;G53))</f>
        <v>0.161230181212051</v>
      </c>
      <c r="U53" s="21" t="n">
        <f aca="false">K53+L53+R53</f>
        <v>0.736711190551136</v>
      </c>
      <c r="V53" s="21" t="n">
        <f aca="false">IF(C53=5,0,Q53-H53-U53)</f>
        <v>0.814092777128862</v>
      </c>
      <c r="W53" s="21" t="n">
        <f aca="false">IF(C53=5,0,MAX(0,IF(P53&gt;=2,IF(Q53&gt;Exempt,V53*(Q53-Exempt)/Q53,0),V53)))</f>
        <v>0.220254728560586</v>
      </c>
      <c r="X53" s="10" t="n">
        <f aca="false">IF(P53&gt;=2,MIN(MaxDed,MIN(0.4,HoldRate*G53)+MIN(0.4,LiveRate*P53)),IF(G53&gt;=3,MIN(0.3,0.02*G53),0))</f>
        <v>0.32</v>
      </c>
      <c r="Y53" s="21" t="n">
        <f aca="false">MAX(0,W53*(1-X53)-InitDed)</f>
        <v>0.124773215421198</v>
      </c>
      <c r="Z53" s="29" t="n">
        <f aca="false">SUMPRODUCT((Y53&gt;CLo)*(Y53-CLo)*CD)*(1+LocalTax)</f>
        <v>0.0082350322177991</v>
      </c>
      <c r="AA53" s="21" t="n">
        <f aca="false">K53+T53+Z53</f>
        <v>0.66116521342985</v>
      </c>
      <c r="AB53" s="29" t="n">
        <f aca="false">IF(C53=5,0,(Q53-H53)-K53-L53-R53-S53-T53-Z53)</f>
        <v>-0.0518387387343111</v>
      </c>
      <c r="AC53" s="21" t="n">
        <f aca="false">IF(C53=5,0,N53*((1+DepRate*(1-DepTax))^G53-1))</f>
        <v>1.27499731433006</v>
      </c>
      <c r="AD53" s="29" t="n">
        <f aca="false">IF(C53=5,0,AB53-AC53+I53*(((1+DepRate*(1-DepTax))^G53-1)-((1+DepRate*(1-DepTax))^O53-1)))</f>
        <v>-0.690703027233074</v>
      </c>
      <c r="AE53" s="30" t="n">
        <f aca="false">IF(J53&gt;0,-PMT(Rm,LoanYears*12,J53)*10000,0)</f>
        <v>284.539516097414</v>
      </c>
      <c r="AF53" s="21" t="n">
        <f aca="false">IF(J53&gt;0,-PMT((Rate+Stress)/12,LoanYears*12,J53)*12/DSR,0)</f>
        <v>1.18956086138038</v>
      </c>
      <c r="AG53" s="20" t="n">
        <f aca="false">IF(N53&lt;=CapA,1,0)</f>
        <v>1</v>
      </c>
      <c r="AH53" s="20" t="n">
        <f aca="false">IF(N53&lt;=CapB,1,0)</f>
        <v>1</v>
      </c>
      <c r="AI53" s="20" t="n">
        <f aca="false">IF(N53&lt;=CapC,1,0)</f>
        <v>1</v>
      </c>
      <c r="AJ53" s="21" t="n">
        <f aca="false">IF(AG53=1,AD53,-999)</f>
        <v>-0.690703027233074</v>
      </c>
      <c r="AK53" s="21" t="n">
        <f aca="false">IF(AH53=1,AD53,-999)</f>
        <v>-0.690703027233074</v>
      </c>
      <c r="AL53" s="21" t="n">
        <f aca="false">IF(AI53=1,AD53,-999)</f>
        <v>-0.690703027233074</v>
      </c>
      <c r="AM53" s="21" t="str">
        <f aca="false">C53&amp;"|"&amp;E53&amp;"|"&amp;G53&amp;"|"&amp;TEXT(AJ53,"0.00000")</f>
        <v>4|1|5|-0.69070</v>
      </c>
      <c r="AN53" s="21" t="str">
        <f aca="false">C53&amp;"|"&amp;E53&amp;"|"&amp;G53&amp;"|"&amp;TEXT(AK53,"0.00000")</f>
        <v>4|1|5|-0.69070</v>
      </c>
      <c r="AO53" s="21" t="str">
        <f aca="false">C53&amp;"|"&amp;E53&amp;"|"&amp;G53&amp;"|"&amp;TEXT(AL53,"0.00000")</f>
        <v>4|1|5|-0.69070</v>
      </c>
    </row>
    <row r="54" customFormat="false" ht="15" hidden="false" customHeight="false" outlineLevel="0" collapsed="false">
      <c r="A54" s="20" t="n">
        <v>2</v>
      </c>
      <c r="B54" s="18" t="str">
        <f aca="false">INDEX(C_Name,A54)</f>
        <v>e편한세상 문래 에듀플라츠 84.99㎡</v>
      </c>
      <c r="C54" s="20" t="n">
        <v>4</v>
      </c>
      <c r="D54" s="21" t="str">
        <f aca="false">CHOOSE(C54,"1안 표준형(대출 최대)","2안 절충형(대출 50%)","3안 무대출형","4안 임대차 승계 후 입주","5안 매수 보류(전세 거주)")</f>
        <v>4안 임대차 승계 후 입주</v>
      </c>
      <c r="E54" s="20" t="n">
        <v>1</v>
      </c>
      <c r="F54" s="10" t="n">
        <f aca="false">CHOOSE(E54,GrowLo,GrowMid,GrowHi)</f>
        <v>0.02</v>
      </c>
      <c r="G54" s="20" t="n">
        <v>10</v>
      </c>
      <c r="H54" s="18" t="n">
        <f aca="false">INDEX(C_Price,A54)</f>
        <v>14.9</v>
      </c>
      <c r="I54" s="18" t="n">
        <f aca="false">INDEX(C_Jeonse,A54)</f>
        <v>7.748</v>
      </c>
      <c r="J54" s="21" t="n">
        <f aca="false">IF(C54=5,0,IF(C54=1,INDEX(C_Loan,A54),IF(C54=2,INDEX(C_Loan,A54)*LoanShare2,IF(C54=3,0,MIN(INDEX(C_Loan,A54),I54)))))</f>
        <v>5.96</v>
      </c>
      <c r="K54" s="18" t="n">
        <f aca="false">IF(C54=5,0,INDEX(C_Acq,A54))</f>
        <v>0.4917</v>
      </c>
      <c r="L54" s="18" t="n">
        <f aca="false">IF(C54=5,0,INDEX(C_Fee,A54))</f>
        <v>0.11834</v>
      </c>
      <c r="M54" s="21" t="n">
        <f aca="false">IF(C54=4,MAX(0,I54-J54),0)</f>
        <v>1.788</v>
      </c>
      <c r="N54" s="21" t="n">
        <f aca="false">IF(C54=5,I54,IF(C54=4,(H54-I54)+K54+L54+M54,H54-J54+K54+L54))</f>
        <v>9.55004</v>
      </c>
      <c r="O54" s="20" t="n">
        <f aca="false">IF(C54=4,RentYears,0)</f>
        <v>2</v>
      </c>
      <c r="P54" s="20" t="n">
        <f aca="false">IF(C54=5,0,MAX(0,G54-O54-NonRes))</f>
        <v>8</v>
      </c>
      <c r="Q54" s="21" t="n">
        <f aca="false">IF(C54=5,0,H54*(1+F54)^G54)</f>
        <v>18.1630168579219</v>
      </c>
      <c r="R54" s="21" t="n">
        <f aca="false">IF(C54=5,0,Q54*LOOKUP(Q54,FeeLo,FeeR)*(1+VAT))</f>
        <v>0.139855229805999</v>
      </c>
      <c r="S54" s="21" t="n">
        <f aca="false">IF(J54&gt;0,-CUMIPMT(Rm,LoanYears*12,J54,1,(G54-O54)*12,0),0)</f>
        <v>1.76191571252397</v>
      </c>
      <c r="T54" s="29" t="n">
        <f aca="false">IF(C54=5,0,SUMIFS(Sch_Total,Sch_Idx,A54,Sch_Scen,E54,Sch_Year,"&lt;="&amp;G54))</f>
        <v>0.344372860004419</v>
      </c>
      <c r="U54" s="21" t="n">
        <f aca="false">K54+L54+R54</f>
        <v>0.749895229805999</v>
      </c>
      <c r="V54" s="21" t="n">
        <f aca="false">IF(C54=5,0,Q54-H54-U54)</f>
        <v>2.51312162811589</v>
      </c>
      <c r="W54" s="21" t="n">
        <f aca="false">IF(C54=5,0,MAX(0,IF(P54&gt;=2,IF(Q54&gt;Exempt,V54*(Q54-Exempt)/Q54,0),V54)))</f>
        <v>0.852744402609028</v>
      </c>
      <c r="X54" s="10" t="n">
        <f aca="false">IF(P54&gt;=2,MIN(MaxDed,MIN(0.4,HoldRate*G54)+MIN(0.4,LiveRate*P54)),IF(G54&gt;=3,MIN(0.3,0.02*G54),0))</f>
        <v>0.72</v>
      </c>
      <c r="Y54" s="21" t="n">
        <f aca="false">MAX(0,W54*(1-X54)-InitDed)</f>
        <v>0.213768432730528</v>
      </c>
      <c r="Z54" s="29" t="n">
        <f aca="false">SUMPRODUCT((Y54&gt;CLo)*(Y54-CLo)*CD)*(1+LocalTax)</f>
        <v>0.0214117914005371</v>
      </c>
      <c r="AA54" s="21" t="n">
        <f aca="false">K54+T54+Z54</f>
        <v>0.857484651404956</v>
      </c>
      <c r="AB54" s="29" t="n">
        <f aca="false">IF(C54=5,0,(Q54-H54)-K54-L54-R54-S54-T54-Z54)</f>
        <v>0.385421264186961</v>
      </c>
      <c r="AC54" s="21" t="n">
        <f aca="false">IF(C54=5,0,N54*((1+DepRate*(1-DepTax))^G54-1))</f>
        <v>2.72021571166593</v>
      </c>
      <c r="AD54" s="29" t="n">
        <f aca="false">IF(C54=5,0,AB54-AC54+I54*(((1+DepRate*(1-DepTax))^G54-1)-((1+DepRate*(1-DepTax))^O54-1)))</f>
        <v>-0.526147783740573</v>
      </c>
      <c r="AE54" s="30" t="n">
        <f aca="false">IF(J54&gt;0,-PMT(Rm,LoanYears*12,J54)*10000,0)</f>
        <v>284.539516097414</v>
      </c>
      <c r="AF54" s="21" t="n">
        <f aca="false">IF(J54&gt;0,-PMT((Rate+Stress)/12,LoanYears*12,J54)*12/DSR,0)</f>
        <v>1.18956086138038</v>
      </c>
      <c r="AG54" s="20" t="n">
        <f aca="false">IF(N54&lt;=CapA,1,0)</f>
        <v>1</v>
      </c>
      <c r="AH54" s="20" t="n">
        <f aca="false">IF(N54&lt;=CapB,1,0)</f>
        <v>1</v>
      </c>
      <c r="AI54" s="20" t="n">
        <f aca="false">IF(N54&lt;=CapC,1,0)</f>
        <v>1</v>
      </c>
      <c r="AJ54" s="21" t="n">
        <f aca="false">IF(AG54=1,AD54,-999)</f>
        <v>-0.526147783740573</v>
      </c>
      <c r="AK54" s="21" t="n">
        <f aca="false">IF(AH54=1,AD54,-999)</f>
        <v>-0.526147783740573</v>
      </c>
      <c r="AL54" s="21" t="n">
        <f aca="false">IF(AI54=1,AD54,-999)</f>
        <v>-0.526147783740573</v>
      </c>
      <c r="AM54" s="21" t="str">
        <f aca="false">C54&amp;"|"&amp;E54&amp;"|"&amp;G54&amp;"|"&amp;TEXT(AJ54,"0.00000")</f>
        <v>4|1|10|-0.52615</v>
      </c>
      <c r="AN54" s="21" t="str">
        <f aca="false">C54&amp;"|"&amp;E54&amp;"|"&amp;G54&amp;"|"&amp;TEXT(AK54,"0.00000")</f>
        <v>4|1|10|-0.52615</v>
      </c>
      <c r="AO54" s="21" t="str">
        <f aca="false">C54&amp;"|"&amp;E54&amp;"|"&amp;G54&amp;"|"&amp;TEXT(AL54,"0.00000")</f>
        <v>4|1|10|-0.52615</v>
      </c>
    </row>
    <row r="55" customFormat="false" ht="15" hidden="false" customHeight="false" outlineLevel="0" collapsed="false">
      <c r="A55" s="20" t="n">
        <v>2</v>
      </c>
      <c r="B55" s="18" t="str">
        <f aca="false">INDEX(C_Name,A55)</f>
        <v>e편한세상 문래 에듀플라츠 84.99㎡</v>
      </c>
      <c r="C55" s="20" t="n">
        <v>4</v>
      </c>
      <c r="D55" s="21" t="str">
        <f aca="false">CHOOSE(C55,"1안 표준형(대출 최대)","2안 절충형(대출 50%)","3안 무대출형","4안 임대차 승계 후 입주","5안 매수 보류(전세 거주)")</f>
        <v>4안 임대차 승계 후 입주</v>
      </c>
      <c r="E55" s="20" t="n">
        <v>2</v>
      </c>
      <c r="F55" s="10" t="n">
        <f aca="false">CHOOSE(E55,GrowLo,GrowMid,GrowHi)</f>
        <v>0.04</v>
      </c>
      <c r="G55" s="20" t="n">
        <v>5</v>
      </c>
      <c r="H55" s="18" t="n">
        <f aca="false">INDEX(C_Price,A55)</f>
        <v>14.9</v>
      </c>
      <c r="I55" s="18" t="n">
        <f aca="false">INDEX(C_Jeonse,A55)</f>
        <v>7.748</v>
      </c>
      <c r="J55" s="21" t="n">
        <f aca="false">IF(C55=5,0,IF(C55=1,INDEX(C_Loan,A55),IF(C55=2,INDEX(C_Loan,A55)*LoanShare2,IF(C55=3,0,MIN(INDEX(C_Loan,A55),I55)))))</f>
        <v>5.96</v>
      </c>
      <c r="K55" s="18" t="n">
        <f aca="false">IF(C55=5,0,INDEX(C_Acq,A55))</f>
        <v>0.4917</v>
      </c>
      <c r="L55" s="18" t="n">
        <f aca="false">IF(C55=5,0,INDEX(C_Fee,A55))</f>
        <v>0.11834</v>
      </c>
      <c r="M55" s="21" t="n">
        <f aca="false">IF(C55=4,MAX(0,I55-J55),0)</f>
        <v>1.788</v>
      </c>
      <c r="N55" s="21" t="n">
        <f aca="false">IF(C55=5,I55,IF(C55=4,(H55-I55)+K55+L55+M55,H55-J55+K55+L55))</f>
        <v>9.55004</v>
      </c>
      <c r="O55" s="20" t="n">
        <f aca="false">IF(C55=4,RentYears,0)</f>
        <v>2</v>
      </c>
      <c r="P55" s="20" t="n">
        <f aca="false">IF(C55=5,0,MAX(0,G55-O55-NonRes))</f>
        <v>3</v>
      </c>
      <c r="Q55" s="21" t="n">
        <f aca="false">IF(C55=5,0,H55*(1+F55)^G55)</f>
        <v>18.12812824576</v>
      </c>
      <c r="R55" s="21" t="n">
        <f aca="false">IF(C55=5,0,Q55*LOOKUP(Q55,FeeLo,FeeR)*(1+VAT))</f>
        <v>0.139586587492352</v>
      </c>
      <c r="S55" s="21" t="n">
        <f aca="false">IF(J55&gt;0,-CUMIPMT(Rm,LoanYears*12,J55,1,(G55-O55)*12,0),0)</f>
        <v>0.696466302433323</v>
      </c>
      <c r="T55" s="29" t="n">
        <f aca="false">IF(C55=5,0,SUMIFS(Sch_Total,Sch_Idx,A55,Sch_Scen,E55,Sch_Year,"&lt;="&amp;G55))</f>
        <v>0.169447326609715</v>
      </c>
      <c r="U55" s="21" t="n">
        <f aca="false">K55+L55+R55</f>
        <v>0.749626587492352</v>
      </c>
      <c r="V55" s="21" t="n">
        <f aca="false">IF(C55=5,0,Q55-H55-U55)</f>
        <v>2.47850165826765</v>
      </c>
      <c r="W55" s="21" t="n">
        <f aca="false">IF(C55=5,0,MAX(0,IF(P55&gt;=2,IF(Q55&gt;Exempt,V55*(Q55-Exempt)/Q55,0),V55)))</f>
        <v>0.837845794848978</v>
      </c>
      <c r="X55" s="10" t="n">
        <f aca="false">IF(P55&gt;=2,MIN(MaxDed,MIN(0.4,HoldRate*G55)+MIN(0.4,LiveRate*P55)),IF(G55&gt;=3,MIN(0.3,0.02*G55),0))</f>
        <v>0.32</v>
      </c>
      <c r="Y55" s="21" t="n">
        <f aca="false">MAX(0,W55*(1-X55)-InitDed)</f>
        <v>0.544735140497305</v>
      </c>
      <c r="Z55" s="29" t="n">
        <f aca="false">SUMPRODUCT((Y55&gt;CLo)*(Y55-CLo)*CD)*(1+LocalTax)</f>
        <v>0.0804500770912885</v>
      </c>
      <c r="AA55" s="21" t="n">
        <f aca="false">K55+T55+Z55</f>
        <v>0.741597403701004</v>
      </c>
      <c r="AB55" s="29" t="n">
        <f aca="false">IF(C55=5,0,(Q55-H55)-K55-L55-R55-S55-T55-Z55)</f>
        <v>1.53213795213332</v>
      </c>
      <c r="AC55" s="21" t="n">
        <f aca="false">IF(C55=5,0,N55*((1+DepRate*(1-DepTax))^G55-1))</f>
        <v>1.27499731433006</v>
      </c>
      <c r="AD55" s="29" t="n">
        <f aca="false">IF(C55=5,0,AB55-AC55+I55*(((1+DepRate*(1-DepTax))^G55-1)-((1+DepRate*(1-DepTax))^O55-1)))</f>
        <v>0.893273663634561</v>
      </c>
      <c r="AE55" s="30" t="n">
        <f aca="false">IF(J55&gt;0,-PMT(Rm,LoanYears*12,J55)*10000,0)</f>
        <v>284.539516097414</v>
      </c>
      <c r="AF55" s="21" t="n">
        <f aca="false">IF(J55&gt;0,-PMT((Rate+Stress)/12,LoanYears*12,J55)*12/DSR,0)</f>
        <v>1.18956086138038</v>
      </c>
      <c r="AG55" s="20" t="n">
        <f aca="false">IF(N55&lt;=CapA,1,0)</f>
        <v>1</v>
      </c>
      <c r="AH55" s="20" t="n">
        <f aca="false">IF(N55&lt;=CapB,1,0)</f>
        <v>1</v>
      </c>
      <c r="AI55" s="20" t="n">
        <f aca="false">IF(N55&lt;=CapC,1,0)</f>
        <v>1</v>
      </c>
      <c r="AJ55" s="21" t="n">
        <f aca="false">IF(AG55=1,AD55,-999)</f>
        <v>0.893273663634561</v>
      </c>
      <c r="AK55" s="21" t="n">
        <f aca="false">IF(AH55=1,AD55,-999)</f>
        <v>0.893273663634561</v>
      </c>
      <c r="AL55" s="21" t="n">
        <f aca="false">IF(AI55=1,AD55,-999)</f>
        <v>0.893273663634561</v>
      </c>
      <c r="AM55" s="21" t="str">
        <f aca="false">C55&amp;"|"&amp;E55&amp;"|"&amp;G55&amp;"|"&amp;TEXT(AJ55,"0.00000")</f>
        <v>4|2|5|0.89327</v>
      </c>
      <c r="AN55" s="21" t="str">
        <f aca="false">C55&amp;"|"&amp;E55&amp;"|"&amp;G55&amp;"|"&amp;TEXT(AK55,"0.00000")</f>
        <v>4|2|5|0.89327</v>
      </c>
      <c r="AO55" s="21" t="str">
        <f aca="false">C55&amp;"|"&amp;E55&amp;"|"&amp;G55&amp;"|"&amp;TEXT(AL55,"0.00000")</f>
        <v>4|2|5|0.89327</v>
      </c>
    </row>
    <row r="56" customFormat="false" ht="15" hidden="false" customHeight="false" outlineLevel="0" collapsed="false">
      <c r="A56" s="20" t="n">
        <v>2</v>
      </c>
      <c r="B56" s="18" t="str">
        <f aca="false">INDEX(C_Name,A56)</f>
        <v>e편한세상 문래 에듀플라츠 84.99㎡</v>
      </c>
      <c r="C56" s="20" t="n">
        <v>4</v>
      </c>
      <c r="D56" s="21" t="str">
        <f aca="false">CHOOSE(C56,"1안 표준형(대출 최대)","2안 절충형(대출 50%)","3안 무대출형","4안 임대차 승계 후 입주","5안 매수 보류(전세 거주)")</f>
        <v>4안 임대차 승계 후 입주</v>
      </c>
      <c r="E56" s="20" t="n">
        <v>2</v>
      </c>
      <c r="F56" s="10" t="n">
        <f aca="false">CHOOSE(E56,GrowLo,GrowMid,GrowHi)</f>
        <v>0.04</v>
      </c>
      <c r="G56" s="20" t="n">
        <v>10</v>
      </c>
      <c r="H56" s="18" t="n">
        <f aca="false">INDEX(C_Price,A56)</f>
        <v>14.9</v>
      </c>
      <c r="I56" s="18" t="n">
        <f aca="false">INDEX(C_Jeonse,A56)</f>
        <v>7.748</v>
      </c>
      <c r="J56" s="21" t="n">
        <f aca="false">IF(C56=5,0,IF(C56=1,INDEX(C_Loan,A56),IF(C56=2,INDEX(C_Loan,A56)*LoanShare2,IF(C56=3,0,MIN(INDEX(C_Loan,A56),I56)))))</f>
        <v>5.96</v>
      </c>
      <c r="K56" s="18" t="n">
        <f aca="false">IF(C56=5,0,INDEX(C_Acq,A56))</f>
        <v>0.4917</v>
      </c>
      <c r="L56" s="18" t="n">
        <f aca="false">IF(C56=5,0,INDEX(C_Fee,A56))</f>
        <v>0.11834</v>
      </c>
      <c r="M56" s="21" t="n">
        <f aca="false">IF(C56=4,MAX(0,I56-J56),0)</f>
        <v>1.788</v>
      </c>
      <c r="N56" s="21" t="n">
        <f aca="false">IF(C56=5,I56,IF(C56=4,(H56-I56)+K56+L56+M56,H56-J56+K56+L56))</f>
        <v>9.55004</v>
      </c>
      <c r="O56" s="20" t="n">
        <f aca="false">IF(C56=4,RentYears,0)</f>
        <v>2</v>
      </c>
      <c r="P56" s="20" t="n">
        <f aca="false">IF(C56=5,0,MAX(0,G56-O56-NonRes))</f>
        <v>8</v>
      </c>
      <c r="Q56" s="21" t="n">
        <f aca="false">IF(C56=5,0,H56*(1+F56)^G56)</f>
        <v>22.0556398452833</v>
      </c>
      <c r="R56" s="21" t="n">
        <f aca="false">IF(C56=5,0,Q56*LOOKUP(Q56,FeeLo,FeeR)*(1+VAT))</f>
        <v>0.169828426808682</v>
      </c>
      <c r="S56" s="21" t="n">
        <f aca="false">IF(J56&gt;0,-CUMIPMT(Rm,LoanYears*12,J56,1,(G56-O56)*12,0),0)</f>
        <v>1.76191571252397</v>
      </c>
      <c r="T56" s="29" t="n">
        <f aca="false">IF(C56=5,0,SUMIFS(Sch_Total,Sch_Idx,A56,Sch_Scen,E56,Sch_Year,"&lt;="&amp;G56))</f>
        <v>0.411574216281525</v>
      </c>
      <c r="U56" s="21" t="n">
        <f aca="false">K56+L56+R56</f>
        <v>0.779868426808682</v>
      </c>
      <c r="V56" s="21" t="n">
        <f aca="false">IF(C56=5,0,Q56-H56-U56)</f>
        <v>6.37577141847465</v>
      </c>
      <c r="W56" s="21" t="n">
        <f aca="false">IF(C56=5,0,MAX(0,IF(P56&gt;=2,IF(Q56&gt;Exempt,V56*(Q56-Exempt)/Q56,0),V56)))</f>
        <v>2.90685110791483</v>
      </c>
      <c r="X56" s="10" t="n">
        <f aca="false">IF(P56&gt;=2,MIN(MaxDed,MIN(0.4,HoldRate*G56)+MIN(0.4,LiveRate*P56)),IF(G56&gt;=3,MIN(0.3,0.02*G56),0))</f>
        <v>0.72</v>
      </c>
      <c r="Y56" s="21" t="n">
        <f aca="false">MAX(0,W56*(1-X56)-InitDed)</f>
        <v>0.788918310216152</v>
      </c>
      <c r="Z56" s="29" t="n">
        <f aca="false">SUMPRODUCT((Y56&gt;CLo)*(Y56-CLo)*CD)*(1+LocalTax)</f>
        <v>0.144914433897064</v>
      </c>
      <c r="AA56" s="21" t="n">
        <f aca="false">K56+T56+Z56</f>
        <v>1.04818865017859</v>
      </c>
      <c r="AB56" s="29" t="n">
        <f aca="false">IF(C56=5,0,(Q56-H56)-K56-L56-R56-S56-T56-Z56)</f>
        <v>4.05736705577209</v>
      </c>
      <c r="AC56" s="21" t="n">
        <f aca="false">IF(C56=5,0,N56*((1+DepRate*(1-DepTax))^G56-1))</f>
        <v>2.72021571166593</v>
      </c>
      <c r="AD56" s="29" t="n">
        <f aca="false">IF(C56=5,0,AB56-AC56+I56*(((1+DepRate*(1-DepTax))^G56-1)-((1+DepRate*(1-DepTax))^O56-1)))</f>
        <v>3.14579800784456</v>
      </c>
      <c r="AE56" s="30" t="n">
        <f aca="false">IF(J56&gt;0,-PMT(Rm,LoanYears*12,J56)*10000,0)</f>
        <v>284.539516097414</v>
      </c>
      <c r="AF56" s="21" t="n">
        <f aca="false">IF(J56&gt;0,-PMT((Rate+Stress)/12,LoanYears*12,J56)*12/DSR,0)</f>
        <v>1.18956086138038</v>
      </c>
      <c r="AG56" s="20" t="n">
        <f aca="false">IF(N56&lt;=CapA,1,0)</f>
        <v>1</v>
      </c>
      <c r="AH56" s="20" t="n">
        <f aca="false">IF(N56&lt;=CapB,1,0)</f>
        <v>1</v>
      </c>
      <c r="AI56" s="20" t="n">
        <f aca="false">IF(N56&lt;=CapC,1,0)</f>
        <v>1</v>
      </c>
      <c r="AJ56" s="21" t="n">
        <f aca="false">IF(AG56=1,AD56,-999)</f>
        <v>3.14579800784456</v>
      </c>
      <c r="AK56" s="21" t="n">
        <f aca="false">IF(AH56=1,AD56,-999)</f>
        <v>3.14579800784456</v>
      </c>
      <c r="AL56" s="21" t="n">
        <f aca="false">IF(AI56=1,AD56,-999)</f>
        <v>3.14579800784456</v>
      </c>
      <c r="AM56" s="21" t="str">
        <f aca="false">C56&amp;"|"&amp;E56&amp;"|"&amp;G56&amp;"|"&amp;TEXT(AJ56,"0.00000")</f>
        <v>4|2|10|3.14580</v>
      </c>
      <c r="AN56" s="21" t="str">
        <f aca="false">C56&amp;"|"&amp;E56&amp;"|"&amp;G56&amp;"|"&amp;TEXT(AK56,"0.00000")</f>
        <v>4|2|10|3.14580</v>
      </c>
      <c r="AO56" s="21" t="str">
        <f aca="false">C56&amp;"|"&amp;E56&amp;"|"&amp;G56&amp;"|"&amp;TEXT(AL56,"0.00000")</f>
        <v>4|2|10|3.14580</v>
      </c>
    </row>
    <row r="57" customFormat="false" ht="15" hidden="false" customHeight="false" outlineLevel="0" collapsed="false">
      <c r="A57" s="20" t="n">
        <v>2</v>
      </c>
      <c r="B57" s="18" t="str">
        <f aca="false">INDEX(C_Name,A57)</f>
        <v>e편한세상 문래 에듀플라츠 84.99㎡</v>
      </c>
      <c r="C57" s="20" t="n">
        <v>4</v>
      </c>
      <c r="D57" s="21" t="str">
        <f aca="false">CHOOSE(C57,"1안 표준형(대출 최대)","2안 절충형(대출 50%)","3안 무대출형","4안 임대차 승계 후 입주","5안 매수 보류(전세 거주)")</f>
        <v>4안 임대차 승계 후 입주</v>
      </c>
      <c r="E57" s="20" t="n">
        <v>3</v>
      </c>
      <c r="F57" s="10" t="n">
        <f aca="false">CHOOSE(E57,GrowLo,GrowMid,GrowHi)</f>
        <v>0.06</v>
      </c>
      <c r="G57" s="20" t="n">
        <v>5</v>
      </c>
      <c r="H57" s="18" t="n">
        <f aca="false">INDEX(C_Price,A57)</f>
        <v>14.9</v>
      </c>
      <c r="I57" s="18" t="n">
        <f aca="false">INDEX(C_Jeonse,A57)</f>
        <v>7.748</v>
      </c>
      <c r="J57" s="21" t="n">
        <f aca="false">IF(C57=5,0,IF(C57=1,INDEX(C_Loan,A57),IF(C57=2,INDEX(C_Loan,A57)*LoanShare2,IF(C57=3,0,MIN(INDEX(C_Loan,A57),I57)))))</f>
        <v>5.96</v>
      </c>
      <c r="K57" s="18" t="n">
        <f aca="false">IF(C57=5,0,INDEX(C_Acq,A57))</f>
        <v>0.4917</v>
      </c>
      <c r="L57" s="18" t="n">
        <f aca="false">IF(C57=5,0,INDEX(C_Fee,A57))</f>
        <v>0.11834</v>
      </c>
      <c r="M57" s="21" t="n">
        <f aca="false">IF(C57=4,MAX(0,I57-J57),0)</f>
        <v>1.788</v>
      </c>
      <c r="N57" s="21" t="n">
        <f aca="false">IF(C57=5,I57,IF(C57=4,(H57-I57)+K57+L57+M57,H57-J57+K57+L57))</f>
        <v>9.55004</v>
      </c>
      <c r="O57" s="20" t="n">
        <f aca="false">IF(C57=4,RentYears,0)</f>
        <v>2</v>
      </c>
      <c r="P57" s="20" t="n">
        <f aca="false">IF(C57=5,0,MAX(0,G57-O57-NonRes))</f>
        <v>3</v>
      </c>
      <c r="Q57" s="21" t="n">
        <f aca="false">IF(C57=5,0,H57*(1+F57)^G57)</f>
        <v>19.93956110624</v>
      </c>
      <c r="R57" s="21" t="n">
        <f aca="false">IF(C57=5,0,Q57*LOOKUP(Q57,FeeLo,FeeR)*(1+VAT))</f>
        <v>0.153534620518048</v>
      </c>
      <c r="S57" s="21" t="n">
        <f aca="false">IF(J57&gt;0,-CUMIPMT(Rm,LoanYears*12,J57,1,(G57-O57)*12,0),0)</f>
        <v>0.696466302433323</v>
      </c>
      <c r="T57" s="29" t="n">
        <f aca="false">IF(C57=5,0,SUMIFS(Sch_Total,Sch_Idx,A57,Sch_Scen,E57,Sch_Year,"&lt;="&amp;G57))</f>
        <v>0.182200124163283</v>
      </c>
      <c r="U57" s="21" t="n">
        <f aca="false">K57+L57+R57</f>
        <v>0.763574620518048</v>
      </c>
      <c r="V57" s="21" t="n">
        <f aca="false">IF(C57=5,0,Q57-H57-U57)</f>
        <v>4.27598648572196</v>
      </c>
      <c r="W57" s="21" t="n">
        <f aca="false">IF(C57=5,0,MAX(0,IF(P57&gt;=2,IF(Q57&gt;Exempt,V57*(Q57-Exempt)/Q57,0),V57)))</f>
        <v>1.70261801711481</v>
      </c>
      <c r="X57" s="10" t="n">
        <f aca="false">IF(P57&gt;=2,MIN(MaxDed,MIN(0.4,HoldRate*G57)+MIN(0.4,LiveRate*P57)),IF(G57&gt;=3,MIN(0.3,0.02*G57),0))</f>
        <v>0.32</v>
      </c>
      <c r="Y57" s="21" t="n">
        <f aca="false">MAX(0,W57*(1-X57)-InitDed)</f>
        <v>1.13278025163807</v>
      </c>
      <c r="Z57" s="29" t="n">
        <f aca="false">SUMPRODUCT((Y57&gt;CLo)*(Y57-CLo)*CD)*(1+LocalTax)</f>
        <v>0.266280396880657</v>
      </c>
      <c r="AA57" s="21" t="n">
        <f aca="false">K57+T57+Z57</f>
        <v>0.94018052104394</v>
      </c>
      <c r="AB57" s="29" t="n">
        <f aca="false">IF(C57=5,0,(Q57-H57)-K57-L57-R57-S57-T57-Z57)</f>
        <v>3.13103966224469</v>
      </c>
      <c r="AC57" s="21" t="n">
        <f aca="false">IF(C57=5,0,N57*((1+DepRate*(1-DepTax))^G57-1))</f>
        <v>1.27499731433006</v>
      </c>
      <c r="AD57" s="29" t="n">
        <f aca="false">IF(C57=5,0,AB57-AC57+I57*(((1+DepRate*(1-DepTax))^G57-1)-((1+DepRate*(1-DepTax))^O57-1)))</f>
        <v>2.49217537374593</v>
      </c>
      <c r="AE57" s="30" t="n">
        <f aca="false">IF(J57&gt;0,-PMT(Rm,LoanYears*12,J57)*10000,0)</f>
        <v>284.539516097414</v>
      </c>
      <c r="AF57" s="21" t="n">
        <f aca="false">IF(J57&gt;0,-PMT((Rate+Stress)/12,LoanYears*12,J57)*12/DSR,0)</f>
        <v>1.18956086138038</v>
      </c>
      <c r="AG57" s="20" t="n">
        <f aca="false">IF(N57&lt;=CapA,1,0)</f>
        <v>1</v>
      </c>
      <c r="AH57" s="20" t="n">
        <f aca="false">IF(N57&lt;=CapB,1,0)</f>
        <v>1</v>
      </c>
      <c r="AI57" s="20" t="n">
        <f aca="false">IF(N57&lt;=CapC,1,0)</f>
        <v>1</v>
      </c>
      <c r="AJ57" s="21" t="n">
        <f aca="false">IF(AG57=1,AD57,-999)</f>
        <v>2.49217537374593</v>
      </c>
      <c r="AK57" s="21" t="n">
        <f aca="false">IF(AH57=1,AD57,-999)</f>
        <v>2.49217537374593</v>
      </c>
      <c r="AL57" s="21" t="n">
        <f aca="false">IF(AI57=1,AD57,-999)</f>
        <v>2.49217537374593</v>
      </c>
      <c r="AM57" s="21" t="str">
        <f aca="false">C57&amp;"|"&amp;E57&amp;"|"&amp;G57&amp;"|"&amp;TEXT(AJ57,"0.00000")</f>
        <v>4|3|5|2.49218</v>
      </c>
      <c r="AN57" s="21" t="str">
        <f aca="false">C57&amp;"|"&amp;E57&amp;"|"&amp;G57&amp;"|"&amp;TEXT(AK57,"0.00000")</f>
        <v>4|3|5|2.49218</v>
      </c>
      <c r="AO57" s="21" t="str">
        <f aca="false">C57&amp;"|"&amp;E57&amp;"|"&amp;G57&amp;"|"&amp;TEXT(AL57,"0.00000")</f>
        <v>4|3|5|2.49218</v>
      </c>
    </row>
    <row r="58" customFormat="false" ht="15" hidden="false" customHeight="false" outlineLevel="0" collapsed="false">
      <c r="A58" s="20" t="n">
        <v>2</v>
      </c>
      <c r="B58" s="18" t="str">
        <f aca="false">INDEX(C_Name,A58)</f>
        <v>e편한세상 문래 에듀플라츠 84.99㎡</v>
      </c>
      <c r="C58" s="20" t="n">
        <v>4</v>
      </c>
      <c r="D58" s="21" t="str">
        <f aca="false">CHOOSE(C58,"1안 표준형(대출 최대)","2안 절충형(대출 50%)","3안 무대출형","4안 임대차 승계 후 입주","5안 매수 보류(전세 거주)")</f>
        <v>4안 임대차 승계 후 입주</v>
      </c>
      <c r="E58" s="20" t="n">
        <v>3</v>
      </c>
      <c r="F58" s="10" t="n">
        <f aca="false">CHOOSE(E58,GrowLo,GrowMid,GrowHi)</f>
        <v>0.06</v>
      </c>
      <c r="G58" s="20" t="n">
        <v>10</v>
      </c>
      <c r="H58" s="18" t="n">
        <f aca="false">INDEX(C_Price,A58)</f>
        <v>14.9</v>
      </c>
      <c r="I58" s="18" t="n">
        <f aca="false">INDEX(C_Jeonse,A58)</f>
        <v>7.748</v>
      </c>
      <c r="J58" s="21" t="n">
        <f aca="false">IF(C58=5,0,IF(C58=1,INDEX(C_Loan,A58),IF(C58=2,INDEX(C_Loan,A58)*LoanShare2,IF(C58=3,0,MIN(INDEX(C_Loan,A58),I58)))))</f>
        <v>5.96</v>
      </c>
      <c r="K58" s="18" t="n">
        <f aca="false">IF(C58=5,0,INDEX(C_Acq,A58))</f>
        <v>0.4917</v>
      </c>
      <c r="L58" s="18" t="n">
        <f aca="false">IF(C58=5,0,INDEX(C_Fee,A58))</f>
        <v>0.11834</v>
      </c>
      <c r="M58" s="21" t="n">
        <f aca="false">IF(C58=4,MAX(0,I58-J58),0)</f>
        <v>1.788</v>
      </c>
      <c r="N58" s="21" t="n">
        <f aca="false">IF(C58=5,I58,IF(C58=4,(H58-I58)+K58+L58+M58,H58-J58+K58+L58))</f>
        <v>9.55004</v>
      </c>
      <c r="O58" s="20" t="n">
        <f aca="false">IF(C58=4,RentYears,0)</f>
        <v>2</v>
      </c>
      <c r="P58" s="20" t="n">
        <f aca="false">IF(C58=5,0,MAX(0,G58-O58-NonRes))</f>
        <v>8</v>
      </c>
      <c r="Q58" s="21" t="n">
        <f aca="false">IF(C58=5,0,H58*(1+F58)^G58)</f>
        <v>26.6836306784885</v>
      </c>
      <c r="R58" s="21" t="n">
        <f aca="false">IF(C58=5,0,Q58*LOOKUP(Q58,FeeLo,FeeR)*(1+VAT))</f>
        <v>0.205463956224362</v>
      </c>
      <c r="S58" s="21" t="n">
        <f aca="false">IF(J58&gt;0,-CUMIPMT(Rm,LoanYears*12,J58,1,(G58-O58)*12,0),0)</f>
        <v>1.76191571252397</v>
      </c>
      <c r="T58" s="29" t="n">
        <f aca="false">IF(C58=5,0,SUMIFS(Sch_Total,Sch_Idx,A58,Sch_Scen,E58,Sch_Year,"&lt;="&amp;G58))</f>
        <v>0.496648028530773</v>
      </c>
      <c r="U58" s="21" t="n">
        <f aca="false">K58+L58+R58</f>
        <v>0.815503956224362</v>
      </c>
      <c r="V58" s="21" t="n">
        <f aca="false">IF(C58=5,0,Q58-H58-U58)</f>
        <v>10.9681267222642</v>
      </c>
      <c r="W58" s="21" t="n">
        <f aca="false">IF(C58=5,0,MAX(0,IF(P58&gt;=2,IF(Q58&gt;Exempt,V58*(Q58-Exempt)/Q58,0),V58)))</f>
        <v>6.03560752152153</v>
      </c>
      <c r="X58" s="10" t="n">
        <f aca="false">IF(P58&gt;=2,MIN(MaxDed,MIN(0.4,HoldRate*G58)+MIN(0.4,LiveRate*P58)),IF(G58&gt;=3,MIN(0.3,0.02*G58),0))</f>
        <v>0.72</v>
      </c>
      <c r="Y58" s="21" t="n">
        <f aca="false">MAX(0,W58*(1-X58)-InitDed)</f>
        <v>1.66497010602603</v>
      </c>
      <c r="Z58" s="29" t="n">
        <f aca="false">SUMPRODUCT((Y58&gt;CLo)*(Y58-CLo)*CD)*(1+LocalTax)</f>
        <v>0.47661750431888</v>
      </c>
      <c r="AA58" s="21" t="n">
        <f aca="false">K58+T58+Z58</f>
        <v>1.46496553284965</v>
      </c>
      <c r="AB58" s="29" t="n">
        <f aca="false">IF(C58=5,0,(Q58-H58)-K58-L58-R58-S58-T58-Z58)</f>
        <v>8.23294547689055</v>
      </c>
      <c r="AC58" s="21" t="n">
        <f aca="false">IF(C58=5,0,N58*((1+DepRate*(1-DepTax))^G58-1))</f>
        <v>2.72021571166593</v>
      </c>
      <c r="AD58" s="29" t="n">
        <f aca="false">IF(C58=5,0,AB58-AC58+I58*(((1+DepRate*(1-DepTax))^G58-1)-((1+DepRate*(1-DepTax))^O58-1)))</f>
        <v>7.32137642896302</v>
      </c>
      <c r="AE58" s="30" t="n">
        <f aca="false">IF(J58&gt;0,-PMT(Rm,LoanYears*12,J58)*10000,0)</f>
        <v>284.539516097414</v>
      </c>
      <c r="AF58" s="21" t="n">
        <f aca="false">IF(J58&gt;0,-PMT((Rate+Stress)/12,LoanYears*12,J58)*12/DSR,0)</f>
        <v>1.18956086138038</v>
      </c>
      <c r="AG58" s="20" t="n">
        <f aca="false">IF(N58&lt;=CapA,1,0)</f>
        <v>1</v>
      </c>
      <c r="AH58" s="20" t="n">
        <f aca="false">IF(N58&lt;=CapB,1,0)</f>
        <v>1</v>
      </c>
      <c r="AI58" s="20" t="n">
        <f aca="false">IF(N58&lt;=CapC,1,0)</f>
        <v>1</v>
      </c>
      <c r="AJ58" s="21" t="n">
        <f aca="false">IF(AG58=1,AD58,-999)</f>
        <v>7.32137642896302</v>
      </c>
      <c r="AK58" s="21" t="n">
        <f aca="false">IF(AH58=1,AD58,-999)</f>
        <v>7.32137642896302</v>
      </c>
      <c r="AL58" s="21" t="n">
        <f aca="false">IF(AI58=1,AD58,-999)</f>
        <v>7.32137642896302</v>
      </c>
      <c r="AM58" s="21" t="str">
        <f aca="false">C58&amp;"|"&amp;E58&amp;"|"&amp;G58&amp;"|"&amp;TEXT(AJ58,"0.00000")</f>
        <v>4|3|10|7.32138</v>
      </c>
      <c r="AN58" s="21" t="str">
        <f aca="false">C58&amp;"|"&amp;E58&amp;"|"&amp;G58&amp;"|"&amp;TEXT(AK58,"0.00000")</f>
        <v>4|3|10|7.32138</v>
      </c>
      <c r="AO58" s="21" t="str">
        <f aca="false">C58&amp;"|"&amp;E58&amp;"|"&amp;G58&amp;"|"&amp;TEXT(AL58,"0.00000")</f>
        <v>4|3|10|7.32138</v>
      </c>
    </row>
    <row r="59" customFormat="false" ht="15" hidden="false" customHeight="false" outlineLevel="0" collapsed="false">
      <c r="A59" s="20" t="n">
        <v>2</v>
      </c>
      <c r="B59" s="18" t="str">
        <f aca="false">INDEX(C_Name,A59)</f>
        <v>e편한세상 문래 에듀플라츠 84.99㎡</v>
      </c>
      <c r="C59" s="20" t="n">
        <v>5</v>
      </c>
      <c r="D59" s="21" t="str">
        <f aca="false">CHOOSE(C59,"1안 표준형(대출 최대)","2안 절충형(대출 50%)","3안 무대출형","4안 임대차 승계 후 입주","5안 매수 보류(전세 거주)")</f>
        <v>5안 매수 보류(전세 거주)</v>
      </c>
      <c r="E59" s="20" t="n">
        <v>1</v>
      </c>
      <c r="F59" s="10" t="n">
        <f aca="false">CHOOSE(E59,GrowLo,GrowMid,GrowHi)</f>
        <v>0.02</v>
      </c>
      <c r="G59" s="20" t="n">
        <v>5</v>
      </c>
      <c r="H59" s="18" t="n">
        <f aca="false">INDEX(C_Price,A59)</f>
        <v>14.9</v>
      </c>
      <c r="I59" s="18" t="n">
        <f aca="false">INDEX(C_Jeonse,A59)</f>
        <v>7.748</v>
      </c>
      <c r="J59" s="21" t="n">
        <f aca="false">IF(C59=5,0,IF(C59=1,INDEX(C_Loan,A59),IF(C59=2,INDEX(C_Loan,A59)*LoanShare2,IF(C59=3,0,MIN(INDEX(C_Loan,A59),I59)))))</f>
        <v>0</v>
      </c>
      <c r="K59" s="18" t="n">
        <f aca="false">IF(C59=5,0,INDEX(C_Acq,A59))</f>
        <v>0</v>
      </c>
      <c r="L59" s="18" t="n">
        <f aca="false">IF(C59=5,0,INDEX(C_Fee,A59))</f>
        <v>0</v>
      </c>
      <c r="M59" s="21" t="n">
        <f aca="false">IF(C59=4,MAX(0,I59-J59),0)</f>
        <v>0</v>
      </c>
      <c r="N59" s="21" t="n">
        <f aca="false">IF(C59=5,I59,IF(C59=4,(H59-I59)+K59+L59+M59,H59-J59+K59+L59))</f>
        <v>7.748</v>
      </c>
      <c r="O59" s="20" t="n">
        <f aca="false">IF(C59=4,RentYears,0)</f>
        <v>0</v>
      </c>
      <c r="P59" s="20" t="n">
        <f aca="false">IF(C59=5,0,MAX(0,G59-O59-NonRes))</f>
        <v>0</v>
      </c>
      <c r="Q59" s="21" t="n">
        <f aca="false">IF(C59=5,0,H59*(1+F59)^G59)</f>
        <v>0</v>
      </c>
      <c r="R59" s="21" t="n">
        <f aca="false">IF(C59=5,0,Q59*LOOKUP(Q59,FeeLo,FeeR)*(1+VAT))</f>
        <v>0</v>
      </c>
      <c r="S59" s="21" t="n">
        <f aca="false">IF(J59&gt;0,-CUMIPMT(Rm,LoanYears*12,J59,1,(G59-O59)*12,0),0)</f>
        <v>0</v>
      </c>
      <c r="T59" s="29" t="n">
        <f aca="false">IF(C59=5,0,SUMIFS(Sch_Total,Sch_Idx,A59,Sch_Scen,E59,Sch_Year,"&lt;="&amp;G59))</f>
        <v>0</v>
      </c>
      <c r="U59" s="21" t="n">
        <f aca="false">K59+L59+R59</f>
        <v>0</v>
      </c>
      <c r="V59" s="21" t="n">
        <f aca="false">IF(C59=5,0,Q59-H59-U59)</f>
        <v>0</v>
      </c>
      <c r="W59" s="21" t="n">
        <f aca="false">IF(C59=5,0,MAX(0,IF(P59&gt;=2,IF(Q59&gt;Exempt,V59*(Q59-Exempt)/Q59,0),V59)))</f>
        <v>0</v>
      </c>
      <c r="X59" s="10" t="n">
        <f aca="false">IF(P59&gt;=2,MIN(MaxDed,MIN(0.4,HoldRate*G59)+MIN(0.4,LiveRate*P59)),IF(G59&gt;=3,MIN(0.3,0.02*G59),0))</f>
        <v>0.1</v>
      </c>
      <c r="Y59" s="21" t="n">
        <f aca="false">MAX(0,W59*(1-X59)-InitDed)</f>
        <v>0</v>
      </c>
      <c r="Z59" s="29" t="n">
        <f aca="false">SUMPRODUCT((Y59&gt;CLo)*(Y59-CLo)*CD)*(1+LocalTax)</f>
        <v>0</v>
      </c>
      <c r="AA59" s="21" t="n">
        <f aca="false">K59+T59+Z59</f>
        <v>0</v>
      </c>
      <c r="AB59" s="29" t="n">
        <f aca="false">IF(C59=5,0,(Q59-H59)-K59-L59-R59-S59-T59-Z59)</f>
        <v>0</v>
      </c>
      <c r="AC59" s="21" t="n">
        <f aca="false">IF(C59=5,0,N59*((1+DepRate*(1-DepTax))^G59-1))</f>
        <v>0</v>
      </c>
      <c r="AD59" s="29" t="n">
        <f aca="false">IF(C59=5,0,AB59-AC59+I59*(((1+DepRate*(1-DepTax))^G59-1)-((1+DepRate*(1-DepTax))^O59-1)))</f>
        <v>0</v>
      </c>
      <c r="AE59" s="30" t="n">
        <f aca="false">IF(J59&gt;0,-PMT(Rm,LoanYears*12,J59)*10000,0)</f>
        <v>0</v>
      </c>
      <c r="AF59" s="21" t="n">
        <f aca="false">IF(J59&gt;0,-PMT((Rate+Stress)/12,LoanYears*12,J59)*12/DSR,0)</f>
        <v>0</v>
      </c>
      <c r="AG59" s="20" t="n">
        <f aca="false">IF(N59&lt;=CapA,1,0)</f>
        <v>1</v>
      </c>
      <c r="AH59" s="20" t="n">
        <f aca="false">IF(N59&lt;=CapB,1,0)</f>
        <v>1</v>
      </c>
      <c r="AI59" s="20" t="n">
        <f aca="false">IF(N59&lt;=CapC,1,0)</f>
        <v>1</v>
      </c>
      <c r="AJ59" s="21" t="n">
        <f aca="false">IF(AG59=1,AD59,-999)</f>
        <v>0</v>
      </c>
      <c r="AK59" s="21" t="n">
        <f aca="false">IF(AH59=1,AD59,-999)</f>
        <v>0</v>
      </c>
      <c r="AL59" s="21" t="n">
        <f aca="false">IF(AI59=1,AD59,-999)</f>
        <v>0</v>
      </c>
      <c r="AM59" s="21" t="str">
        <f aca="false">C59&amp;"|"&amp;E59&amp;"|"&amp;G59&amp;"|"&amp;TEXT(AJ59,"0.00000")</f>
        <v>5|1|5|0.00000</v>
      </c>
      <c r="AN59" s="21" t="str">
        <f aca="false">C59&amp;"|"&amp;E59&amp;"|"&amp;G59&amp;"|"&amp;TEXT(AK59,"0.00000")</f>
        <v>5|1|5|0.00000</v>
      </c>
      <c r="AO59" s="21" t="str">
        <f aca="false">C59&amp;"|"&amp;E59&amp;"|"&amp;G59&amp;"|"&amp;TEXT(AL59,"0.00000")</f>
        <v>5|1|5|0.00000</v>
      </c>
    </row>
    <row r="60" customFormat="false" ht="15" hidden="false" customHeight="false" outlineLevel="0" collapsed="false">
      <c r="A60" s="20" t="n">
        <v>2</v>
      </c>
      <c r="B60" s="18" t="str">
        <f aca="false">INDEX(C_Name,A60)</f>
        <v>e편한세상 문래 에듀플라츠 84.99㎡</v>
      </c>
      <c r="C60" s="20" t="n">
        <v>5</v>
      </c>
      <c r="D60" s="21" t="str">
        <f aca="false">CHOOSE(C60,"1안 표준형(대출 최대)","2안 절충형(대출 50%)","3안 무대출형","4안 임대차 승계 후 입주","5안 매수 보류(전세 거주)")</f>
        <v>5안 매수 보류(전세 거주)</v>
      </c>
      <c r="E60" s="20" t="n">
        <v>1</v>
      </c>
      <c r="F60" s="10" t="n">
        <f aca="false">CHOOSE(E60,GrowLo,GrowMid,GrowHi)</f>
        <v>0.02</v>
      </c>
      <c r="G60" s="20" t="n">
        <v>10</v>
      </c>
      <c r="H60" s="18" t="n">
        <f aca="false">INDEX(C_Price,A60)</f>
        <v>14.9</v>
      </c>
      <c r="I60" s="18" t="n">
        <f aca="false">INDEX(C_Jeonse,A60)</f>
        <v>7.748</v>
      </c>
      <c r="J60" s="21" t="n">
        <f aca="false">IF(C60=5,0,IF(C60=1,INDEX(C_Loan,A60),IF(C60=2,INDEX(C_Loan,A60)*LoanShare2,IF(C60=3,0,MIN(INDEX(C_Loan,A60),I60)))))</f>
        <v>0</v>
      </c>
      <c r="K60" s="18" t="n">
        <f aca="false">IF(C60=5,0,INDEX(C_Acq,A60))</f>
        <v>0</v>
      </c>
      <c r="L60" s="18" t="n">
        <f aca="false">IF(C60=5,0,INDEX(C_Fee,A60))</f>
        <v>0</v>
      </c>
      <c r="M60" s="21" t="n">
        <f aca="false">IF(C60=4,MAX(0,I60-J60),0)</f>
        <v>0</v>
      </c>
      <c r="N60" s="21" t="n">
        <f aca="false">IF(C60=5,I60,IF(C60=4,(H60-I60)+K60+L60+M60,H60-J60+K60+L60))</f>
        <v>7.748</v>
      </c>
      <c r="O60" s="20" t="n">
        <f aca="false">IF(C60=4,RentYears,0)</f>
        <v>0</v>
      </c>
      <c r="P60" s="20" t="n">
        <f aca="false">IF(C60=5,0,MAX(0,G60-O60-NonRes))</f>
        <v>0</v>
      </c>
      <c r="Q60" s="21" t="n">
        <f aca="false">IF(C60=5,0,H60*(1+F60)^G60)</f>
        <v>0</v>
      </c>
      <c r="R60" s="21" t="n">
        <f aca="false">IF(C60=5,0,Q60*LOOKUP(Q60,FeeLo,FeeR)*(1+VAT))</f>
        <v>0</v>
      </c>
      <c r="S60" s="21" t="n">
        <f aca="false">IF(J60&gt;0,-CUMIPMT(Rm,LoanYears*12,J60,1,(G60-O60)*12,0),0)</f>
        <v>0</v>
      </c>
      <c r="T60" s="29" t="n">
        <f aca="false">IF(C60=5,0,SUMIFS(Sch_Total,Sch_Idx,A60,Sch_Scen,E60,Sch_Year,"&lt;="&amp;G60))</f>
        <v>0</v>
      </c>
      <c r="U60" s="21" t="n">
        <f aca="false">K60+L60+R60</f>
        <v>0</v>
      </c>
      <c r="V60" s="21" t="n">
        <f aca="false">IF(C60=5,0,Q60-H60-U60)</f>
        <v>0</v>
      </c>
      <c r="W60" s="21" t="n">
        <f aca="false">IF(C60=5,0,MAX(0,IF(P60&gt;=2,IF(Q60&gt;Exempt,V60*(Q60-Exempt)/Q60,0),V60)))</f>
        <v>0</v>
      </c>
      <c r="X60" s="10" t="n">
        <f aca="false">IF(P60&gt;=2,MIN(MaxDed,MIN(0.4,HoldRate*G60)+MIN(0.4,LiveRate*P60)),IF(G60&gt;=3,MIN(0.3,0.02*G60),0))</f>
        <v>0.2</v>
      </c>
      <c r="Y60" s="21" t="n">
        <f aca="false">MAX(0,W60*(1-X60)-InitDed)</f>
        <v>0</v>
      </c>
      <c r="Z60" s="29" t="n">
        <f aca="false">SUMPRODUCT((Y60&gt;CLo)*(Y60-CLo)*CD)*(1+LocalTax)</f>
        <v>0</v>
      </c>
      <c r="AA60" s="21" t="n">
        <f aca="false">K60+T60+Z60</f>
        <v>0</v>
      </c>
      <c r="AB60" s="29" t="n">
        <f aca="false">IF(C60=5,0,(Q60-H60)-K60-L60-R60-S60-T60-Z60)</f>
        <v>0</v>
      </c>
      <c r="AC60" s="21" t="n">
        <f aca="false">IF(C60=5,0,N60*((1+DepRate*(1-DepTax))^G60-1))</f>
        <v>0</v>
      </c>
      <c r="AD60" s="29" t="n">
        <f aca="false">IF(C60=5,0,AB60-AC60+I60*(((1+DepRate*(1-DepTax))^G60-1)-((1+DepRate*(1-DepTax))^O60-1)))</f>
        <v>0</v>
      </c>
      <c r="AE60" s="30" t="n">
        <f aca="false">IF(J60&gt;0,-PMT(Rm,LoanYears*12,J60)*10000,0)</f>
        <v>0</v>
      </c>
      <c r="AF60" s="21" t="n">
        <f aca="false">IF(J60&gt;0,-PMT((Rate+Stress)/12,LoanYears*12,J60)*12/DSR,0)</f>
        <v>0</v>
      </c>
      <c r="AG60" s="20" t="n">
        <f aca="false">IF(N60&lt;=CapA,1,0)</f>
        <v>1</v>
      </c>
      <c r="AH60" s="20" t="n">
        <f aca="false">IF(N60&lt;=CapB,1,0)</f>
        <v>1</v>
      </c>
      <c r="AI60" s="20" t="n">
        <f aca="false">IF(N60&lt;=CapC,1,0)</f>
        <v>1</v>
      </c>
      <c r="AJ60" s="21" t="n">
        <f aca="false">IF(AG60=1,AD60,-999)</f>
        <v>0</v>
      </c>
      <c r="AK60" s="21" t="n">
        <f aca="false">IF(AH60=1,AD60,-999)</f>
        <v>0</v>
      </c>
      <c r="AL60" s="21" t="n">
        <f aca="false">IF(AI60=1,AD60,-999)</f>
        <v>0</v>
      </c>
      <c r="AM60" s="21" t="str">
        <f aca="false">C60&amp;"|"&amp;E60&amp;"|"&amp;G60&amp;"|"&amp;TEXT(AJ60,"0.00000")</f>
        <v>5|1|10|0.00000</v>
      </c>
      <c r="AN60" s="21" t="str">
        <f aca="false">C60&amp;"|"&amp;E60&amp;"|"&amp;G60&amp;"|"&amp;TEXT(AK60,"0.00000")</f>
        <v>5|1|10|0.00000</v>
      </c>
      <c r="AO60" s="21" t="str">
        <f aca="false">C60&amp;"|"&amp;E60&amp;"|"&amp;G60&amp;"|"&amp;TEXT(AL60,"0.00000")</f>
        <v>5|1|10|0.00000</v>
      </c>
    </row>
    <row r="61" customFormat="false" ht="15" hidden="false" customHeight="false" outlineLevel="0" collapsed="false">
      <c r="A61" s="20" t="n">
        <v>2</v>
      </c>
      <c r="B61" s="18" t="str">
        <f aca="false">INDEX(C_Name,A61)</f>
        <v>e편한세상 문래 에듀플라츠 84.99㎡</v>
      </c>
      <c r="C61" s="20" t="n">
        <v>5</v>
      </c>
      <c r="D61" s="21" t="str">
        <f aca="false">CHOOSE(C61,"1안 표준형(대출 최대)","2안 절충형(대출 50%)","3안 무대출형","4안 임대차 승계 후 입주","5안 매수 보류(전세 거주)")</f>
        <v>5안 매수 보류(전세 거주)</v>
      </c>
      <c r="E61" s="20" t="n">
        <v>2</v>
      </c>
      <c r="F61" s="10" t="n">
        <f aca="false">CHOOSE(E61,GrowLo,GrowMid,GrowHi)</f>
        <v>0.04</v>
      </c>
      <c r="G61" s="20" t="n">
        <v>5</v>
      </c>
      <c r="H61" s="18" t="n">
        <f aca="false">INDEX(C_Price,A61)</f>
        <v>14.9</v>
      </c>
      <c r="I61" s="18" t="n">
        <f aca="false">INDEX(C_Jeonse,A61)</f>
        <v>7.748</v>
      </c>
      <c r="J61" s="21" t="n">
        <f aca="false">IF(C61=5,0,IF(C61=1,INDEX(C_Loan,A61),IF(C61=2,INDEX(C_Loan,A61)*LoanShare2,IF(C61=3,0,MIN(INDEX(C_Loan,A61),I61)))))</f>
        <v>0</v>
      </c>
      <c r="K61" s="18" t="n">
        <f aca="false">IF(C61=5,0,INDEX(C_Acq,A61))</f>
        <v>0</v>
      </c>
      <c r="L61" s="18" t="n">
        <f aca="false">IF(C61=5,0,INDEX(C_Fee,A61))</f>
        <v>0</v>
      </c>
      <c r="M61" s="21" t="n">
        <f aca="false">IF(C61=4,MAX(0,I61-J61),0)</f>
        <v>0</v>
      </c>
      <c r="N61" s="21" t="n">
        <f aca="false">IF(C61=5,I61,IF(C61=4,(H61-I61)+K61+L61+M61,H61-J61+K61+L61))</f>
        <v>7.748</v>
      </c>
      <c r="O61" s="20" t="n">
        <f aca="false">IF(C61=4,RentYears,0)</f>
        <v>0</v>
      </c>
      <c r="P61" s="20" t="n">
        <f aca="false">IF(C61=5,0,MAX(0,G61-O61-NonRes))</f>
        <v>0</v>
      </c>
      <c r="Q61" s="21" t="n">
        <f aca="false">IF(C61=5,0,H61*(1+F61)^G61)</f>
        <v>0</v>
      </c>
      <c r="R61" s="21" t="n">
        <f aca="false">IF(C61=5,0,Q61*LOOKUP(Q61,FeeLo,FeeR)*(1+VAT))</f>
        <v>0</v>
      </c>
      <c r="S61" s="21" t="n">
        <f aca="false">IF(J61&gt;0,-CUMIPMT(Rm,LoanYears*12,J61,1,(G61-O61)*12,0),0)</f>
        <v>0</v>
      </c>
      <c r="T61" s="29" t="n">
        <f aca="false">IF(C61=5,0,SUMIFS(Sch_Total,Sch_Idx,A61,Sch_Scen,E61,Sch_Year,"&lt;="&amp;G61))</f>
        <v>0</v>
      </c>
      <c r="U61" s="21" t="n">
        <f aca="false">K61+L61+R61</f>
        <v>0</v>
      </c>
      <c r="V61" s="21" t="n">
        <f aca="false">IF(C61=5,0,Q61-H61-U61)</f>
        <v>0</v>
      </c>
      <c r="W61" s="21" t="n">
        <f aca="false">IF(C61=5,0,MAX(0,IF(P61&gt;=2,IF(Q61&gt;Exempt,V61*(Q61-Exempt)/Q61,0),V61)))</f>
        <v>0</v>
      </c>
      <c r="X61" s="10" t="n">
        <f aca="false">IF(P61&gt;=2,MIN(MaxDed,MIN(0.4,HoldRate*G61)+MIN(0.4,LiveRate*P61)),IF(G61&gt;=3,MIN(0.3,0.02*G61),0))</f>
        <v>0.1</v>
      </c>
      <c r="Y61" s="21" t="n">
        <f aca="false">MAX(0,W61*(1-X61)-InitDed)</f>
        <v>0</v>
      </c>
      <c r="Z61" s="29" t="n">
        <f aca="false">SUMPRODUCT((Y61&gt;CLo)*(Y61-CLo)*CD)*(1+LocalTax)</f>
        <v>0</v>
      </c>
      <c r="AA61" s="21" t="n">
        <f aca="false">K61+T61+Z61</f>
        <v>0</v>
      </c>
      <c r="AB61" s="29" t="n">
        <f aca="false">IF(C61=5,0,(Q61-H61)-K61-L61-R61-S61-T61-Z61)</f>
        <v>0</v>
      </c>
      <c r="AC61" s="21" t="n">
        <f aca="false">IF(C61=5,0,N61*((1+DepRate*(1-DepTax))^G61-1))</f>
        <v>0</v>
      </c>
      <c r="AD61" s="29" t="n">
        <f aca="false">IF(C61=5,0,AB61-AC61+I61*(((1+DepRate*(1-DepTax))^G61-1)-((1+DepRate*(1-DepTax))^O61-1)))</f>
        <v>0</v>
      </c>
      <c r="AE61" s="30" t="n">
        <f aca="false">IF(J61&gt;0,-PMT(Rm,LoanYears*12,J61)*10000,0)</f>
        <v>0</v>
      </c>
      <c r="AF61" s="21" t="n">
        <f aca="false">IF(J61&gt;0,-PMT((Rate+Stress)/12,LoanYears*12,J61)*12/DSR,0)</f>
        <v>0</v>
      </c>
      <c r="AG61" s="20" t="n">
        <f aca="false">IF(N61&lt;=CapA,1,0)</f>
        <v>1</v>
      </c>
      <c r="AH61" s="20" t="n">
        <f aca="false">IF(N61&lt;=CapB,1,0)</f>
        <v>1</v>
      </c>
      <c r="AI61" s="20" t="n">
        <f aca="false">IF(N61&lt;=CapC,1,0)</f>
        <v>1</v>
      </c>
      <c r="AJ61" s="21" t="n">
        <f aca="false">IF(AG61=1,AD61,-999)</f>
        <v>0</v>
      </c>
      <c r="AK61" s="21" t="n">
        <f aca="false">IF(AH61=1,AD61,-999)</f>
        <v>0</v>
      </c>
      <c r="AL61" s="21" t="n">
        <f aca="false">IF(AI61=1,AD61,-999)</f>
        <v>0</v>
      </c>
      <c r="AM61" s="21" t="str">
        <f aca="false">C61&amp;"|"&amp;E61&amp;"|"&amp;G61&amp;"|"&amp;TEXT(AJ61,"0.00000")</f>
        <v>5|2|5|0.00000</v>
      </c>
      <c r="AN61" s="21" t="str">
        <f aca="false">C61&amp;"|"&amp;E61&amp;"|"&amp;G61&amp;"|"&amp;TEXT(AK61,"0.00000")</f>
        <v>5|2|5|0.00000</v>
      </c>
      <c r="AO61" s="21" t="str">
        <f aca="false">C61&amp;"|"&amp;E61&amp;"|"&amp;G61&amp;"|"&amp;TEXT(AL61,"0.00000")</f>
        <v>5|2|5|0.00000</v>
      </c>
    </row>
    <row r="62" customFormat="false" ht="15" hidden="false" customHeight="false" outlineLevel="0" collapsed="false">
      <c r="A62" s="20" t="n">
        <v>2</v>
      </c>
      <c r="B62" s="18" t="str">
        <f aca="false">INDEX(C_Name,A62)</f>
        <v>e편한세상 문래 에듀플라츠 84.99㎡</v>
      </c>
      <c r="C62" s="20" t="n">
        <v>5</v>
      </c>
      <c r="D62" s="21" t="str">
        <f aca="false">CHOOSE(C62,"1안 표준형(대출 최대)","2안 절충형(대출 50%)","3안 무대출형","4안 임대차 승계 후 입주","5안 매수 보류(전세 거주)")</f>
        <v>5안 매수 보류(전세 거주)</v>
      </c>
      <c r="E62" s="20" t="n">
        <v>2</v>
      </c>
      <c r="F62" s="10" t="n">
        <f aca="false">CHOOSE(E62,GrowLo,GrowMid,GrowHi)</f>
        <v>0.04</v>
      </c>
      <c r="G62" s="20" t="n">
        <v>10</v>
      </c>
      <c r="H62" s="18" t="n">
        <f aca="false">INDEX(C_Price,A62)</f>
        <v>14.9</v>
      </c>
      <c r="I62" s="18" t="n">
        <f aca="false">INDEX(C_Jeonse,A62)</f>
        <v>7.748</v>
      </c>
      <c r="J62" s="21" t="n">
        <f aca="false">IF(C62=5,0,IF(C62=1,INDEX(C_Loan,A62),IF(C62=2,INDEX(C_Loan,A62)*LoanShare2,IF(C62=3,0,MIN(INDEX(C_Loan,A62),I62)))))</f>
        <v>0</v>
      </c>
      <c r="K62" s="18" t="n">
        <f aca="false">IF(C62=5,0,INDEX(C_Acq,A62))</f>
        <v>0</v>
      </c>
      <c r="L62" s="18" t="n">
        <f aca="false">IF(C62=5,0,INDEX(C_Fee,A62))</f>
        <v>0</v>
      </c>
      <c r="M62" s="21" t="n">
        <f aca="false">IF(C62=4,MAX(0,I62-J62),0)</f>
        <v>0</v>
      </c>
      <c r="N62" s="21" t="n">
        <f aca="false">IF(C62=5,I62,IF(C62=4,(H62-I62)+K62+L62+M62,H62-J62+K62+L62))</f>
        <v>7.748</v>
      </c>
      <c r="O62" s="20" t="n">
        <f aca="false">IF(C62=4,RentYears,0)</f>
        <v>0</v>
      </c>
      <c r="P62" s="20" t="n">
        <f aca="false">IF(C62=5,0,MAX(0,G62-O62-NonRes))</f>
        <v>0</v>
      </c>
      <c r="Q62" s="21" t="n">
        <f aca="false">IF(C62=5,0,H62*(1+F62)^G62)</f>
        <v>0</v>
      </c>
      <c r="R62" s="21" t="n">
        <f aca="false">IF(C62=5,0,Q62*LOOKUP(Q62,FeeLo,FeeR)*(1+VAT))</f>
        <v>0</v>
      </c>
      <c r="S62" s="21" t="n">
        <f aca="false">IF(J62&gt;0,-CUMIPMT(Rm,LoanYears*12,J62,1,(G62-O62)*12,0),0)</f>
        <v>0</v>
      </c>
      <c r="T62" s="29" t="n">
        <f aca="false">IF(C62=5,0,SUMIFS(Sch_Total,Sch_Idx,A62,Sch_Scen,E62,Sch_Year,"&lt;="&amp;G62))</f>
        <v>0</v>
      </c>
      <c r="U62" s="21" t="n">
        <f aca="false">K62+L62+R62</f>
        <v>0</v>
      </c>
      <c r="V62" s="21" t="n">
        <f aca="false">IF(C62=5,0,Q62-H62-U62)</f>
        <v>0</v>
      </c>
      <c r="W62" s="21" t="n">
        <f aca="false">IF(C62=5,0,MAX(0,IF(P62&gt;=2,IF(Q62&gt;Exempt,V62*(Q62-Exempt)/Q62,0),V62)))</f>
        <v>0</v>
      </c>
      <c r="X62" s="10" t="n">
        <f aca="false">IF(P62&gt;=2,MIN(MaxDed,MIN(0.4,HoldRate*G62)+MIN(0.4,LiveRate*P62)),IF(G62&gt;=3,MIN(0.3,0.02*G62),0))</f>
        <v>0.2</v>
      </c>
      <c r="Y62" s="21" t="n">
        <f aca="false">MAX(0,W62*(1-X62)-InitDed)</f>
        <v>0</v>
      </c>
      <c r="Z62" s="29" t="n">
        <f aca="false">SUMPRODUCT((Y62&gt;CLo)*(Y62-CLo)*CD)*(1+LocalTax)</f>
        <v>0</v>
      </c>
      <c r="AA62" s="21" t="n">
        <f aca="false">K62+T62+Z62</f>
        <v>0</v>
      </c>
      <c r="AB62" s="29" t="n">
        <f aca="false">IF(C62=5,0,(Q62-H62)-K62-L62-R62-S62-T62-Z62)</f>
        <v>0</v>
      </c>
      <c r="AC62" s="21" t="n">
        <f aca="false">IF(C62=5,0,N62*((1+DepRate*(1-DepTax))^G62-1))</f>
        <v>0</v>
      </c>
      <c r="AD62" s="29" t="n">
        <f aca="false">IF(C62=5,0,AB62-AC62+I62*(((1+DepRate*(1-DepTax))^G62-1)-((1+DepRate*(1-DepTax))^O62-1)))</f>
        <v>0</v>
      </c>
      <c r="AE62" s="30" t="n">
        <f aca="false">IF(J62&gt;0,-PMT(Rm,LoanYears*12,J62)*10000,0)</f>
        <v>0</v>
      </c>
      <c r="AF62" s="21" t="n">
        <f aca="false">IF(J62&gt;0,-PMT((Rate+Stress)/12,LoanYears*12,J62)*12/DSR,0)</f>
        <v>0</v>
      </c>
      <c r="AG62" s="20" t="n">
        <f aca="false">IF(N62&lt;=CapA,1,0)</f>
        <v>1</v>
      </c>
      <c r="AH62" s="20" t="n">
        <f aca="false">IF(N62&lt;=CapB,1,0)</f>
        <v>1</v>
      </c>
      <c r="AI62" s="20" t="n">
        <f aca="false">IF(N62&lt;=CapC,1,0)</f>
        <v>1</v>
      </c>
      <c r="AJ62" s="21" t="n">
        <f aca="false">IF(AG62=1,AD62,-999)</f>
        <v>0</v>
      </c>
      <c r="AK62" s="21" t="n">
        <f aca="false">IF(AH62=1,AD62,-999)</f>
        <v>0</v>
      </c>
      <c r="AL62" s="21" t="n">
        <f aca="false">IF(AI62=1,AD62,-999)</f>
        <v>0</v>
      </c>
      <c r="AM62" s="21" t="str">
        <f aca="false">C62&amp;"|"&amp;E62&amp;"|"&amp;G62&amp;"|"&amp;TEXT(AJ62,"0.00000")</f>
        <v>5|2|10|0.00000</v>
      </c>
      <c r="AN62" s="21" t="str">
        <f aca="false">C62&amp;"|"&amp;E62&amp;"|"&amp;G62&amp;"|"&amp;TEXT(AK62,"0.00000")</f>
        <v>5|2|10|0.00000</v>
      </c>
      <c r="AO62" s="21" t="str">
        <f aca="false">C62&amp;"|"&amp;E62&amp;"|"&amp;G62&amp;"|"&amp;TEXT(AL62,"0.00000")</f>
        <v>5|2|10|0.00000</v>
      </c>
    </row>
    <row r="63" customFormat="false" ht="15" hidden="false" customHeight="false" outlineLevel="0" collapsed="false">
      <c r="A63" s="20" t="n">
        <v>2</v>
      </c>
      <c r="B63" s="18" t="str">
        <f aca="false">INDEX(C_Name,A63)</f>
        <v>e편한세상 문래 에듀플라츠 84.99㎡</v>
      </c>
      <c r="C63" s="20" t="n">
        <v>5</v>
      </c>
      <c r="D63" s="21" t="str">
        <f aca="false">CHOOSE(C63,"1안 표준형(대출 최대)","2안 절충형(대출 50%)","3안 무대출형","4안 임대차 승계 후 입주","5안 매수 보류(전세 거주)")</f>
        <v>5안 매수 보류(전세 거주)</v>
      </c>
      <c r="E63" s="20" t="n">
        <v>3</v>
      </c>
      <c r="F63" s="10" t="n">
        <f aca="false">CHOOSE(E63,GrowLo,GrowMid,GrowHi)</f>
        <v>0.06</v>
      </c>
      <c r="G63" s="20" t="n">
        <v>5</v>
      </c>
      <c r="H63" s="18" t="n">
        <f aca="false">INDEX(C_Price,A63)</f>
        <v>14.9</v>
      </c>
      <c r="I63" s="18" t="n">
        <f aca="false">INDEX(C_Jeonse,A63)</f>
        <v>7.748</v>
      </c>
      <c r="J63" s="21" t="n">
        <f aca="false">IF(C63=5,0,IF(C63=1,INDEX(C_Loan,A63),IF(C63=2,INDEX(C_Loan,A63)*LoanShare2,IF(C63=3,0,MIN(INDEX(C_Loan,A63),I63)))))</f>
        <v>0</v>
      </c>
      <c r="K63" s="18" t="n">
        <f aca="false">IF(C63=5,0,INDEX(C_Acq,A63))</f>
        <v>0</v>
      </c>
      <c r="L63" s="18" t="n">
        <f aca="false">IF(C63=5,0,INDEX(C_Fee,A63))</f>
        <v>0</v>
      </c>
      <c r="M63" s="21" t="n">
        <f aca="false">IF(C63=4,MAX(0,I63-J63),0)</f>
        <v>0</v>
      </c>
      <c r="N63" s="21" t="n">
        <f aca="false">IF(C63=5,I63,IF(C63=4,(H63-I63)+K63+L63+M63,H63-J63+K63+L63))</f>
        <v>7.748</v>
      </c>
      <c r="O63" s="20" t="n">
        <f aca="false">IF(C63=4,RentYears,0)</f>
        <v>0</v>
      </c>
      <c r="P63" s="20" t="n">
        <f aca="false">IF(C63=5,0,MAX(0,G63-O63-NonRes))</f>
        <v>0</v>
      </c>
      <c r="Q63" s="21" t="n">
        <f aca="false">IF(C63=5,0,H63*(1+F63)^G63)</f>
        <v>0</v>
      </c>
      <c r="R63" s="21" t="n">
        <f aca="false">IF(C63=5,0,Q63*LOOKUP(Q63,FeeLo,FeeR)*(1+VAT))</f>
        <v>0</v>
      </c>
      <c r="S63" s="21" t="n">
        <f aca="false">IF(J63&gt;0,-CUMIPMT(Rm,LoanYears*12,J63,1,(G63-O63)*12,0),0)</f>
        <v>0</v>
      </c>
      <c r="T63" s="29" t="n">
        <f aca="false">IF(C63=5,0,SUMIFS(Sch_Total,Sch_Idx,A63,Sch_Scen,E63,Sch_Year,"&lt;="&amp;G63))</f>
        <v>0</v>
      </c>
      <c r="U63" s="21" t="n">
        <f aca="false">K63+L63+R63</f>
        <v>0</v>
      </c>
      <c r="V63" s="21" t="n">
        <f aca="false">IF(C63=5,0,Q63-H63-U63)</f>
        <v>0</v>
      </c>
      <c r="W63" s="21" t="n">
        <f aca="false">IF(C63=5,0,MAX(0,IF(P63&gt;=2,IF(Q63&gt;Exempt,V63*(Q63-Exempt)/Q63,0),V63)))</f>
        <v>0</v>
      </c>
      <c r="X63" s="10" t="n">
        <f aca="false">IF(P63&gt;=2,MIN(MaxDed,MIN(0.4,HoldRate*G63)+MIN(0.4,LiveRate*P63)),IF(G63&gt;=3,MIN(0.3,0.02*G63),0))</f>
        <v>0.1</v>
      </c>
      <c r="Y63" s="21" t="n">
        <f aca="false">MAX(0,W63*(1-X63)-InitDed)</f>
        <v>0</v>
      </c>
      <c r="Z63" s="29" t="n">
        <f aca="false">SUMPRODUCT((Y63&gt;CLo)*(Y63-CLo)*CD)*(1+LocalTax)</f>
        <v>0</v>
      </c>
      <c r="AA63" s="21" t="n">
        <f aca="false">K63+T63+Z63</f>
        <v>0</v>
      </c>
      <c r="AB63" s="29" t="n">
        <f aca="false">IF(C63=5,0,(Q63-H63)-K63-L63-R63-S63-T63-Z63)</f>
        <v>0</v>
      </c>
      <c r="AC63" s="21" t="n">
        <f aca="false">IF(C63=5,0,N63*((1+DepRate*(1-DepTax))^G63-1))</f>
        <v>0</v>
      </c>
      <c r="AD63" s="29" t="n">
        <f aca="false">IF(C63=5,0,AB63-AC63+I63*(((1+DepRate*(1-DepTax))^G63-1)-((1+DepRate*(1-DepTax))^O63-1)))</f>
        <v>0</v>
      </c>
      <c r="AE63" s="30" t="n">
        <f aca="false">IF(J63&gt;0,-PMT(Rm,LoanYears*12,J63)*10000,0)</f>
        <v>0</v>
      </c>
      <c r="AF63" s="21" t="n">
        <f aca="false">IF(J63&gt;0,-PMT((Rate+Stress)/12,LoanYears*12,J63)*12/DSR,0)</f>
        <v>0</v>
      </c>
      <c r="AG63" s="20" t="n">
        <f aca="false">IF(N63&lt;=CapA,1,0)</f>
        <v>1</v>
      </c>
      <c r="AH63" s="20" t="n">
        <f aca="false">IF(N63&lt;=CapB,1,0)</f>
        <v>1</v>
      </c>
      <c r="AI63" s="20" t="n">
        <f aca="false">IF(N63&lt;=CapC,1,0)</f>
        <v>1</v>
      </c>
      <c r="AJ63" s="21" t="n">
        <f aca="false">IF(AG63=1,AD63,-999)</f>
        <v>0</v>
      </c>
      <c r="AK63" s="21" t="n">
        <f aca="false">IF(AH63=1,AD63,-999)</f>
        <v>0</v>
      </c>
      <c r="AL63" s="21" t="n">
        <f aca="false">IF(AI63=1,AD63,-999)</f>
        <v>0</v>
      </c>
      <c r="AM63" s="21" t="str">
        <f aca="false">C63&amp;"|"&amp;E63&amp;"|"&amp;G63&amp;"|"&amp;TEXT(AJ63,"0.00000")</f>
        <v>5|3|5|0.00000</v>
      </c>
      <c r="AN63" s="21" t="str">
        <f aca="false">C63&amp;"|"&amp;E63&amp;"|"&amp;G63&amp;"|"&amp;TEXT(AK63,"0.00000")</f>
        <v>5|3|5|0.00000</v>
      </c>
      <c r="AO63" s="21" t="str">
        <f aca="false">C63&amp;"|"&amp;E63&amp;"|"&amp;G63&amp;"|"&amp;TEXT(AL63,"0.00000")</f>
        <v>5|3|5|0.00000</v>
      </c>
    </row>
    <row r="64" customFormat="false" ht="15" hidden="false" customHeight="false" outlineLevel="0" collapsed="false">
      <c r="A64" s="20" t="n">
        <v>2</v>
      </c>
      <c r="B64" s="18" t="str">
        <f aca="false">INDEX(C_Name,A64)</f>
        <v>e편한세상 문래 에듀플라츠 84.99㎡</v>
      </c>
      <c r="C64" s="20" t="n">
        <v>5</v>
      </c>
      <c r="D64" s="21" t="str">
        <f aca="false">CHOOSE(C64,"1안 표준형(대출 최대)","2안 절충형(대출 50%)","3안 무대출형","4안 임대차 승계 후 입주","5안 매수 보류(전세 거주)")</f>
        <v>5안 매수 보류(전세 거주)</v>
      </c>
      <c r="E64" s="20" t="n">
        <v>3</v>
      </c>
      <c r="F64" s="10" t="n">
        <f aca="false">CHOOSE(E64,GrowLo,GrowMid,GrowHi)</f>
        <v>0.06</v>
      </c>
      <c r="G64" s="20" t="n">
        <v>10</v>
      </c>
      <c r="H64" s="18" t="n">
        <f aca="false">INDEX(C_Price,A64)</f>
        <v>14.9</v>
      </c>
      <c r="I64" s="18" t="n">
        <f aca="false">INDEX(C_Jeonse,A64)</f>
        <v>7.748</v>
      </c>
      <c r="J64" s="21" t="n">
        <f aca="false">IF(C64=5,0,IF(C64=1,INDEX(C_Loan,A64),IF(C64=2,INDEX(C_Loan,A64)*LoanShare2,IF(C64=3,0,MIN(INDEX(C_Loan,A64),I64)))))</f>
        <v>0</v>
      </c>
      <c r="K64" s="18" t="n">
        <f aca="false">IF(C64=5,0,INDEX(C_Acq,A64))</f>
        <v>0</v>
      </c>
      <c r="L64" s="18" t="n">
        <f aca="false">IF(C64=5,0,INDEX(C_Fee,A64))</f>
        <v>0</v>
      </c>
      <c r="M64" s="21" t="n">
        <f aca="false">IF(C64=4,MAX(0,I64-J64),0)</f>
        <v>0</v>
      </c>
      <c r="N64" s="21" t="n">
        <f aca="false">IF(C64=5,I64,IF(C64=4,(H64-I64)+K64+L64+M64,H64-J64+K64+L64))</f>
        <v>7.748</v>
      </c>
      <c r="O64" s="20" t="n">
        <f aca="false">IF(C64=4,RentYears,0)</f>
        <v>0</v>
      </c>
      <c r="P64" s="20" t="n">
        <f aca="false">IF(C64=5,0,MAX(0,G64-O64-NonRes))</f>
        <v>0</v>
      </c>
      <c r="Q64" s="21" t="n">
        <f aca="false">IF(C64=5,0,H64*(1+F64)^G64)</f>
        <v>0</v>
      </c>
      <c r="R64" s="21" t="n">
        <f aca="false">IF(C64=5,0,Q64*LOOKUP(Q64,FeeLo,FeeR)*(1+VAT))</f>
        <v>0</v>
      </c>
      <c r="S64" s="21" t="n">
        <f aca="false">IF(J64&gt;0,-CUMIPMT(Rm,LoanYears*12,J64,1,(G64-O64)*12,0),0)</f>
        <v>0</v>
      </c>
      <c r="T64" s="29" t="n">
        <f aca="false">IF(C64=5,0,SUMIFS(Sch_Total,Sch_Idx,A64,Sch_Scen,E64,Sch_Year,"&lt;="&amp;G64))</f>
        <v>0</v>
      </c>
      <c r="U64" s="21" t="n">
        <f aca="false">K64+L64+R64</f>
        <v>0</v>
      </c>
      <c r="V64" s="21" t="n">
        <f aca="false">IF(C64=5,0,Q64-H64-U64)</f>
        <v>0</v>
      </c>
      <c r="W64" s="21" t="n">
        <f aca="false">IF(C64=5,0,MAX(0,IF(P64&gt;=2,IF(Q64&gt;Exempt,V64*(Q64-Exempt)/Q64,0),V64)))</f>
        <v>0</v>
      </c>
      <c r="X64" s="10" t="n">
        <f aca="false">IF(P64&gt;=2,MIN(MaxDed,MIN(0.4,HoldRate*G64)+MIN(0.4,LiveRate*P64)),IF(G64&gt;=3,MIN(0.3,0.02*G64),0))</f>
        <v>0.2</v>
      </c>
      <c r="Y64" s="21" t="n">
        <f aca="false">MAX(0,W64*(1-X64)-InitDed)</f>
        <v>0</v>
      </c>
      <c r="Z64" s="29" t="n">
        <f aca="false">SUMPRODUCT((Y64&gt;CLo)*(Y64-CLo)*CD)*(1+LocalTax)</f>
        <v>0</v>
      </c>
      <c r="AA64" s="21" t="n">
        <f aca="false">K64+T64+Z64</f>
        <v>0</v>
      </c>
      <c r="AB64" s="29" t="n">
        <f aca="false">IF(C64=5,0,(Q64-H64)-K64-L64-R64-S64-T64-Z64)</f>
        <v>0</v>
      </c>
      <c r="AC64" s="21" t="n">
        <f aca="false">IF(C64=5,0,N64*((1+DepRate*(1-DepTax))^G64-1))</f>
        <v>0</v>
      </c>
      <c r="AD64" s="29" t="n">
        <f aca="false">IF(C64=5,0,AB64-AC64+I64*(((1+DepRate*(1-DepTax))^G64-1)-((1+DepRate*(1-DepTax))^O64-1)))</f>
        <v>0</v>
      </c>
      <c r="AE64" s="30" t="n">
        <f aca="false">IF(J64&gt;0,-PMT(Rm,LoanYears*12,J64)*10000,0)</f>
        <v>0</v>
      </c>
      <c r="AF64" s="21" t="n">
        <f aca="false">IF(J64&gt;0,-PMT((Rate+Stress)/12,LoanYears*12,J64)*12/DSR,0)</f>
        <v>0</v>
      </c>
      <c r="AG64" s="20" t="n">
        <f aca="false">IF(N64&lt;=CapA,1,0)</f>
        <v>1</v>
      </c>
      <c r="AH64" s="20" t="n">
        <f aca="false">IF(N64&lt;=CapB,1,0)</f>
        <v>1</v>
      </c>
      <c r="AI64" s="20" t="n">
        <f aca="false">IF(N64&lt;=CapC,1,0)</f>
        <v>1</v>
      </c>
      <c r="AJ64" s="21" t="n">
        <f aca="false">IF(AG64=1,AD64,-999)</f>
        <v>0</v>
      </c>
      <c r="AK64" s="21" t="n">
        <f aca="false">IF(AH64=1,AD64,-999)</f>
        <v>0</v>
      </c>
      <c r="AL64" s="21" t="n">
        <f aca="false">IF(AI64=1,AD64,-999)</f>
        <v>0</v>
      </c>
      <c r="AM64" s="21" t="str">
        <f aca="false">C64&amp;"|"&amp;E64&amp;"|"&amp;G64&amp;"|"&amp;TEXT(AJ64,"0.00000")</f>
        <v>5|3|10|0.00000</v>
      </c>
      <c r="AN64" s="21" t="str">
        <f aca="false">C64&amp;"|"&amp;E64&amp;"|"&amp;G64&amp;"|"&amp;TEXT(AK64,"0.00000")</f>
        <v>5|3|10|0.00000</v>
      </c>
      <c r="AO64" s="21" t="str">
        <f aca="false">C64&amp;"|"&amp;E64&amp;"|"&amp;G64&amp;"|"&amp;TEXT(AL64,"0.00000")</f>
        <v>5|3|10|0.00000</v>
      </c>
    </row>
    <row r="65" customFormat="false" ht="15" hidden="false" customHeight="false" outlineLevel="0" collapsed="false">
      <c r="A65" s="20" t="n">
        <v>3</v>
      </c>
      <c r="B65" s="18" t="str">
        <f aca="false">INDEX(C_Name,A65)</f>
        <v>문래자이 84㎡</v>
      </c>
      <c r="C65" s="20" t="n">
        <v>1</v>
      </c>
      <c r="D65" s="21" t="str">
        <f aca="false">CHOOSE(C65,"1안 표준형(대출 최대)","2안 절충형(대출 50%)","3안 무대출형","4안 임대차 승계 후 입주","5안 매수 보류(전세 거주)")</f>
        <v>1안 표준형(대출 최대)</v>
      </c>
      <c r="E65" s="20" t="n">
        <v>1</v>
      </c>
      <c r="F65" s="10" t="n">
        <f aca="false">CHOOSE(E65,GrowLo,GrowMid,GrowHi)</f>
        <v>0.02</v>
      </c>
      <c r="G65" s="20" t="n">
        <v>5</v>
      </c>
      <c r="H65" s="18" t="n">
        <f aca="false">INDEX(C_Price,A65)</f>
        <v>19.5</v>
      </c>
      <c r="I65" s="18" t="n">
        <f aca="false">INDEX(C_Jeonse,A65)</f>
        <v>10.14</v>
      </c>
      <c r="J65" s="21" t="n">
        <f aca="false">IF(C65=5,0,IF(C65=1,INDEX(C_Loan,A65),IF(C65=2,INDEX(C_Loan,A65)*LoanShare2,IF(C65=3,0,MIN(INDEX(C_Loan,A65),I65)))))</f>
        <v>4</v>
      </c>
      <c r="K65" s="18" t="n">
        <f aca="false">IF(C65=5,0,INDEX(C_Acq,A65))</f>
        <v>0.6435</v>
      </c>
      <c r="L65" s="18" t="n">
        <f aca="false">IF(C65=5,0,INDEX(C_Fee,A65))</f>
        <v>0.17015</v>
      </c>
      <c r="M65" s="21" t="n">
        <f aca="false">IF(C65=4,MAX(0,I65-J65),0)</f>
        <v>0</v>
      </c>
      <c r="N65" s="21" t="n">
        <f aca="false">IF(C65=5,I65,IF(C65=4,(H65-I65)+K65+L65+M65,H65-J65+K65+L65))</f>
        <v>16.31365</v>
      </c>
      <c r="O65" s="20" t="n">
        <f aca="false">IF(C65=4,RentYears,0)</f>
        <v>0</v>
      </c>
      <c r="P65" s="20" t="n">
        <f aca="false">IF(C65=5,0,MAX(0,G65-O65-NonRes))</f>
        <v>5</v>
      </c>
      <c r="Q65" s="21" t="n">
        <f aca="false">IF(C65=5,0,H65*(1+F65)^G65)</f>
        <v>21.5295756624</v>
      </c>
      <c r="R65" s="21" t="n">
        <f aca="false">IF(C65=5,0,Q65*LOOKUP(Q65,FeeLo,FeeR)*(1+VAT))</f>
        <v>0.16577773260048</v>
      </c>
      <c r="S65" s="21" t="n">
        <f aca="false">IF(J65&gt;0,-CUMIPMT(Rm,LoanYears*12,J65,1,(G65-O65)*12,0),0)</f>
        <v>0.76369723456074</v>
      </c>
      <c r="T65" s="29" t="n">
        <f aca="false">IF(C65=5,0,SUMIFS(Sch_Total,Sch_Idx,A65,Sch_Scen,E65,Sch_Year,"&lt;="&amp;G65))</f>
        <v>0.258749037782496</v>
      </c>
      <c r="U65" s="21" t="n">
        <f aca="false">K65+L65+R65</f>
        <v>0.97942773260048</v>
      </c>
      <c r="V65" s="21" t="n">
        <f aca="false">IF(C65=5,0,Q65-H65-U65)</f>
        <v>1.05014792979952</v>
      </c>
      <c r="W65" s="21" t="n">
        <f aca="false">IF(C65=5,0,MAX(0,IF(P65&gt;=2,IF(Q65&gt;Exempt,V65*(Q65-Exempt)/Q65,0),V65)))</f>
        <v>0.464824031400425</v>
      </c>
      <c r="X65" s="10" t="n">
        <f aca="false">IF(P65&gt;=2,MIN(MaxDed,MIN(0.4,HoldRate*G65)+MIN(0.4,LiveRate*P65)),IF(G65&gt;=3,MIN(0.3,0.02*G65),0))</f>
        <v>0.4</v>
      </c>
      <c r="Y65" s="21" t="n">
        <f aca="false">MAX(0,W65*(1-X65)-InitDed)</f>
        <v>0.253894418840255</v>
      </c>
      <c r="Z65" s="29" t="n">
        <f aca="false">SUMPRODUCT((Y65&gt;CLo)*(Y65-CLo)*CD)*(1+LocalTax)</f>
        <v>0.0280325791086421</v>
      </c>
      <c r="AA65" s="21" t="n">
        <f aca="false">K65+T65+Z65</f>
        <v>0.930281616891138</v>
      </c>
      <c r="AB65" s="29" t="n">
        <f aca="false">IF(C65=5,0,(Q65-H65)-K65-L65-R65-S65-T65-Z65)</f>
        <v>-0.000330921652359161</v>
      </c>
      <c r="AC65" s="21" t="n">
        <f aca="false">IF(C65=5,0,N65*((1+DepRate*(1-DepTax))^G65-1))</f>
        <v>2.17798668245584</v>
      </c>
      <c r="AD65" s="29" t="n">
        <f aca="false">IF(C65=5,0,AB65-AC65+I65*(((1+DepRate*(1-DepTax))^G65-1)-((1+DepRate*(1-DepTax))^O65-1)))</f>
        <v>-0.824556492394866</v>
      </c>
      <c r="AE65" s="30" t="n">
        <f aca="false">IF(J65&gt;0,-PMT(Rm,LoanYears*12,J65)*10000,0)</f>
        <v>190.966118186184</v>
      </c>
      <c r="AF65" s="21" t="n">
        <f aca="false">IF(J65&gt;0,-PMT((Rate+Stress)/12,LoanYears*12,J65)*12/DSR,0)</f>
        <v>0.79836299421502</v>
      </c>
      <c r="AG65" s="20" t="n">
        <f aca="false">IF(N65&lt;=CapA,1,0)</f>
        <v>0</v>
      </c>
      <c r="AH65" s="20" t="n">
        <f aca="false">IF(N65&lt;=CapB,1,0)</f>
        <v>0</v>
      </c>
      <c r="AI65" s="20" t="n">
        <f aca="false">IF(N65&lt;=CapC,1,0)</f>
        <v>0</v>
      </c>
      <c r="AJ65" s="21" t="n">
        <f aca="false">IF(AG65=1,AD65,-999)</f>
        <v>-999</v>
      </c>
      <c r="AK65" s="21" t="n">
        <f aca="false">IF(AH65=1,AD65,-999)</f>
        <v>-999</v>
      </c>
      <c r="AL65" s="21" t="n">
        <f aca="false">IF(AI65=1,AD65,-999)</f>
        <v>-999</v>
      </c>
      <c r="AM65" s="21" t="str">
        <f aca="false">C65&amp;"|"&amp;E65&amp;"|"&amp;G65&amp;"|"&amp;TEXT(AJ65,"0.00000")</f>
        <v>1|1|5|-999.00000</v>
      </c>
      <c r="AN65" s="21" t="str">
        <f aca="false">C65&amp;"|"&amp;E65&amp;"|"&amp;G65&amp;"|"&amp;TEXT(AK65,"0.00000")</f>
        <v>1|1|5|-999.00000</v>
      </c>
      <c r="AO65" s="21" t="str">
        <f aca="false">C65&amp;"|"&amp;E65&amp;"|"&amp;G65&amp;"|"&amp;TEXT(AL65,"0.00000")</f>
        <v>1|1|5|-999.00000</v>
      </c>
    </row>
    <row r="66" customFormat="false" ht="15" hidden="false" customHeight="false" outlineLevel="0" collapsed="false">
      <c r="A66" s="20" t="n">
        <v>3</v>
      </c>
      <c r="B66" s="18" t="str">
        <f aca="false">INDEX(C_Name,A66)</f>
        <v>문래자이 84㎡</v>
      </c>
      <c r="C66" s="20" t="n">
        <v>1</v>
      </c>
      <c r="D66" s="21" t="str">
        <f aca="false">CHOOSE(C66,"1안 표준형(대출 최대)","2안 절충형(대출 50%)","3안 무대출형","4안 임대차 승계 후 입주","5안 매수 보류(전세 거주)")</f>
        <v>1안 표준형(대출 최대)</v>
      </c>
      <c r="E66" s="20" t="n">
        <v>1</v>
      </c>
      <c r="F66" s="10" t="n">
        <f aca="false">CHOOSE(E66,GrowLo,GrowMid,GrowHi)</f>
        <v>0.02</v>
      </c>
      <c r="G66" s="20" t="n">
        <v>10</v>
      </c>
      <c r="H66" s="18" t="n">
        <f aca="false">INDEX(C_Price,A66)</f>
        <v>19.5</v>
      </c>
      <c r="I66" s="18" t="n">
        <f aca="false">INDEX(C_Jeonse,A66)</f>
        <v>10.14</v>
      </c>
      <c r="J66" s="21" t="n">
        <f aca="false">IF(C66=5,0,IF(C66=1,INDEX(C_Loan,A66),IF(C66=2,INDEX(C_Loan,A66)*LoanShare2,IF(C66=3,0,MIN(INDEX(C_Loan,A66),I66)))))</f>
        <v>4</v>
      </c>
      <c r="K66" s="18" t="n">
        <f aca="false">IF(C66=5,0,INDEX(C_Acq,A66))</f>
        <v>0.6435</v>
      </c>
      <c r="L66" s="18" t="n">
        <f aca="false">IF(C66=5,0,INDEX(C_Fee,A66))</f>
        <v>0.17015</v>
      </c>
      <c r="M66" s="21" t="n">
        <f aca="false">IF(C66=4,MAX(0,I66-J66),0)</f>
        <v>0</v>
      </c>
      <c r="N66" s="21" t="n">
        <f aca="false">IF(C66=5,I66,IF(C66=4,(H66-I66)+K66+L66+M66,H66-J66+K66+L66))</f>
        <v>16.31365</v>
      </c>
      <c r="O66" s="20" t="n">
        <f aca="false">IF(C66=4,RentYears,0)</f>
        <v>0</v>
      </c>
      <c r="P66" s="20" t="n">
        <f aca="false">IF(C66=5,0,MAX(0,G66-O66-NonRes))</f>
        <v>10</v>
      </c>
      <c r="Q66" s="21" t="n">
        <f aca="false">IF(C66=5,0,H66*(1+F66)^G66)</f>
        <v>23.7703911898978</v>
      </c>
      <c r="R66" s="21" t="n">
        <f aca="false">IF(C66=5,0,Q66*LOOKUP(Q66,FeeLo,FeeR)*(1+VAT))</f>
        <v>0.183032012162213</v>
      </c>
      <c r="S66" s="21" t="n">
        <f aca="false">IF(J66&gt;0,-CUMIPMT(Rm,LoanYears*12,J66,1,(G66-O66)*12,0),0)</f>
        <v>1.44295178669745</v>
      </c>
      <c r="T66" s="29" t="n">
        <f aca="false">IF(C66=5,0,SUMIFS(Sch_Total,Sch_Idx,A66,Sch_Scen,E66,Sch_Year,"&lt;="&amp;G66))</f>
        <v>0.570844591096781</v>
      </c>
      <c r="U66" s="21" t="n">
        <f aca="false">K66+L66+R66</f>
        <v>0.996682012162213</v>
      </c>
      <c r="V66" s="21" t="n">
        <f aca="false">IF(C66=5,0,Q66-H66-U66)</f>
        <v>3.27370917773556</v>
      </c>
      <c r="W66" s="21" t="n">
        <f aca="false">IF(C66=5,0,MAX(0,IF(P66&gt;=2,IF(Q66&gt;Exempt,V66*(Q66-Exempt)/Q66,0),V66)))</f>
        <v>1.62104348035645</v>
      </c>
      <c r="X66" s="10" t="n">
        <f aca="false">IF(P66&gt;=2,MIN(MaxDed,MIN(0.4,HoldRate*G66)+MIN(0.4,LiveRate*P66)),IF(G66&gt;=3,MIN(0.3,0.02*G66),0))</f>
        <v>0.8</v>
      </c>
      <c r="Y66" s="21" t="n">
        <f aca="false">MAX(0,W66*(1-X66)-InitDed)</f>
        <v>0.299208696071289</v>
      </c>
      <c r="Z66" s="29" t="n">
        <f aca="false">SUMPRODUCT((Y66&gt;CLo)*(Y66-CLo)*CD)*(1+LocalTax)</f>
        <v>0.0355094348517627</v>
      </c>
      <c r="AA66" s="21" t="n">
        <f aca="false">K66+T66+Z66</f>
        <v>1.24985402594854</v>
      </c>
      <c r="AB66" s="29" t="n">
        <f aca="false">IF(C66=5,0,(Q66-H66)-K66-L66-R66-S66-T66-Z66)</f>
        <v>1.22440336508956</v>
      </c>
      <c r="AC66" s="21" t="n">
        <f aca="false">IF(C66=5,0,N66*((1+DepRate*(1-DepTax))^G66-1))</f>
        <v>4.64674986121723</v>
      </c>
      <c r="AD66" s="29" t="n">
        <f aca="false">IF(C66=5,0,AB66-AC66+I66*(((1+DepRate*(1-DepTax))^G66-1)-((1+DepRate*(1-DepTax))^O66-1)))</f>
        <v>-0.534087670374833</v>
      </c>
      <c r="AE66" s="30" t="n">
        <f aca="false">IF(J66&gt;0,-PMT(Rm,LoanYears*12,J66)*10000,0)</f>
        <v>190.966118186184</v>
      </c>
      <c r="AF66" s="21" t="n">
        <f aca="false">IF(J66&gt;0,-PMT((Rate+Stress)/12,LoanYears*12,J66)*12/DSR,0)</f>
        <v>0.79836299421502</v>
      </c>
      <c r="AG66" s="20" t="n">
        <f aca="false">IF(N66&lt;=CapA,1,0)</f>
        <v>0</v>
      </c>
      <c r="AH66" s="20" t="n">
        <f aca="false">IF(N66&lt;=CapB,1,0)</f>
        <v>0</v>
      </c>
      <c r="AI66" s="20" t="n">
        <f aca="false">IF(N66&lt;=CapC,1,0)</f>
        <v>0</v>
      </c>
      <c r="AJ66" s="21" t="n">
        <f aca="false">IF(AG66=1,AD66,-999)</f>
        <v>-999</v>
      </c>
      <c r="AK66" s="21" t="n">
        <f aca="false">IF(AH66=1,AD66,-999)</f>
        <v>-999</v>
      </c>
      <c r="AL66" s="21" t="n">
        <f aca="false">IF(AI66=1,AD66,-999)</f>
        <v>-999</v>
      </c>
      <c r="AM66" s="21" t="str">
        <f aca="false">C66&amp;"|"&amp;E66&amp;"|"&amp;G66&amp;"|"&amp;TEXT(AJ66,"0.00000")</f>
        <v>1|1|10|-999.00000</v>
      </c>
      <c r="AN66" s="21" t="str">
        <f aca="false">C66&amp;"|"&amp;E66&amp;"|"&amp;G66&amp;"|"&amp;TEXT(AK66,"0.00000")</f>
        <v>1|1|10|-999.00000</v>
      </c>
      <c r="AO66" s="21" t="str">
        <f aca="false">C66&amp;"|"&amp;E66&amp;"|"&amp;G66&amp;"|"&amp;TEXT(AL66,"0.00000")</f>
        <v>1|1|10|-999.00000</v>
      </c>
    </row>
    <row r="67" customFormat="false" ht="15" hidden="false" customHeight="false" outlineLevel="0" collapsed="false">
      <c r="A67" s="20" t="n">
        <v>3</v>
      </c>
      <c r="B67" s="18" t="str">
        <f aca="false">INDEX(C_Name,A67)</f>
        <v>문래자이 84㎡</v>
      </c>
      <c r="C67" s="20" t="n">
        <v>1</v>
      </c>
      <c r="D67" s="21" t="str">
        <f aca="false">CHOOSE(C67,"1안 표준형(대출 최대)","2안 절충형(대출 50%)","3안 무대출형","4안 임대차 승계 후 입주","5안 매수 보류(전세 거주)")</f>
        <v>1안 표준형(대출 최대)</v>
      </c>
      <c r="E67" s="20" t="n">
        <v>2</v>
      </c>
      <c r="F67" s="10" t="n">
        <f aca="false">CHOOSE(E67,GrowLo,GrowMid,GrowHi)</f>
        <v>0.04</v>
      </c>
      <c r="G67" s="20" t="n">
        <v>5</v>
      </c>
      <c r="H67" s="18" t="n">
        <f aca="false">INDEX(C_Price,A67)</f>
        <v>19.5</v>
      </c>
      <c r="I67" s="18" t="n">
        <f aca="false">INDEX(C_Jeonse,A67)</f>
        <v>10.14</v>
      </c>
      <c r="J67" s="21" t="n">
        <f aca="false">IF(C67=5,0,IF(C67=1,INDEX(C_Loan,A67),IF(C67=2,INDEX(C_Loan,A67)*LoanShare2,IF(C67=3,0,MIN(INDEX(C_Loan,A67),I67)))))</f>
        <v>4</v>
      </c>
      <c r="K67" s="18" t="n">
        <f aca="false">IF(C67=5,0,INDEX(C_Acq,A67))</f>
        <v>0.6435</v>
      </c>
      <c r="L67" s="18" t="n">
        <f aca="false">IF(C67=5,0,INDEX(C_Fee,A67))</f>
        <v>0.17015</v>
      </c>
      <c r="M67" s="21" t="n">
        <f aca="false">IF(C67=4,MAX(0,I67-J67),0)</f>
        <v>0</v>
      </c>
      <c r="N67" s="21" t="n">
        <f aca="false">IF(C67=5,I67,IF(C67=4,(H67-I67)+K67+L67+M67,H67-J67+K67+L67))</f>
        <v>16.31365</v>
      </c>
      <c r="O67" s="20" t="n">
        <f aca="false">IF(C67=4,RentYears,0)</f>
        <v>0</v>
      </c>
      <c r="P67" s="20" t="n">
        <f aca="false">IF(C67=5,0,MAX(0,G67-O67-NonRes))</f>
        <v>5</v>
      </c>
      <c r="Q67" s="21" t="n">
        <f aca="false">IF(C67=5,0,H67*(1+F67)^G67)</f>
        <v>23.7247315968</v>
      </c>
      <c r="R67" s="21" t="n">
        <f aca="false">IF(C67=5,0,Q67*LOOKUP(Q67,FeeLo,FeeR)*(1+VAT))</f>
        <v>0.18268043329536</v>
      </c>
      <c r="S67" s="21" t="n">
        <f aca="false">IF(J67&gt;0,-CUMIPMT(Rm,LoanYears*12,J67,1,(G67-O67)*12,0),0)</f>
        <v>0.76369723456074</v>
      </c>
      <c r="T67" s="29" t="n">
        <f aca="false">IF(C67=5,0,SUMIFS(Sch_Total,Sch_Idx,A67,Sch_Scen,E67,Sch_Year,"&lt;="&amp;G67))</f>
        <v>0.279656858727936</v>
      </c>
      <c r="U67" s="21" t="n">
        <f aca="false">K67+L67+R67</f>
        <v>0.99633043329536</v>
      </c>
      <c r="V67" s="21" t="n">
        <f aca="false">IF(C67=5,0,Q67-H67-U67)</f>
        <v>3.22840116350464</v>
      </c>
      <c r="W67" s="21" t="n">
        <f aca="false">IF(C67=5,0,MAX(0,IF(P67&gt;=2,IF(Q67&gt;Exempt,V67*(Q67-Exempt)/Q67,0),V67)))</f>
        <v>1.59547166948748</v>
      </c>
      <c r="X67" s="10" t="n">
        <f aca="false">IF(P67&gt;=2,MIN(MaxDed,MIN(0.4,HoldRate*G67)+MIN(0.4,LiveRate*P67)),IF(G67&gt;=3,MIN(0.3,0.02*G67),0))</f>
        <v>0.4</v>
      </c>
      <c r="Y67" s="21" t="n">
        <f aca="false">MAX(0,W67*(1-X67)-InitDed)</f>
        <v>0.932283001692485</v>
      </c>
      <c r="Z67" s="29" t="n">
        <f aca="false">SUMPRODUCT((Y67&gt;CLo)*(Y67-CLo)*CD)*(1+LocalTax)</f>
        <v>0.189088955651607</v>
      </c>
      <c r="AA67" s="21" t="n">
        <f aca="false">K67+T67+Z67</f>
        <v>1.11224581437954</v>
      </c>
      <c r="AB67" s="29" t="n">
        <f aca="false">IF(C67=5,0,(Q67-H67)-K67-L67-R67-S67-T67-Z67)</f>
        <v>1.99595811456436</v>
      </c>
      <c r="AC67" s="21" t="n">
        <f aca="false">IF(C67=5,0,N67*((1+DepRate*(1-DepTax))^G67-1))</f>
        <v>2.17798668245584</v>
      </c>
      <c r="AD67" s="29" t="n">
        <f aca="false">IF(C67=5,0,AB67-AC67+I67*(((1+DepRate*(1-DepTax))^G67-1)-((1+DepRate*(1-DepTax))^O67-1)))</f>
        <v>1.17173254382185</v>
      </c>
      <c r="AE67" s="30" t="n">
        <f aca="false">IF(J67&gt;0,-PMT(Rm,LoanYears*12,J67)*10000,0)</f>
        <v>190.966118186184</v>
      </c>
      <c r="AF67" s="21" t="n">
        <f aca="false">IF(J67&gt;0,-PMT((Rate+Stress)/12,LoanYears*12,J67)*12/DSR,0)</f>
        <v>0.79836299421502</v>
      </c>
      <c r="AG67" s="20" t="n">
        <f aca="false">IF(N67&lt;=CapA,1,0)</f>
        <v>0</v>
      </c>
      <c r="AH67" s="20" t="n">
        <f aca="false">IF(N67&lt;=CapB,1,0)</f>
        <v>0</v>
      </c>
      <c r="AI67" s="20" t="n">
        <f aca="false">IF(N67&lt;=CapC,1,0)</f>
        <v>0</v>
      </c>
      <c r="AJ67" s="21" t="n">
        <f aca="false">IF(AG67=1,AD67,-999)</f>
        <v>-999</v>
      </c>
      <c r="AK67" s="21" t="n">
        <f aca="false">IF(AH67=1,AD67,-999)</f>
        <v>-999</v>
      </c>
      <c r="AL67" s="21" t="n">
        <f aca="false">IF(AI67=1,AD67,-999)</f>
        <v>-999</v>
      </c>
      <c r="AM67" s="21" t="str">
        <f aca="false">C67&amp;"|"&amp;E67&amp;"|"&amp;G67&amp;"|"&amp;TEXT(AJ67,"0.00000")</f>
        <v>1|2|5|-999.00000</v>
      </c>
      <c r="AN67" s="21" t="str">
        <f aca="false">C67&amp;"|"&amp;E67&amp;"|"&amp;G67&amp;"|"&amp;TEXT(AK67,"0.00000")</f>
        <v>1|2|5|-999.00000</v>
      </c>
      <c r="AO67" s="21" t="str">
        <f aca="false">C67&amp;"|"&amp;E67&amp;"|"&amp;G67&amp;"|"&amp;TEXT(AL67,"0.00000")</f>
        <v>1|2|5|-999.00000</v>
      </c>
    </row>
    <row r="68" customFormat="false" ht="15" hidden="false" customHeight="false" outlineLevel="0" collapsed="false">
      <c r="A68" s="20" t="n">
        <v>3</v>
      </c>
      <c r="B68" s="18" t="str">
        <f aca="false">INDEX(C_Name,A68)</f>
        <v>문래자이 84㎡</v>
      </c>
      <c r="C68" s="20" t="n">
        <v>1</v>
      </c>
      <c r="D68" s="21" t="str">
        <f aca="false">CHOOSE(C68,"1안 표준형(대출 최대)","2안 절충형(대출 50%)","3안 무대출형","4안 임대차 승계 후 입주","5안 매수 보류(전세 거주)")</f>
        <v>1안 표준형(대출 최대)</v>
      </c>
      <c r="E68" s="20" t="n">
        <v>2</v>
      </c>
      <c r="F68" s="10" t="n">
        <f aca="false">CHOOSE(E68,GrowLo,GrowMid,GrowHi)</f>
        <v>0.04</v>
      </c>
      <c r="G68" s="20" t="n">
        <v>10</v>
      </c>
      <c r="H68" s="18" t="n">
        <f aca="false">INDEX(C_Price,A68)</f>
        <v>19.5</v>
      </c>
      <c r="I68" s="18" t="n">
        <f aca="false">INDEX(C_Jeonse,A68)</f>
        <v>10.14</v>
      </c>
      <c r="J68" s="21" t="n">
        <f aca="false">IF(C68=5,0,IF(C68=1,INDEX(C_Loan,A68),IF(C68=2,INDEX(C_Loan,A68)*LoanShare2,IF(C68=3,0,MIN(INDEX(C_Loan,A68),I68)))))</f>
        <v>4</v>
      </c>
      <c r="K68" s="18" t="n">
        <f aca="false">IF(C68=5,0,INDEX(C_Acq,A68))</f>
        <v>0.6435</v>
      </c>
      <c r="L68" s="18" t="n">
        <f aca="false">IF(C68=5,0,INDEX(C_Fee,A68))</f>
        <v>0.17015</v>
      </c>
      <c r="M68" s="21" t="n">
        <f aca="false">IF(C68=4,MAX(0,I68-J68),0)</f>
        <v>0</v>
      </c>
      <c r="N68" s="21" t="n">
        <f aca="false">IF(C68=5,I68,IF(C68=4,(H68-I68)+K68+L68+M68,H68-J68+K68+L68))</f>
        <v>16.31365</v>
      </c>
      <c r="O68" s="20" t="n">
        <f aca="false">IF(C68=4,RentYears,0)</f>
        <v>0</v>
      </c>
      <c r="P68" s="20" t="n">
        <f aca="false">IF(C68=5,0,MAX(0,G68-O68-NonRes))</f>
        <v>10</v>
      </c>
      <c r="Q68" s="21" t="n">
        <f aca="false">IF(C68=5,0,H68*(1+F68)^G68)</f>
        <v>28.8647635559077</v>
      </c>
      <c r="R68" s="21" t="n">
        <f aca="false">IF(C68=5,0,Q68*LOOKUP(Q68,FeeLo,FeeR)*(1+VAT))</f>
        <v>0.222258679380489</v>
      </c>
      <c r="S68" s="21" t="n">
        <f aca="false">IF(J68&gt;0,-CUMIPMT(Rm,LoanYears*12,J68,1,(G68-O68)*12,0),0)</f>
        <v>1.44295178669745</v>
      </c>
      <c r="T68" s="29" t="n">
        <f aca="false">IF(C68=5,0,SUMIFS(Sch_Total,Sch_Idx,A68,Sch_Scen,E68,Sch_Year,"&lt;="&amp;G68))</f>
        <v>0.681074194754121</v>
      </c>
      <c r="U68" s="21" t="n">
        <f aca="false">K68+L68+R68</f>
        <v>1.03590867938049</v>
      </c>
      <c r="V68" s="21" t="n">
        <f aca="false">IF(C68=5,0,Q68-H68-U68)</f>
        <v>8.32885487652723</v>
      </c>
      <c r="W68" s="21" t="n">
        <f aca="false">IF(C68=5,0,MAX(0,IF(P68&gt;=2,IF(Q68&gt;Exempt,V68*(Q68-Exempt)/Q68,0),V68)))</f>
        <v>4.86628507841534</v>
      </c>
      <c r="X68" s="10" t="n">
        <f aca="false">IF(P68&gt;=2,MIN(MaxDed,MIN(0.4,HoldRate*G68)+MIN(0.4,LiveRate*P68)),IF(G68&gt;=3,MIN(0.3,0.02*G68),0))</f>
        <v>0.8</v>
      </c>
      <c r="Y68" s="21" t="n">
        <f aca="false">MAX(0,W68*(1-X68)-InitDed)</f>
        <v>0.948257015683068</v>
      </c>
      <c r="Z68" s="29" t="n">
        <f aca="false">SUMPRODUCT((Y68&gt;CLo)*(Y68-CLo)*CD)*(1+LocalTax)</f>
        <v>0.195238951037981</v>
      </c>
      <c r="AA68" s="21" t="n">
        <f aca="false">K68+T68+Z68</f>
        <v>1.5198131457921</v>
      </c>
      <c r="AB68" s="29" t="n">
        <f aca="false">IF(C68=5,0,(Q68-H68)-K68-L68-R68-S68-T68-Z68)</f>
        <v>6.00958994403767</v>
      </c>
      <c r="AC68" s="21" t="n">
        <f aca="false">IF(C68=5,0,N68*((1+DepRate*(1-DepTax))^G68-1))</f>
        <v>4.64674986121723</v>
      </c>
      <c r="AD68" s="29" t="n">
        <f aca="false">IF(C68=5,0,AB68-AC68+I68*(((1+DepRate*(1-DepTax))^G68-1)-((1+DepRate*(1-DepTax))^O68-1)))</f>
        <v>4.25109890857328</v>
      </c>
      <c r="AE68" s="30" t="n">
        <f aca="false">IF(J68&gt;0,-PMT(Rm,LoanYears*12,J68)*10000,0)</f>
        <v>190.966118186184</v>
      </c>
      <c r="AF68" s="21" t="n">
        <f aca="false">IF(J68&gt;0,-PMT((Rate+Stress)/12,LoanYears*12,J68)*12/DSR,0)</f>
        <v>0.79836299421502</v>
      </c>
      <c r="AG68" s="20" t="n">
        <f aca="false">IF(N68&lt;=CapA,1,0)</f>
        <v>0</v>
      </c>
      <c r="AH68" s="20" t="n">
        <f aca="false">IF(N68&lt;=CapB,1,0)</f>
        <v>0</v>
      </c>
      <c r="AI68" s="20" t="n">
        <f aca="false">IF(N68&lt;=CapC,1,0)</f>
        <v>0</v>
      </c>
      <c r="AJ68" s="21" t="n">
        <f aca="false">IF(AG68=1,AD68,-999)</f>
        <v>-999</v>
      </c>
      <c r="AK68" s="21" t="n">
        <f aca="false">IF(AH68=1,AD68,-999)</f>
        <v>-999</v>
      </c>
      <c r="AL68" s="21" t="n">
        <f aca="false">IF(AI68=1,AD68,-999)</f>
        <v>-999</v>
      </c>
      <c r="AM68" s="21" t="str">
        <f aca="false">C68&amp;"|"&amp;E68&amp;"|"&amp;G68&amp;"|"&amp;TEXT(AJ68,"0.00000")</f>
        <v>1|2|10|-999.00000</v>
      </c>
      <c r="AN68" s="21" t="str">
        <f aca="false">C68&amp;"|"&amp;E68&amp;"|"&amp;G68&amp;"|"&amp;TEXT(AK68,"0.00000")</f>
        <v>1|2|10|-999.00000</v>
      </c>
      <c r="AO68" s="21" t="str">
        <f aca="false">C68&amp;"|"&amp;E68&amp;"|"&amp;G68&amp;"|"&amp;TEXT(AL68,"0.00000")</f>
        <v>1|2|10|-999.00000</v>
      </c>
    </row>
    <row r="69" customFormat="false" ht="15" hidden="false" customHeight="false" outlineLevel="0" collapsed="false">
      <c r="A69" s="20" t="n">
        <v>3</v>
      </c>
      <c r="B69" s="18" t="str">
        <f aca="false">INDEX(C_Name,A69)</f>
        <v>문래자이 84㎡</v>
      </c>
      <c r="C69" s="20" t="n">
        <v>1</v>
      </c>
      <c r="D69" s="21" t="str">
        <f aca="false">CHOOSE(C69,"1안 표준형(대출 최대)","2안 절충형(대출 50%)","3안 무대출형","4안 임대차 승계 후 입주","5안 매수 보류(전세 거주)")</f>
        <v>1안 표준형(대출 최대)</v>
      </c>
      <c r="E69" s="20" t="n">
        <v>3</v>
      </c>
      <c r="F69" s="10" t="n">
        <f aca="false">CHOOSE(E69,GrowLo,GrowMid,GrowHi)</f>
        <v>0.06</v>
      </c>
      <c r="G69" s="20" t="n">
        <v>5</v>
      </c>
      <c r="H69" s="18" t="n">
        <f aca="false">INDEX(C_Price,A69)</f>
        <v>19.5</v>
      </c>
      <c r="I69" s="18" t="n">
        <f aca="false">INDEX(C_Jeonse,A69)</f>
        <v>10.14</v>
      </c>
      <c r="J69" s="21" t="n">
        <f aca="false">IF(C69=5,0,IF(C69=1,INDEX(C_Loan,A69),IF(C69=2,INDEX(C_Loan,A69)*LoanShare2,IF(C69=3,0,MIN(INDEX(C_Loan,A69),I69)))))</f>
        <v>4</v>
      </c>
      <c r="K69" s="18" t="n">
        <f aca="false">IF(C69=5,0,INDEX(C_Acq,A69))</f>
        <v>0.6435</v>
      </c>
      <c r="L69" s="18" t="n">
        <f aca="false">IF(C69=5,0,INDEX(C_Fee,A69))</f>
        <v>0.17015</v>
      </c>
      <c r="M69" s="21" t="n">
        <f aca="false">IF(C69=4,MAX(0,I69-J69),0)</f>
        <v>0</v>
      </c>
      <c r="N69" s="21" t="n">
        <f aca="false">IF(C69=5,I69,IF(C69=4,(H69-I69)+K69+L69+M69,H69-J69+K69+L69))</f>
        <v>16.31365</v>
      </c>
      <c r="O69" s="20" t="n">
        <f aca="false">IF(C69=4,RentYears,0)</f>
        <v>0</v>
      </c>
      <c r="P69" s="20" t="n">
        <f aca="false">IF(C69=5,0,MAX(0,G69-O69-NonRes))</f>
        <v>5</v>
      </c>
      <c r="Q69" s="21" t="n">
        <f aca="false">IF(C69=5,0,H69*(1+F69)^G69)</f>
        <v>26.0953987632</v>
      </c>
      <c r="R69" s="21" t="n">
        <f aca="false">IF(C69=5,0,Q69*LOOKUP(Q69,FeeLo,FeeR)*(1+VAT))</f>
        <v>0.20093457047664</v>
      </c>
      <c r="S69" s="21" t="n">
        <f aca="false">IF(J69&gt;0,-CUMIPMT(Rm,LoanYears*12,J69,1,(G69-O69)*12,0),0)</f>
        <v>0.76369723456074</v>
      </c>
      <c r="T69" s="29" t="n">
        <f aca="false">IF(C69=5,0,SUMIFS(Sch_Total,Sch_Idx,A69,Sch_Scen,E69,Sch_Year,"&lt;="&amp;G69))</f>
        <v>0.301400667886176</v>
      </c>
      <c r="U69" s="21" t="n">
        <f aca="false">K69+L69+R69</f>
        <v>1.01458457047664</v>
      </c>
      <c r="V69" s="21" t="n">
        <f aca="false">IF(C69=5,0,Q69-H69-U69)</f>
        <v>5.58081419272337</v>
      </c>
      <c r="W69" s="21" t="n">
        <f aca="false">IF(C69=5,0,MAX(0,IF(P69&gt;=2,IF(Q69&gt;Exempt,V69*(Q69-Exempt)/Q69,0),V69)))</f>
        <v>3.01447018240988</v>
      </c>
      <c r="X69" s="10" t="n">
        <f aca="false">IF(P69&gt;=2,MIN(MaxDed,MIN(0.4,HoldRate*G69)+MIN(0.4,LiveRate*P69)),IF(G69&gt;=3,MIN(0.3,0.02*G69),0))</f>
        <v>0.4</v>
      </c>
      <c r="Y69" s="21" t="n">
        <f aca="false">MAX(0,W69*(1-X69)-InitDed)</f>
        <v>1.78368210944593</v>
      </c>
      <c r="Z69" s="29" t="n">
        <f aca="false">SUMPRODUCT((Y69&gt;CLo)*(Y69-CLo)*CD)*(1+LocalTax)</f>
        <v>0.526239121748397</v>
      </c>
      <c r="AA69" s="21" t="n">
        <f aca="false">K69+T69+Z69</f>
        <v>1.47113978963457</v>
      </c>
      <c r="AB69" s="29" t="n">
        <f aca="false">IF(C69=5,0,(Q69-H69)-K69-L69-R69-S69-T69-Z69)</f>
        <v>3.98947716852805</v>
      </c>
      <c r="AC69" s="21" t="n">
        <f aca="false">IF(C69=5,0,N69*((1+DepRate*(1-DepTax))^G69-1))</f>
        <v>2.17798668245584</v>
      </c>
      <c r="AD69" s="29" t="n">
        <f aca="false">IF(C69=5,0,AB69-AC69+I69*(((1+DepRate*(1-DepTax))^G69-1)-((1+DepRate*(1-DepTax))^O69-1)))</f>
        <v>3.16525159778555</v>
      </c>
      <c r="AE69" s="30" t="n">
        <f aca="false">IF(J69&gt;0,-PMT(Rm,LoanYears*12,J69)*10000,0)</f>
        <v>190.966118186184</v>
      </c>
      <c r="AF69" s="21" t="n">
        <f aca="false">IF(J69&gt;0,-PMT((Rate+Stress)/12,LoanYears*12,J69)*12/DSR,0)</f>
        <v>0.79836299421502</v>
      </c>
      <c r="AG69" s="20" t="n">
        <f aca="false">IF(N69&lt;=CapA,1,0)</f>
        <v>0</v>
      </c>
      <c r="AH69" s="20" t="n">
        <f aca="false">IF(N69&lt;=CapB,1,0)</f>
        <v>0</v>
      </c>
      <c r="AI69" s="20" t="n">
        <f aca="false">IF(N69&lt;=CapC,1,0)</f>
        <v>0</v>
      </c>
      <c r="AJ69" s="21" t="n">
        <f aca="false">IF(AG69=1,AD69,-999)</f>
        <v>-999</v>
      </c>
      <c r="AK69" s="21" t="n">
        <f aca="false">IF(AH69=1,AD69,-999)</f>
        <v>-999</v>
      </c>
      <c r="AL69" s="21" t="n">
        <f aca="false">IF(AI69=1,AD69,-999)</f>
        <v>-999</v>
      </c>
      <c r="AM69" s="21" t="str">
        <f aca="false">C69&amp;"|"&amp;E69&amp;"|"&amp;G69&amp;"|"&amp;TEXT(AJ69,"0.00000")</f>
        <v>1|3|5|-999.00000</v>
      </c>
      <c r="AN69" s="21" t="str">
        <f aca="false">C69&amp;"|"&amp;E69&amp;"|"&amp;G69&amp;"|"&amp;TEXT(AK69,"0.00000")</f>
        <v>1|3|5|-999.00000</v>
      </c>
      <c r="AO69" s="21" t="str">
        <f aca="false">C69&amp;"|"&amp;E69&amp;"|"&amp;G69&amp;"|"&amp;TEXT(AL69,"0.00000")</f>
        <v>1|3|5|-999.00000</v>
      </c>
    </row>
    <row r="70" customFormat="false" ht="15" hidden="false" customHeight="false" outlineLevel="0" collapsed="false">
      <c r="A70" s="20" t="n">
        <v>3</v>
      </c>
      <c r="B70" s="18" t="str">
        <f aca="false">INDEX(C_Name,A70)</f>
        <v>문래자이 84㎡</v>
      </c>
      <c r="C70" s="20" t="n">
        <v>1</v>
      </c>
      <c r="D70" s="21" t="str">
        <f aca="false">CHOOSE(C70,"1안 표준형(대출 최대)","2안 절충형(대출 50%)","3안 무대출형","4안 임대차 승계 후 입주","5안 매수 보류(전세 거주)")</f>
        <v>1안 표준형(대출 최대)</v>
      </c>
      <c r="E70" s="20" t="n">
        <v>3</v>
      </c>
      <c r="F70" s="10" t="n">
        <f aca="false">CHOOSE(E70,GrowLo,GrowMid,GrowHi)</f>
        <v>0.06</v>
      </c>
      <c r="G70" s="20" t="n">
        <v>10</v>
      </c>
      <c r="H70" s="18" t="n">
        <f aca="false">INDEX(C_Price,A70)</f>
        <v>19.5</v>
      </c>
      <c r="I70" s="18" t="n">
        <f aca="false">INDEX(C_Jeonse,A70)</f>
        <v>10.14</v>
      </c>
      <c r="J70" s="21" t="n">
        <f aca="false">IF(C70=5,0,IF(C70=1,INDEX(C_Loan,A70),IF(C70=2,INDEX(C_Loan,A70)*LoanShare2,IF(C70=3,0,MIN(INDEX(C_Loan,A70),I70)))))</f>
        <v>4</v>
      </c>
      <c r="K70" s="18" t="n">
        <f aca="false">IF(C70=5,0,INDEX(C_Acq,A70))</f>
        <v>0.6435</v>
      </c>
      <c r="L70" s="18" t="n">
        <f aca="false">IF(C70=5,0,INDEX(C_Fee,A70))</f>
        <v>0.17015</v>
      </c>
      <c r="M70" s="21" t="n">
        <f aca="false">IF(C70=4,MAX(0,I70-J70),0)</f>
        <v>0</v>
      </c>
      <c r="N70" s="21" t="n">
        <f aca="false">IF(C70=5,I70,IF(C70=4,(H70-I70)+K70+L70+M70,H70-J70+K70+L70))</f>
        <v>16.31365</v>
      </c>
      <c r="O70" s="20" t="n">
        <f aca="false">IF(C70=4,RentYears,0)</f>
        <v>0</v>
      </c>
      <c r="P70" s="20" t="n">
        <f aca="false">IF(C70=5,0,MAX(0,G70-O70-NonRes))</f>
        <v>10</v>
      </c>
      <c r="Q70" s="21" t="n">
        <f aca="false">IF(C70=5,0,H70*(1+F70)^G70)</f>
        <v>34.9215300825857</v>
      </c>
      <c r="R70" s="21" t="n">
        <f aca="false">IF(C70=5,0,Q70*LOOKUP(Q70,FeeLo,FeeR)*(1+VAT))</f>
        <v>0.26889578163591</v>
      </c>
      <c r="S70" s="21" t="n">
        <f aca="false">IF(J70&gt;0,-CUMIPMT(Rm,LoanYears*12,J70,1,(G70-O70)*12,0),0)</f>
        <v>1.44295178669745</v>
      </c>
      <c r="T70" s="29" t="n">
        <f aca="false">IF(C70=5,0,SUMIFS(Sch_Total,Sch_Idx,A70,Sch_Scen,E70,Sch_Year,"&lt;="&amp;G70))</f>
        <v>0.81592612609079</v>
      </c>
      <c r="U70" s="21" t="n">
        <f aca="false">K70+L70+R70</f>
        <v>1.08254578163591</v>
      </c>
      <c r="V70" s="21" t="n">
        <f aca="false">IF(C70=5,0,Q70-H70-U70)</f>
        <v>14.3389843009498</v>
      </c>
      <c r="W70" s="21" t="n">
        <f aca="false">IF(C70=5,0,MAX(0,IF(P70&gt;=2,IF(Q70&gt;Exempt,V70*(Q70-Exempt)/Q70,0),V70)))</f>
        <v>9.411714184077</v>
      </c>
      <c r="X70" s="10" t="n">
        <f aca="false">IF(P70&gt;=2,MIN(MaxDed,MIN(0.4,HoldRate*G70)+MIN(0.4,LiveRate*P70)),IF(G70&gt;=3,MIN(0.3,0.02*G70),0))</f>
        <v>0.8</v>
      </c>
      <c r="Y70" s="21" t="n">
        <f aca="false">MAX(0,W70*(1-X70)-InitDed)</f>
        <v>1.8573428368154</v>
      </c>
      <c r="Z70" s="29" t="n">
        <f aca="false">SUMPRODUCT((Y70&gt;CLo)*(Y70-CLo)*CD)*(1+LocalTax)</f>
        <v>0.557029305788837</v>
      </c>
      <c r="AA70" s="21" t="n">
        <f aca="false">K70+T70+Z70</f>
        <v>2.01645543187963</v>
      </c>
      <c r="AB70" s="29" t="n">
        <f aca="false">IF(C70=5,0,(Q70-H70)-K70-L70-R70-S70-T70-Z70)</f>
        <v>11.5230770823727</v>
      </c>
      <c r="AC70" s="21" t="n">
        <f aca="false">IF(C70=5,0,N70*((1+DepRate*(1-DepTax))^G70-1))</f>
        <v>4.64674986121723</v>
      </c>
      <c r="AD70" s="29" t="n">
        <f aca="false">IF(C70=5,0,AB70-AC70+I70*(((1+DepRate*(1-DepTax))^G70-1)-((1+DepRate*(1-DepTax))^O70-1)))</f>
        <v>9.76458604690828</v>
      </c>
      <c r="AE70" s="30" t="n">
        <f aca="false">IF(J70&gt;0,-PMT(Rm,LoanYears*12,J70)*10000,0)</f>
        <v>190.966118186184</v>
      </c>
      <c r="AF70" s="21" t="n">
        <f aca="false">IF(J70&gt;0,-PMT((Rate+Stress)/12,LoanYears*12,J70)*12/DSR,0)</f>
        <v>0.79836299421502</v>
      </c>
      <c r="AG70" s="20" t="n">
        <f aca="false">IF(N70&lt;=CapA,1,0)</f>
        <v>0</v>
      </c>
      <c r="AH70" s="20" t="n">
        <f aca="false">IF(N70&lt;=CapB,1,0)</f>
        <v>0</v>
      </c>
      <c r="AI70" s="20" t="n">
        <f aca="false">IF(N70&lt;=CapC,1,0)</f>
        <v>0</v>
      </c>
      <c r="AJ70" s="21" t="n">
        <f aca="false">IF(AG70=1,AD70,-999)</f>
        <v>-999</v>
      </c>
      <c r="AK70" s="21" t="n">
        <f aca="false">IF(AH70=1,AD70,-999)</f>
        <v>-999</v>
      </c>
      <c r="AL70" s="21" t="n">
        <f aca="false">IF(AI70=1,AD70,-999)</f>
        <v>-999</v>
      </c>
      <c r="AM70" s="21" t="str">
        <f aca="false">C70&amp;"|"&amp;E70&amp;"|"&amp;G70&amp;"|"&amp;TEXT(AJ70,"0.00000")</f>
        <v>1|3|10|-999.00000</v>
      </c>
      <c r="AN70" s="21" t="str">
        <f aca="false">C70&amp;"|"&amp;E70&amp;"|"&amp;G70&amp;"|"&amp;TEXT(AK70,"0.00000")</f>
        <v>1|3|10|-999.00000</v>
      </c>
      <c r="AO70" s="21" t="str">
        <f aca="false">C70&amp;"|"&amp;E70&amp;"|"&amp;G70&amp;"|"&amp;TEXT(AL70,"0.00000")</f>
        <v>1|3|10|-999.00000</v>
      </c>
    </row>
    <row r="71" customFormat="false" ht="15" hidden="false" customHeight="false" outlineLevel="0" collapsed="false">
      <c r="A71" s="20" t="n">
        <v>3</v>
      </c>
      <c r="B71" s="18" t="str">
        <f aca="false">INDEX(C_Name,A71)</f>
        <v>문래자이 84㎡</v>
      </c>
      <c r="C71" s="20" t="n">
        <v>2</v>
      </c>
      <c r="D71" s="21" t="str">
        <f aca="false">CHOOSE(C71,"1안 표준형(대출 최대)","2안 절충형(대출 50%)","3안 무대출형","4안 임대차 승계 후 입주","5안 매수 보류(전세 거주)")</f>
        <v>2안 절충형(대출 50%)</v>
      </c>
      <c r="E71" s="20" t="n">
        <v>1</v>
      </c>
      <c r="F71" s="10" t="n">
        <f aca="false">CHOOSE(E71,GrowLo,GrowMid,GrowHi)</f>
        <v>0.02</v>
      </c>
      <c r="G71" s="20" t="n">
        <v>5</v>
      </c>
      <c r="H71" s="18" t="n">
        <f aca="false">INDEX(C_Price,A71)</f>
        <v>19.5</v>
      </c>
      <c r="I71" s="18" t="n">
        <f aca="false">INDEX(C_Jeonse,A71)</f>
        <v>10.14</v>
      </c>
      <c r="J71" s="21" t="n">
        <f aca="false">IF(C71=5,0,IF(C71=1,INDEX(C_Loan,A71),IF(C71=2,INDEX(C_Loan,A71)*LoanShare2,IF(C71=3,0,MIN(INDEX(C_Loan,A71),I71)))))</f>
        <v>2</v>
      </c>
      <c r="K71" s="18" t="n">
        <f aca="false">IF(C71=5,0,INDEX(C_Acq,A71))</f>
        <v>0.6435</v>
      </c>
      <c r="L71" s="18" t="n">
        <f aca="false">IF(C71=5,0,INDEX(C_Fee,A71))</f>
        <v>0.17015</v>
      </c>
      <c r="M71" s="21" t="n">
        <f aca="false">IF(C71=4,MAX(0,I71-J71),0)</f>
        <v>0</v>
      </c>
      <c r="N71" s="21" t="n">
        <f aca="false">IF(C71=5,I71,IF(C71=4,(H71-I71)+K71+L71+M71,H71-J71+K71+L71))</f>
        <v>18.31365</v>
      </c>
      <c r="O71" s="20" t="n">
        <f aca="false">IF(C71=4,RentYears,0)</f>
        <v>0</v>
      </c>
      <c r="P71" s="20" t="n">
        <f aca="false">IF(C71=5,0,MAX(0,G71-O71-NonRes))</f>
        <v>5</v>
      </c>
      <c r="Q71" s="21" t="n">
        <f aca="false">IF(C71=5,0,H71*(1+F71)^G71)</f>
        <v>21.5295756624</v>
      </c>
      <c r="R71" s="21" t="n">
        <f aca="false">IF(C71=5,0,Q71*LOOKUP(Q71,FeeLo,FeeR)*(1+VAT))</f>
        <v>0.16577773260048</v>
      </c>
      <c r="S71" s="21" t="n">
        <f aca="false">IF(J71&gt;0,-CUMIPMT(Rm,LoanYears*12,J71,1,(G71-O71)*12,0),0)</f>
        <v>0.38184861728037</v>
      </c>
      <c r="T71" s="29" t="n">
        <f aca="false">IF(C71=5,0,SUMIFS(Sch_Total,Sch_Idx,A71,Sch_Scen,E71,Sch_Year,"&lt;="&amp;G71))</f>
        <v>0.258749037782496</v>
      </c>
      <c r="U71" s="21" t="n">
        <f aca="false">K71+L71+R71</f>
        <v>0.97942773260048</v>
      </c>
      <c r="V71" s="21" t="n">
        <f aca="false">IF(C71=5,0,Q71-H71-U71)</f>
        <v>1.05014792979952</v>
      </c>
      <c r="W71" s="21" t="n">
        <f aca="false">IF(C71=5,0,MAX(0,IF(P71&gt;=2,IF(Q71&gt;Exempt,V71*(Q71-Exempt)/Q71,0),V71)))</f>
        <v>0.464824031400425</v>
      </c>
      <c r="X71" s="10" t="n">
        <f aca="false">IF(P71&gt;=2,MIN(MaxDed,MIN(0.4,HoldRate*G71)+MIN(0.4,LiveRate*P71)),IF(G71&gt;=3,MIN(0.3,0.02*G71),0))</f>
        <v>0.4</v>
      </c>
      <c r="Y71" s="21" t="n">
        <f aca="false">MAX(0,W71*(1-X71)-InitDed)</f>
        <v>0.253894418840255</v>
      </c>
      <c r="Z71" s="29" t="n">
        <f aca="false">SUMPRODUCT((Y71&gt;CLo)*(Y71-CLo)*CD)*(1+LocalTax)</f>
        <v>0.0280325791086421</v>
      </c>
      <c r="AA71" s="21" t="n">
        <f aca="false">K71+T71+Z71</f>
        <v>0.930281616891138</v>
      </c>
      <c r="AB71" s="29" t="n">
        <f aca="false">IF(C71=5,0,(Q71-H71)-K71-L71-R71-S71-T71-Z71)</f>
        <v>0.381517695628011</v>
      </c>
      <c r="AC71" s="21" t="n">
        <f aca="false">IF(C71=5,0,N71*((1+DepRate*(1-DepTax))^G71-1))</f>
        <v>2.4450007084348</v>
      </c>
      <c r="AD71" s="29" t="n">
        <f aca="false">IF(C71=5,0,AB71-AC71+I71*(((1+DepRate*(1-DepTax))^G71-1)-((1+DepRate*(1-DepTax))^O71-1)))</f>
        <v>-0.709721901093458</v>
      </c>
      <c r="AE71" s="30" t="n">
        <f aca="false">IF(J71&gt;0,-PMT(Rm,LoanYears*12,J71)*10000,0)</f>
        <v>95.4830590930919</v>
      </c>
      <c r="AF71" s="21" t="n">
        <f aca="false">IF(J71&gt;0,-PMT((Rate+Stress)/12,LoanYears*12,J71)*12/DSR,0)</f>
        <v>0.39918149710751</v>
      </c>
      <c r="AG71" s="20" t="n">
        <f aca="false">IF(N71&lt;=CapA,1,0)</f>
        <v>0</v>
      </c>
      <c r="AH71" s="20" t="n">
        <f aca="false">IF(N71&lt;=CapB,1,0)</f>
        <v>0</v>
      </c>
      <c r="AI71" s="20" t="n">
        <f aca="false">IF(N71&lt;=CapC,1,0)</f>
        <v>0</v>
      </c>
      <c r="AJ71" s="21" t="n">
        <f aca="false">IF(AG71=1,AD71,-999)</f>
        <v>-999</v>
      </c>
      <c r="AK71" s="21" t="n">
        <f aca="false">IF(AH71=1,AD71,-999)</f>
        <v>-999</v>
      </c>
      <c r="AL71" s="21" t="n">
        <f aca="false">IF(AI71=1,AD71,-999)</f>
        <v>-999</v>
      </c>
      <c r="AM71" s="21" t="str">
        <f aca="false">C71&amp;"|"&amp;E71&amp;"|"&amp;G71&amp;"|"&amp;TEXT(AJ71,"0.00000")</f>
        <v>2|1|5|-999.00000</v>
      </c>
      <c r="AN71" s="21" t="str">
        <f aca="false">C71&amp;"|"&amp;E71&amp;"|"&amp;G71&amp;"|"&amp;TEXT(AK71,"0.00000")</f>
        <v>2|1|5|-999.00000</v>
      </c>
      <c r="AO71" s="21" t="str">
        <f aca="false">C71&amp;"|"&amp;E71&amp;"|"&amp;G71&amp;"|"&amp;TEXT(AL71,"0.00000")</f>
        <v>2|1|5|-999.00000</v>
      </c>
    </row>
    <row r="72" customFormat="false" ht="15" hidden="false" customHeight="false" outlineLevel="0" collapsed="false">
      <c r="A72" s="20" t="n">
        <v>3</v>
      </c>
      <c r="B72" s="18" t="str">
        <f aca="false">INDEX(C_Name,A72)</f>
        <v>문래자이 84㎡</v>
      </c>
      <c r="C72" s="20" t="n">
        <v>2</v>
      </c>
      <c r="D72" s="21" t="str">
        <f aca="false">CHOOSE(C72,"1안 표준형(대출 최대)","2안 절충형(대출 50%)","3안 무대출형","4안 임대차 승계 후 입주","5안 매수 보류(전세 거주)")</f>
        <v>2안 절충형(대출 50%)</v>
      </c>
      <c r="E72" s="20" t="n">
        <v>1</v>
      </c>
      <c r="F72" s="10" t="n">
        <f aca="false">CHOOSE(E72,GrowLo,GrowMid,GrowHi)</f>
        <v>0.02</v>
      </c>
      <c r="G72" s="20" t="n">
        <v>10</v>
      </c>
      <c r="H72" s="18" t="n">
        <f aca="false">INDEX(C_Price,A72)</f>
        <v>19.5</v>
      </c>
      <c r="I72" s="18" t="n">
        <f aca="false">INDEX(C_Jeonse,A72)</f>
        <v>10.14</v>
      </c>
      <c r="J72" s="21" t="n">
        <f aca="false">IF(C72=5,0,IF(C72=1,INDEX(C_Loan,A72),IF(C72=2,INDEX(C_Loan,A72)*LoanShare2,IF(C72=3,0,MIN(INDEX(C_Loan,A72),I72)))))</f>
        <v>2</v>
      </c>
      <c r="K72" s="18" t="n">
        <f aca="false">IF(C72=5,0,INDEX(C_Acq,A72))</f>
        <v>0.6435</v>
      </c>
      <c r="L72" s="18" t="n">
        <f aca="false">IF(C72=5,0,INDEX(C_Fee,A72))</f>
        <v>0.17015</v>
      </c>
      <c r="M72" s="21" t="n">
        <f aca="false">IF(C72=4,MAX(0,I72-J72),0)</f>
        <v>0</v>
      </c>
      <c r="N72" s="21" t="n">
        <f aca="false">IF(C72=5,I72,IF(C72=4,(H72-I72)+K72+L72+M72,H72-J72+K72+L72))</f>
        <v>18.31365</v>
      </c>
      <c r="O72" s="20" t="n">
        <f aca="false">IF(C72=4,RentYears,0)</f>
        <v>0</v>
      </c>
      <c r="P72" s="20" t="n">
        <f aca="false">IF(C72=5,0,MAX(0,G72-O72-NonRes))</f>
        <v>10</v>
      </c>
      <c r="Q72" s="21" t="n">
        <f aca="false">IF(C72=5,0,H72*(1+F72)^G72)</f>
        <v>23.7703911898978</v>
      </c>
      <c r="R72" s="21" t="n">
        <f aca="false">IF(C72=5,0,Q72*LOOKUP(Q72,FeeLo,FeeR)*(1+VAT))</f>
        <v>0.183032012162213</v>
      </c>
      <c r="S72" s="21" t="n">
        <f aca="false">IF(J72&gt;0,-CUMIPMT(Rm,LoanYears*12,J72,1,(G72-O72)*12,0),0)</f>
        <v>0.721475893348725</v>
      </c>
      <c r="T72" s="29" t="n">
        <f aca="false">IF(C72=5,0,SUMIFS(Sch_Total,Sch_Idx,A72,Sch_Scen,E72,Sch_Year,"&lt;="&amp;G72))</f>
        <v>0.570844591096781</v>
      </c>
      <c r="U72" s="21" t="n">
        <f aca="false">K72+L72+R72</f>
        <v>0.996682012162213</v>
      </c>
      <c r="V72" s="21" t="n">
        <f aca="false">IF(C72=5,0,Q72-H72-U72)</f>
        <v>3.27370917773556</v>
      </c>
      <c r="W72" s="21" t="n">
        <f aca="false">IF(C72=5,0,MAX(0,IF(P72&gt;=2,IF(Q72&gt;Exempt,V72*(Q72-Exempt)/Q72,0),V72)))</f>
        <v>1.62104348035645</v>
      </c>
      <c r="X72" s="10" t="n">
        <f aca="false">IF(P72&gt;=2,MIN(MaxDed,MIN(0.4,HoldRate*G72)+MIN(0.4,LiveRate*P72)),IF(G72&gt;=3,MIN(0.3,0.02*G72),0))</f>
        <v>0.8</v>
      </c>
      <c r="Y72" s="21" t="n">
        <f aca="false">MAX(0,W72*(1-X72)-InitDed)</f>
        <v>0.299208696071289</v>
      </c>
      <c r="Z72" s="29" t="n">
        <f aca="false">SUMPRODUCT((Y72&gt;CLo)*(Y72-CLo)*CD)*(1+LocalTax)</f>
        <v>0.0355094348517627</v>
      </c>
      <c r="AA72" s="21" t="n">
        <f aca="false">K72+T72+Z72</f>
        <v>1.24985402594854</v>
      </c>
      <c r="AB72" s="29" t="n">
        <f aca="false">IF(C72=5,0,(Q72-H72)-K72-L72-R72-S72-T72-Z72)</f>
        <v>1.94587925843829</v>
      </c>
      <c r="AC72" s="21" t="n">
        <f aca="false">IF(C72=5,0,N72*((1+DepRate*(1-DepTax))^G72-1))</f>
        <v>5.2164261582099</v>
      </c>
      <c r="AD72" s="29" t="n">
        <f aca="false">IF(C72=5,0,AB72-AC72+I72*(((1+DepRate*(1-DepTax))^G72-1)-((1+DepRate*(1-DepTax))^O72-1)))</f>
        <v>-0.382288074018778</v>
      </c>
      <c r="AE72" s="30" t="n">
        <f aca="false">IF(J72&gt;0,-PMT(Rm,LoanYears*12,J72)*10000,0)</f>
        <v>95.4830590930919</v>
      </c>
      <c r="AF72" s="21" t="n">
        <f aca="false">IF(J72&gt;0,-PMT((Rate+Stress)/12,LoanYears*12,J72)*12/DSR,0)</f>
        <v>0.39918149710751</v>
      </c>
      <c r="AG72" s="20" t="n">
        <f aca="false">IF(N72&lt;=CapA,1,0)</f>
        <v>0</v>
      </c>
      <c r="AH72" s="20" t="n">
        <f aca="false">IF(N72&lt;=CapB,1,0)</f>
        <v>0</v>
      </c>
      <c r="AI72" s="20" t="n">
        <f aca="false">IF(N72&lt;=CapC,1,0)</f>
        <v>0</v>
      </c>
      <c r="AJ72" s="21" t="n">
        <f aca="false">IF(AG72=1,AD72,-999)</f>
        <v>-999</v>
      </c>
      <c r="AK72" s="21" t="n">
        <f aca="false">IF(AH72=1,AD72,-999)</f>
        <v>-999</v>
      </c>
      <c r="AL72" s="21" t="n">
        <f aca="false">IF(AI72=1,AD72,-999)</f>
        <v>-999</v>
      </c>
      <c r="AM72" s="21" t="str">
        <f aca="false">C72&amp;"|"&amp;E72&amp;"|"&amp;G72&amp;"|"&amp;TEXT(AJ72,"0.00000")</f>
        <v>2|1|10|-999.00000</v>
      </c>
      <c r="AN72" s="21" t="str">
        <f aca="false">C72&amp;"|"&amp;E72&amp;"|"&amp;G72&amp;"|"&amp;TEXT(AK72,"0.00000")</f>
        <v>2|1|10|-999.00000</v>
      </c>
      <c r="AO72" s="21" t="str">
        <f aca="false">C72&amp;"|"&amp;E72&amp;"|"&amp;G72&amp;"|"&amp;TEXT(AL72,"0.00000")</f>
        <v>2|1|10|-999.00000</v>
      </c>
    </row>
    <row r="73" customFormat="false" ht="15" hidden="false" customHeight="false" outlineLevel="0" collapsed="false">
      <c r="A73" s="20" t="n">
        <v>3</v>
      </c>
      <c r="B73" s="18" t="str">
        <f aca="false">INDEX(C_Name,A73)</f>
        <v>문래자이 84㎡</v>
      </c>
      <c r="C73" s="20" t="n">
        <v>2</v>
      </c>
      <c r="D73" s="21" t="str">
        <f aca="false">CHOOSE(C73,"1안 표준형(대출 최대)","2안 절충형(대출 50%)","3안 무대출형","4안 임대차 승계 후 입주","5안 매수 보류(전세 거주)")</f>
        <v>2안 절충형(대출 50%)</v>
      </c>
      <c r="E73" s="20" t="n">
        <v>2</v>
      </c>
      <c r="F73" s="10" t="n">
        <f aca="false">CHOOSE(E73,GrowLo,GrowMid,GrowHi)</f>
        <v>0.04</v>
      </c>
      <c r="G73" s="20" t="n">
        <v>5</v>
      </c>
      <c r="H73" s="18" t="n">
        <f aca="false">INDEX(C_Price,A73)</f>
        <v>19.5</v>
      </c>
      <c r="I73" s="18" t="n">
        <f aca="false">INDEX(C_Jeonse,A73)</f>
        <v>10.14</v>
      </c>
      <c r="J73" s="21" t="n">
        <f aca="false">IF(C73=5,0,IF(C73=1,INDEX(C_Loan,A73),IF(C73=2,INDEX(C_Loan,A73)*LoanShare2,IF(C73=3,0,MIN(INDEX(C_Loan,A73),I73)))))</f>
        <v>2</v>
      </c>
      <c r="K73" s="18" t="n">
        <f aca="false">IF(C73=5,0,INDEX(C_Acq,A73))</f>
        <v>0.6435</v>
      </c>
      <c r="L73" s="18" t="n">
        <f aca="false">IF(C73=5,0,INDEX(C_Fee,A73))</f>
        <v>0.17015</v>
      </c>
      <c r="M73" s="21" t="n">
        <f aca="false">IF(C73=4,MAX(0,I73-J73),0)</f>
        <v>0</v>
      </c>
      <c r="N73" s="21" t="n">
        <f aca="false">IF(C73=5,I73,IF(C73=4,(H73-I73)+K73+L73+M73,H73-J73+K73+L73))</f>
        <v>18.31365</v>
      </c>
      <c r="O73" s="20" t="n">
        <f aca="false">IF(C73=4,RentYears,0)</f>
        <v>0</v>
      </c>
      <c r="P73" s="20" t="n">
        <f aca="false">IF(C73=5,0,MAX(0,G73-O73-NonRes))</f>
        <v>5</v>
      </c>
      <c r="Q73" s="21" t="n">
        <f aca="false">IF(C73=5,0,H73*(1+F73)^G73)</f>
        <v>23.7247315968</v>
      </c>
      <c r="R73" s="21" t="n">
        <f aca="false">IF(C73=5,0,Q73*LOOKUP(Q73,FeeLo,FeeR)*(1+VAT))</f>
        <v>0.18268043329536</v>
      </c>
      <c r="S73" s="21" t="n">
        <f aca="false">IF(J73&gt;0,-CUMIPMT(Rm,LoanYears*12,J73,1,(G73-O73)*12,0),0)</f>
        <v>0.38184861728037</v>
      </c>
      <c r="T73" s="29" t="n">
        <f aca="false">IF(C73=5,0,SUMIFS(Sch_Total,Sch_Idx,A73,Sch_Scen,E73,Sch_Year,"&lt;="&amp;G73))</f>
        <v>0.279656858727936</v>
      </c>
      <c r="U73" s="21" t="n">
        <f aca="false">K73+L73+R73</f>
        <v>0.99633043329536</v>
      </c>
      <c r="V73" s="21" t="n">
        <f aca="false">IF(C73=5,0,Q73-H73-U73)</f>
        <v>3.22840116350464</v>
      </c>
      <c r="W73" s="21" t="n">
        <f aca="false">IF(C73=5,0,MAX(0,IF(P73&gt;=2,IF(Q73&gt;Exempt,V73*(Q73-Exempt)/Q73,0),V73)))</f>
        <v>1.59547166948748</v>
      </c>
      <c r="X73" s="10" t="n">
        <f aca="false">IF(P73&gt;=2,MIN(MaxDed,MIN(0.4,HoldRate*G73)+MIN(0.4,LiveRate*P73)),IF(G73&gt;=3,MIN(0.3,0.02*G73),0))</f>
        <v>0.4</v>
      </c>
      <c r="Y73" s="21" t="n">
        <f aca="false">MAX(0,W73*(1-X73)-InitDed)</f>
        <v>0.932283001692485</v>
      </c>
      <c r="Z73" s="29" t="n">
        <f aca="false">SUMPRODUCT((Y73&gt;CLo)*(Y73-CLo)*CD)*(1+LocalTax)</f>
        <v>0.189088955651607</v>
      </c>
      <c r="AA73" s="21" t="n">
        <f aca="false">K73+T73+Z73</f>
        <v>1.11224581437954</v>
      </c>
      <c r="AB73" s="29" t="n">
        <f aca="false">IF(C73=5,0,(Q73-H73)-K73-L73-R73-S73-T73-Z73)</f>
        <v>2.37780673184473</v>
      </c>
      <c r="AC73" s="21" t="n">
        <f aca="false">IF(C73=5,0,N73*((1+DepRate*(1-DepTax))^G73-1))</f>
        <v>2.4450007084348</v>
      </c>
      <c r="AD73" s="29" t="n">
        <f aca="false">IF(C73=5,0,AB73-AC73+I73*(((1+DepRate*(1-DepTax))^G73-1)-((1+DepRate*(1-DepTax))^O73-1)))</f>
        <v>1.28656713512326</v>
      </c>
      <c r="AE73" s="30" t="n">
        <f aca="false">IF(J73&gt;0,-PMT(Rm,LoanYears*12,J73)*10000,0)</f>
        <v>95.4830590930919</v>
      </c>
      <c r="AF73" s="21" t="n">
        <f aca="false">IF(J73&gt;0,-PMT((Rate+Stress)/12,LoanYears*12,J73)*12/DSR,0)</f>
        <v>0.39918149710751</v>
      </c>
      <c r="AG73" s="20" t="n">
        <f aca="false">IF(N73&lt;=CapA,1,0)</f>
        <v>0</v>
      </c>
      <c r="AH73" s="20" t="n">
        <f aca="false">IF(N73&lt;=CapB,1,0)</f>
        <v>0</v>
      </c>
      <c r="AI73" s="20" t="n">
        <f aca="false">IF(N73&lt;=CapC,1,0)</f>
        <v>0</v>
      </c>
      <c r="AJ73" s="21" t="n">
        <f aca="false">IF(AG73=1,AD73,-999)</f>
        <v>-999</v>
      </c>
      <c r="AK73" s="21" t="n">
        <f aca="false">IF(AH73=1,AD73,-999)</f>
        <v>-999</v>
      </c>
      <c r="AL73" s="21" t="n">
        <f aca="false">IF(AI73=1,AD73,-999)</f>
        <v>-999</v>
      </c>
      <c r="AM73" s="21" t="str">
        <f aca="false">C73&amp;"|"&amp;E73&amp;"|"&amp;G73&amp;"|"&amp;TEXT(AJ73,"0.00000")</f>
        <v>2|2|5|-999.00000</v>
      </c>
      <c r="AN73" s="21" t="str">
        <f aca="false">C73&amp;"|"&amp;E73&amp;"|"&amp;G73&amp;"|"&amp;TEXT(AK73,"0.00000")</f>
        <v>2|2|5|-999.00000</v>
      </c>
      <c r="AO73" s="21" t="str">
        <f aca="false">C73&amp;"|"&amp;E73&amp;"|"&amp;G73&amp;"|"&amp;TEXT(AL73,"0.00000")</f>
        <v>2|2|5|-999.00000</v>
      </c>
    </row>
    <row r="74" customFormat="false" ht="15" hidden="false" customHeight="false" outlineLevel="0" collapsed="false">
      <c r="A74" s="20" t="n">
        <v>3</v>
      </c>
      <c r="B74" s="18" t="str">
        <f aca="false">INDEX(C_Name,A74)</f>
        <v>문래자이 84㎡</v>
      </c>
      <c r="C74" s="20" t="n">
        <v>2</v>
      </c>
      <c r="D74" s="21" t="str">
        <f aca="false">CHOOSE(C74,"1안 표준형(대출 최대)","2안 절충형(대출 50%)","3안 무대출형","4안 임대차 승계 후 입주","5안 매수 보류(전세 거주)")</f>
        <v>2안 절충형(대출 50%)</v>
      </c>
      <c r="E74" s="20" t="n">
        <v>2</v>
      </c>
      <c r="F74" s="10" t="n">
        <f aca="false">CHOOSE(E74,GrowLo,GrowMid,GrowHi)</f>
        <v>0.04</v>
      </c>
      <c r="G74" s="20" t="n">
        <v>10</v>
      </c>
      <c r="H74" s="18" t="n">
        <f aca="false">INDEX(C_Price,A74)</f>
        <v>19.5</v>
      </c>
      <c r="I74" s="18" t="n">
        <f aca="false">INDEX(C_Jeonse,A74)</f>
        <v>10.14</v>
      </c>
      <c r="J74" s="21" t="n">
        <f aca="false">IF(C74=5,0,IF(C74=1,INDEX(C_Loan,A74),IF(C74=2,INDEX(C_Loan,A74)*LoanShare2,IF(C74=3,0,MIN(INDEX(C_Loan,A74),I74)))))</f>
        <v>2</v>
      </c>
      <c r="K74" s="18" t="n">
        <f aca="false">IF(C74=5,0,INDEX(C_Acq,A74))</f>
        <v>0.6435</v>
      </c>
      <c r="L74" s="18" t="n">
        <f aca="false">IF(C74=5,0,INDEX(C_Fee,A74))</f>
        <v>0.17015</v>
      </c>
      <c r="M74" s="21" t="n">
        <f aca="false">IF(C74=4,MAX(0,I74-J74),0)</f>
        <v>0</v>
      </c>
      <c r="N74" s="21" t="n">
        <f aca="false">IF(C74=5,I74,IF(C74=4,(H74-I74)+K74+L74+M74,H74-J74+K74+L74))</f>
        <v>18.31365</v>
      </c>
      <c r="O74" s="20" t="n">
        <f aca="false">IF(C74=4,RentYears,0)</f>
        <v>0</v>
      </c>
      <c r="P74" s="20" t="n">
        <f aca="false">IF(C74=5,0,MAX(0,G74-O74-NonRes))</f>
        <v>10</v>
      </c>
      <c r="Q74" s="21" t="n">
        <f aca="false">IF(C74=5,0,H74*(1+F74)^G74)</f>
        <v>28.8647635559077</v>
      </c>
      <c r="R74" s="21" t="n">
        <f aca="false">IF(C74=5,0,Q74*LOOKUP(Q74,FeeLo,FeeR)*(1+VAT))</f>
        <v>0.222258679380489</v>
      </c>
      <c r="S74" s="21" t="n">
        <f aca="false">IF(J74&gt;0,-CUMIPMT(Rm,LoanYears*12,J74,1,(G74-O74)*12,0),0)</f>
        <v>0.721475893348725</v>
      </c>
      <c r="T74" s="29" t="n">
        <f aca="false">IF(C74=5,0,SUMIFS(Sch_Total,Sch_Idx,A74,Sch_Scen,E74,Sch_Year,"&lt;="&amp;G74))</f>
        <v>0.681074194754121</v>
      </c>
      <c r="U74" s="21" t="n">
        <f aca="false">K74+L74+R74</f>
        <v>1.03590867938049</v>
      </c>
      <c r="V74" s="21" t="n">
        <f aca="false">IF(C74=5,0,Q74-H74-U74)</f>
        <v>8.32885487652723</v>
      </c>
      <c r="W74" s="21" t="n">
        <f aca="false">IF(C74=5,0,MAX(0,IF(P74&gt;=2,IF(Q74&gt;Exempt,V74*(Q74-Exempt)/Q74,0),V74)))</f>
        <v>4.86628507841534</v>
      </c>
      <c r="X74" s="10" t="n">
        <f aca="false">IF(P74&gt;=2,MIN(MaxDed,MIN(0.4,HoldRate*G74)+MIN(0.4,LiveRate*P74)),IF(G74&gt;=3,MIN(0.3,0.02*G74),0))</f>
        <v>0.8</v>
      </c>
      <c r="Y74" s="21" t="n">
        <f aca="false">MAX(0,W74*(1-X74)-InitDed)</f>
        <v>0.948257015683068</v>
      </c>
      <c r="Z74" s="29" t="n">
        <f aca="false">SUMPRODUCT((Y74&gt;CLo)*(Y74-CLo)*CD)*(1+LocalTax)</f>
        <v>0.195238951037981</v>
      </c>
      <c r="AA74" s="21" t="n">
        <f aca="false">K74+T74+Z74</f>
        <v>1.5198131457921</v>
      </c>
      <c r="AB74" s="29" t="n">
        <f aca="false">IF(C74=5,0,(Q74-H74)-K74-L74-R74-S74-T74-Z74)</f>
        <v>6.7310658373864</v>
      </c>
      <c r="AC74" s="21" t="n">
        <f aca="false">IF(C74=5,0,N74*((1+DepRate*(1-DepTax))^G74-1))</f>
        <v>5.2164261582099</v>
      </c>
      <c r="AD74" s="29" t="n">
        <f aca="false">IF(C74=5,0,AB74-AC74+I74*(((1+DepRate*(1-DepTax))^G74-1)-((1+DepRate*(1-DepTax))^O74-1)))</f>
        <v>4.40289850492934</v>
      </c>
      <c r="AE74" s="30" t="n">
        <f aca="false">IF(J74&gt;0,-PMT(Rm,LoanYears*12,J74)*10000,0)</f>
        <v>95.4830590930919</v>
      </c>
      <c r="AF74" s="21" t="n">
        <f aca="false">IF(J74&gt;0,-PMT((Rate+Stress)/12,LoanYears*12,J74)*12/DSR,0)</f>
        <v>0.39918149710751</v>
      </c>
      <c r="AG74" s="20" t="n">
        <f aca="false">IF(N74&lt;=CapA,1,0)</f>
        <v>0</v>
      </c>
      <c r="AH74" s="20" t="n">
        <f aca="false">IF(N74&lt;=CapB,1,0)</f>
        <v>0</v>
      </c>
      <c r="AI74" s="20" t="n">
        <f aca="false">IF(N74&lt;=CapC,1,0)</f>
        <v>0</v>
      </c>
      <c r="AJ74" s="21" t="n">
        <f aca="false">IF(AG74=1,AD74,-999)</f>
        <v>-999</v>
      </c>
      <c r="AK74" s="21" t="n">
        <f aca="false">IF(AH74=1,AD74,-999)</f>
        <v>-999</v>
      </c>
      <c r="AL74" s="21" t="n">
        <f aca="false">IF(AI74=1,AD74,-999)</f>
        <v>-999</v>
      </c>
      <c r="AM74" s="21" t="str">
        <f aca="false">C74&amp;"|"&amp;E74&amp;"|"&amp;G74&amp;"|"&amp;TEXT(AJ74,"0.00000")</f>
        <v>2|2|10|-999.00000</v>
      </c>
      <c r="AN74" s="21" t="str">
        <f aca="false">C74&amp;"|"&amp;E74&amp;"|"&amp;G74&amp;"|"&amp;TEXT(AK74,"0.00000")</f>
        <v>2|2|10|-999.00000</v>
      </c>
      <c r="AO74" s="21" t="str">
        <f aca="false">C74&amp;"|"&amp;E74&amp;"|"&amp;G74&amp;"|"&amp;TEXT(AL74,"0.00000")</f>
        <v>2|2|10|-999.00000</v>
      </c>
    </row>
    <row r="75" customFormat="false" ht="15" hidden="false" customHeight="false" outlineLevel="0" collapsed="false">
      <c r="A75" s="20" t="n">
        <v>3</v>
      </c>
      <c r="B75" s="18" t="str">
        <f aca="false">INDEX(C_Name,A75)</f>
        <v>문래자이 84㎡</v>
      </c>
      <c r="C75" s="20" t="n">
        <v>2</v>
      </c>
      <c r="D75" s="21" t="str">
        <f aca="false">CHOOSE(C75,"1안 표준형(대출 최대)","2안 절충형(대출 50%)","3안 무대출형","4안 임대차 승계 후 입주","5안 매수 보류(전세 거주)")</f>
        <v>2안 절충형(대출 50%)</v>
      </c>
      <c r="E75" s="20" t="n">
        <v>3</v>
      </c>
      <c r="F75" s="10" t="n">
        <f aca="false">CHOOSE(E75,GrowLo,GrowMid,GrowHi)</f>
        <v>0.06</v>
      </c>
      <c r="G75" s="20" t="n">
        <v>5</v>
      </c>
      <c r="H75" s="18" t="n">
        <f aca="false">INDEX(C_Price,A75)</f>
        <v>19.5</v>
      </c>
      <c r="I75" s="18" t="n">
        <f aca="false">INDEX(C_Jeonse,A75)</f>
        <v>10.14</v>
      </c>
      <c r="J75" s="21" t="n">
        <f aca="false">IF(C75=5,0,IF(C75=1,INDEX(C_Loan,A75),IF(C75=2,INDEX(C_Loan,A75)*LoanShare2,IF(C75=3,0,MIN(INDEX(C_Loan,A75),I75)))))</f>
        <v>2</v>
      </c>
      <c r="K75" s="18" t="n">
        <f aca="false">IF(C75=5,0,INDEX(C_Acq,A75))</f>
        <v>0.6435</v>
      </c>
      <c r="L75" s="18" t="n">
        <f aca="false">IF(C75=5,0,INDEX(C_Fee,A75))</f>
        <v>0.17015</v>
      </c>
      <c r="M75" s="21" t="n">
        <f aca="false">IF(C75=4,MAX(0,I75-J75),0)</f>
        <v>0</v>
      </c>
      <c r="N75" s="21" t="n">
        <f aca="false">IF(C75=5,I75,IF(C75=4,(H75-I75)+K75+L75+M75,H75-J75+K75+L75))</f>
        <v>18.31365</v>
      </c>
      <c r="O75" s="20" t="n">
        <f aca="false">IF(C75=4,RentYears,0)</f>
        <v>0</v>
      </c>
      <c r="P75" s="20" t="n">
        <f aca="false">IF(C75=5,0,MAX(0,G75-O75-NonRes))</f>
        <v>5</v>
      </c>
      <c r="Q75" s="21" t="n">
        <f aca="false">IF(C75=5,0,H75*(1+F75)^G75)</f>
        <v>26.0953987632</v>
      </c>
      <c r="R75" s="21" t="n">
        <f aca="false">IF(C75=5,0,Q75*LOOKUP(Q75,FeeLo,FeeR)*(1+VAT))</f>
        <v>0.20093457047664</v>
      </c>
      <c r="S75" s="21" t="n">
        <f aca="false">IF(J75&gt;0,-CUMIPMT(Rm,LoanYears*12,J75,1,(G75-O75)*12,0),0)</f>
        <v>0.38184861728037</v>
      </c>
      <c r="T75" s="29" t="n">
        <f aca="false">IF(C75=5,0,SUMIFS(Sch_Total,Sch_Idx,A75,Sch_Scen,E75,Sch_Year,"&lt;="&amp;G75))</f>
        <v>0.301400667886176</v>
      </c>
      <c r="U75" s="21" t="n">
        <f aca="false">K75+L75+R75</f>
        <v>1.01458457047664</v>
      </c>
      <c r="V75" s="21" t="n">
        <f aca="false">IF(C75=5,0,Q75-H75-U75)</f>
        <v>5.58081419272337</v>
      </c>
      <c r="W75" s="21" t="n">
        <f aca="false">IF(C75=5,0,MAX(0,IF(P75&gt;=2,IF(Q75&gt;Exempt,V75*(Q75-Exempt)/Q75,0),V75)))</f>
        <v>3.01447018240988</v>
      </c>
      <c r="X75" s="10" t="n">
        <f aca="false">IF(P75&gt;=2,MIN(MaxDed,MIN(0.4,HoldRate*G75)+MIN(0.4,LiveRate*P75)),IF(G75&gt;=3,MIN(0.3,0.02*G75),0))</f>
        <v>0.4</v>
      </c>
      <c r="Y75" s="21" t="n">
        <f aca="false">MAX(0,W75*(1-X75)-InitDed)</f>
        <v>1.78368210944593</v>
      </c>
      <c r="Z75" s="29" t="n">
        <f aca="false">SUMPRODUCT((Y75&gt;CLo)*(Y75-CLo)*CD)*(1+LocalTax)</f>
        <v>0.526239121748397</v>
      </c>
      <c r="AA75" s="21" t="n">
        <f aca="false">K75+T75+Z75</f>
        <v>1.47113978963457</v>
      </c>
      <c r="AB75" s="29" t="n">
        <f aca="false">IF(C75=5,0,(Q75-H75)-K75-L75-R75-S75-T75-Z75)</f>
        <v>4.37132578580842</v>
      </c>
      <c r="AC75" s="21" t="n">
        <f aca="false">IF(C75=5,0,N75*((1+DepRate*(1-DepTax))^G75-1))</f>
        <v>2.4450007084348</v>
      </c>
      <c r="AD75" s="29" t="n">
        <f aca="false">IF(C75=5,0,AB75-AC75+I75*(((1+DepRate*(1-DepTax))^G75-1)-((1+DepRate*(1-DepTax))^O75-1)))</f>
        <v>3.28008618908696</v>
      </c>
      <c r="AE75" s="30" t="n">
        <f aca="false">IF(J75&gt;0,-PMT(Rm,LoanYears*12,J75)*10000,0)</f>
        <v>95.4830590930919</v>
      </c>
      <c r="AF75" s="21" t="n">
        <f aca="false">IF(J75&gt;0,-PMT((Rate+Stress)/12,LoanYears*12,J75)*12/DSR,0)</f>
        <v>0.39918149710751</v>
      </c>
      <c r="AG75" s="20" t="n">
        <f aca="false">IF(N75&lt;=CapA,1,0)</f>
        <v>0</v>
      </c>
      <c r="AH75" s="20" t="n">
        <f aca="false">IF(N75&lt;=CapB,1,0)</f>
        <v>0</v>
      </c>
      <c r="AI75" s="20" t="n">
        <f aca="false">IF(N75&lt;=CapC,1,0)</f>
        <v>0</v>
      </c>
      <c r="AJ75" s="21" t="n">
        <f aca="false">IF(AG75=1,AD75,-999)</f>
        <v>-999</v>
      </c>
      <c r="AK75" s="21" t="n">
        <f aca="false">IF(AH75=1,AD75,-999)</f>
        <v>-999</v>
      </c>
      <c r="AL75" s="21" t="n">
        <f aca="false">IF(AI75=1,AD75,-999)</f>
        <v>-999</v>
      </c>
      <c r="AM75" s="21" t="str">
        <f aca="false">C75&amp;"|"&amp;E75&amp;"|"&amp;G75&amp;"|"&amp;TEXT(AJ75,"0.00000")</f>
        <v>2|3|5|-999.00000</v>
      </c>
      <c r="AN75" s="21" t="str">
        <f aca="false">C75&amp;"|"&amp;E75&amp;"|"&amp;G75&amp;"|"&amp;TEXT(AK75,"0.00000")</f>
        <v>2|3|5|-999.00000</v>
      </c>
      <c r="AO75" s="21" t="str">
        <f aca="false">C75&amp;"|"&amp;E75&amp;"|"&amp;G75&amp;"|"&amp;TEXT(AL75,"0.00000")</f>
        <v>2|3|5|-999.00000</v>
      </c>
    </row>
    <row r="76" customFormat="false" ht="15" hidden="false" customHeight="false" outlineLevel="0" collapsed="false">
      <c r="A76" s="20" t="n">
        <v>3</v>
      </c>
      <c r="B76" s="18" t="str">
        <f aca="false">INDEX(C_Name,A76)</f>
        <v>문래자이 84㎡</v>
      </c>
      <c r="C76" s="20" t="n">
        <v>2</v>
      </c>
      <c r="D76" s="21" t="str">
        <f aca="false">CHOOSE(C76,"1안 표준형(대출 최대)","2안 절충형(대출 50%)","3안 무대출형","4안 임대차 승계 후 입주","5안 매수 보류(전세 거주)")</f>
        <v>2안 절충형(대출 50%)</v>
      </c>
      <c r="E76" s="20" t="n">
        <v>3</v>
      </c>
      <c r="F76" s="10" t="n">
        <f aca="false">CHOOSE(E76,GrowLo,GrowMid,GrowHi)</f>
        <v>0.06</v>
      </c>
      <c r="G76" s="20" t="n">
        <v>10</v>
      </c>
      <c r="H76" s="18" t="n">
        <f aca="false">INDEX(C_Price,A76)</f>
        <v>19.5</v>
      </c>
      <c r="I76" s="18" t="n">
        <f aca="false">INDEX(C_Jeonse,A76)</f>
        <v>10.14</v>
      </c>
      <c r="J76" s="21" t="n">
        <f aca="false">IF(C76=5,0,IF(C76=1,INDEX(C_Loan,A76),IF(C76=2,INDEX(C_Loan,A76)*LoanShare2,IF(C76=3,0,MIN(INDEX(C_Loan,A76),I76)))))</f>
        <v>2</v>
      </c>
      <c r="K76" s="18" t="n">
        <f aca="false">IF(C76=5,0,INDEX(C_Acq,A76))</f>
        <v>0.6435</v>
      </c>
      <c r="L76" s="18" t="n">
        <f aca="false">IF(C76=5,0,INDEX(C_Fee,A76))</f>
        <v>0.17015</v>
      </c>
      <c r="M76" s="21" t="n">
        <f aca="false">IF(C76=4,MAX(0,I76-J76),0)</f>
        <v>0</v>
      </c>
      <c r="N76" s="21" t="n">
        <f aca="false">IF(C76=5,I76,IF(C76=4,(H76-I76)+K76+L76+M76,H76-J76+K76+L76))</f>
        <v>18.31365</v>
      </c>
      <c r="O76" s="20" t="n">
        <f aca="false">IF(C76=4,RentYears,0)</f>
        <v>0</v>
      </c>
      <c r="P76" s="20" t="n">
        <f aca="false">IF(C76=5,0,MAX(0,G76-O76-NonRes))</f>
        <v>10</v>
      </c>
      <c r="Q76" s="21" t="n">
        <f aca="false">IF(C76=5,0,H76*(1+F76)^G76)</f>
        <v>34.9215300825857</v>
      </c>
      <c r="R76" s="21" t="n">
        <f aca="false">IF(C76=5,0,Q76*LOOKUP(Q76,FeeLo,FeeR)*(1+VAT))</f>
        <v>0.26889578163591</v>
      </c>
      <c r="S76" s="21" t="n">
        <f aca="false">IF(J76&gt;0,-CUMIPMT(Rm,LoanYears*12,J76,1,(G76-O76)*12,0),0)</f>
        <v>0.721475893348725</v>
      </c>
      <c r="T76" s="29" t="n">
        <f aca="false">IF(C76=5,0,SUMIFS(Sch_Total,Sch_Idx,A76,Sch_Scen,E76,Sch_Year,"&lt;="&amp;G76))</f>
        <v>0.81592612609079</v>
      </c>
      <c r="U76" s="21" t="n">
        <f aca="false">K76+L76+R76</f>
        <v>1.08254578163591</v>
      </c>
      <c r="V76" s="21" t="n">
        <f aca="false">IF(C76=5,0,Q76-H76-U76)</f>
        <v>14.3389843009498</v>
      </c>
      <c r="W76" s="21" t="n">
        <f aca="false">IF(C76=5,0,MAX(0,IF(P76&gt;=2,IF(Q76&gt;Exempt,V76*(Q76-Exempt)/Q76,0),V76)))</f>
        <v>9.411714184077</v>
      </c>
      <c r="X76" s="10" t="n">
        <f aca="false">IF(P76&gt;=2,MIN(MaxDed,MIN(0.4,HoldRate*G76)+MIN(0.4,LiveRate*P76)),IF(G76&gt;=3,MIN(0.3,0.02*G76),0))</f>
        <v>0.8</v>
      </c>
      <c r="Y76" s="21" t="n">
        <f aca="false">MAX(0,W76*(1-X76)-InitDed)</f>
        <v>1.8573428368154</v>
      </c>
      <c r="Z76" s="29" t="n">
        <f aca="false">SUMPRODUCT((Y76&gt;CLo)*(Y76-CLo)*CD)*(1+LocalTax)</f>
        <v>0.557029305788837</v>
      </c>
      <c r="AA76" s="21" t="n">
        <f aca="false">K76+T76+Z76</f>
        <v>2.01645543187963</v>
      </c>
      <c r="AB76" s="29" t="n">
        <f aca="false">IF(C76=5,0,(Q76-H76)-K76-L76-R76-S76-T76-Z76)</f>
        <v>12.2445529757214</v>
      </c>
      <c r="AC76" s="21" t="n">
        <f aca="false">IF(C76=5,0,N76*((1+DepRate*(1-DepTax))^G76-1))</f>
        <v>5.2164261582099</v>
      </c>
      <c r="AD76" s="29" t="n">
        <f aca="false">IF(C76=5,0,AB76-AC76+I76*(((1+DepRate*(1-DepTax))^G76-1)-((1+DepRate*(1-DepTax))^O76-1)))</f>
        <v>9.91638564326433</v>
      </c>
      <c r="AE76" s="30" t="n">
        <f aca="false">IF(J76&gt;0,-PMT(Rm,LoanYears*12,J76)*10000,0)</f>
        <v>95.4830590930919</v>
      </c>
      <c r="AF76" s="21" t="n">
        <f aca="false">IF(J76&gt;0,-PMT((Rate+Stress)/12,LoanYears*12,J76)*12/DSR,0)</f>
        <v>0.39918149710751</v>
      </c>
      <c r="AG76" s="20" t="n">
        <f aca="false">IF(N76&lt;=CapA,1,0)</f>
        <v>0</v>
      </c>
      <c r="AH76" s="20" t="n">
        <f aca="false">IF(N76&lt;=CapB,1,0)</f>
        <v>0</v>
      </c>
      <c r="AI76" s="20" t="n">
        <f aca="false">IF(N76&lt;=CapC,1,0)</f>
        <v>0</v>
      </c>
      <c r="AJ76" s="21" t="n">
        <f aca="false">IF(AG76=1,AD76,-999)</f>
        <v>-999</v>
      </c>
      <c r="AK76" s="21" t="n">
        <f aca="false">IF(AH76=1,AD76,-999)</f>
        <v>-999</v>
      </c>
      <c r="AL76" s="21" t="n">
        <f aca="false">IF(AI76=1,AD76,-999)</f>
        <v>-999</v>
      </c>
      <c r="AM76" s="21" t="str">
        <f aca="false">C76&amp;"|"&amp;E76&amp;"|"&amp;G76&amp;"|"&amp;TEXT(AJ76,"0.00000")</f>
        <v>2|3|10|-999.00000</v>
      </c>
      <c r="AN76" s="21" t="str">
        <f aca="false">C76&amp;"|"&amp;E76&amp;"|"&amp;G76&amp;"|"&amp;TEXT(AK76,"0.00000")</f>
        <v>2|3|10|-999.00000</v>
      </c>
      <c r="AO76" s="21" t="str">
        <f aca="false">C76&amp;"|"&amp;E76&amp;"|"&amp;G76&amp;"|"&amp;TEXT(AL76,"0.00000")</f>
        <v>2|3|10|-999.00000</v>
      </c>
    </row>
    <row r="77" customFormat="false" ht="15" hidden="false" customHeight="false" outlineLevel="0" collapsed="false">
      <c r="A77" s="20" t="n">
        <v>3</v>
      </c>
      <c r="B77" s="18" t="str">
        <f aca="false">INDEX(C_Name,A77)</f>
        <v>문래자이 84㎡</v>
      </c>
      <c r="C77" s="20" t="n">
        <v>3</v>
      </c>
      <c r="D77" s="21" t="str">
        <f aca="false">CHOOSE(C77,"1안 표준형(대출 최대)","2안 절충형(대출 50%)","3안 무대출형","4안 임대차 승계 후 입주","5안 매수 보류(전세 거주)")</f>
        <v>3안 무대출형</v>
      </c>
      <c r="E77" s="20" t="n">
        <v>1</v>
      </c>
      <c r="F77" s="10" t="n">
        <f aca="false">CHOOSE(E77,GrowLo,GrowMid,GrowHi)</f>
        <v>0.02</v>
      </c>
      <c r="G77" s="20" t="n">
        <v>5</v>
      </c>
      <c r="H77" s="18" t="n">
        <f aca="false">INDEX(C_Price,A77)</f>
        <v>19.5</v>
      </c>
      <c r="I77" s="18" t="n">
        <f aca="false">INDEX(C_Jeonse,A77)</f>
        <v>10.14</v>
      </c>
      <c r="J77" s="21" t="n">
        <f aca="false">IF(C77=5,0,IF(C77=1,INDEX(C_Loan,A77),IF(C77=2,INDEX(C_Loan,A77)*LoanShare2,IF(C77=3,0,MIN(INDEX(C_Loan,A77),I77)))))</f>
        <v>0</v>
      </c>
      <c r="K77" s="18" t="n">
        <f aca="false">IF(C77=5,0,INDEX(C_Acq,A77))</f>
        <v>0.6435</v>
      </c>
      <c r="L77" s="18" t="n">
        <f aca="false">IF(C77=5,0,INDEX(C_Fee,A77))</f>
        <v>0.17015</v>
      </c>
      <c r="M77" s="21" t="n">
        <f aca="false">IF(C77=4,MAX(0,I77-J77),0)</f>
        <v>0</v>
      </c>
      <c r="N77" s="21" t="n">
        <f aca="false">IF(C77=5,I77,IF(C77=4,(H77-I77)+K77+L77+M77,H77-J77+K77+L77))</f>
        <v>20.31365</v>
      </c>
      <c r="O77" s="20" t="n">
        <f aca="false">IF(C77=4,RentYears,0)</f>
        <v>0</v>
      </c>
      <c r="P77" s="20" t="n">
        <f aca="false">IF(C77=5,0,MAX(0,G77-O77-NonRes))</f>
        <v>5</v>
      </c>
      <c r="Q77" s="21" t="n">
        <f aca="false">IF(C77=5,0,H77*(1+F77)^G77)</f>
        <v>21.5295756624</v>
      </c>
      <c r="R77" s="21" t="n">
        <f aca="false">IF(C77=5,0,Q77*LOOKUP(Q77,FeeLo,FeeR)*(1+VAT))</f>
        <v>0.16577773260048</v>
      </c>
      <c r="S77" s="21" t="n">
        <f aca="false">IF(J77&gt;0,-CUMIPMT(Rm,LoanYears*12,J77,1,(G77-O77)*12,0),0)</f>
        <v>0</v>
      </c>
      <c r="T77" s="29" t="n">
        <f aca="false">IF(C77=5,0,SUMIFS(Sch_Total,Sch_Idx,A77,Sch_Scen,E77,Sch_Year,"&lt;="&amp;G77))</f>
        <v>0.258749037782496</v>
      </c>
      <c r="U77" s="21" t="n">
        <f aca="false">K77+L77+R77</f>
        <v>0.97942773260048</v>
      </c>
      <c r="V77" s="21" t="n">
        <f aca="false">IF(C77=5,0,Q77-H77-U77)</f>
        <v>1.05014792979952</v>
      </c>
      <c r="W77" s="21" t="n">
        <f aca="false">IF(C77=5,0,MAX(0,IF(P77&gt;=2,IF(Q77&gt;Exempt,V77*(Q77-Exempt)/Q77,0),V77)))</f>
        <v>0.464824031400425</v>
      </c>
      <c r="X77" s="10" t="n">
        <f aca="false">IF(P77&gt;=2,MIN(MaxDed,MIN(0.4,HoldRate*G77)+MIN(0.4,LiveRate*P77)),IF(G77&gt;=3,MIN(0.3,0.02*G77),0))</f>
        <v>0.4</v>
      </c>
      <c r="Y77" s="21" t="n">
        <f aca="false">MAX(0,W77*(1-X77)-InitDed)</f>
        <v>0.253894418840255</v>
      </c>
      <c r="Z77" s="29" t="n">
        <f aca="false">SUMPRODUCT((Y77&gt;CLo)*(Y77-CLo)*CD)*(1+LocalTax)</f>
        <v>0.0280325791086421</v>
      </c>
      <c r="AA77" s="21" t="n">
        <f aca="false">K77+T77+Z77</f>
        <v>0.930281616891138</v>
      </c>
      <c r="AB77" s="29" t="n">
        <f aca="false">IF(C77=5,0,(Q77-H77)-K77-L77-R77-S77-T77-Z77)</f>
        <v>0.763366312908381</v>
      </c>
      <c r="AC77" s="21" t="n">
        <f aca="false">IF(C77=5,0,N77*((1+DepRate*(1-DepTax))^G77-1))</f>
        <v>2.71201473441376</v>
      </c>
      <c r="AD77" s="29" t="n">
        <f aca="false">IF(C77=5,0,AB77-AC77+I77*(((1+DepRate*(1-DepTax))^G77-1)-((1+DepRate*(1-DepTax))^O77-1)))</f>
        <v>-0.594887309792049</v>
      </c>
      <c r="AE77" s="30" t="n">
        <f aca="false">IF(J77&gt;0,-PMT(Rm,LoanYears*12,J77)*10000,0)</f>
        <v>0</v>
      </c>
      <c r="AF77" s="21" t="n">
        <f aca="false">IF(J77&gt;0,-PMT((Rate+Stress)/12,LoanYears*12,J77)*12/DSR,0)</f>
        <v>0</v>
      </c>
      <c r="AG77" s="20" t="n">
        <f aca="false">IF(N77&lt;=CapA,1,0)</f>
        <v>0</v>
      </c>
      <c r="AH77" s="20" t="n">
        <f aca="false">IF(N77&lt;=CapB,1,0)</f>
        <v>0</v>
      </c>
      <c r="AI77" s="20" t="n">
        <f aca="false">IF(N77&lt;=CapC,1,0)</f>
        <v>0</v>
      </c>
      <c r="AJ77" s="21" t="n">
        <f aca="false">IF(AG77=1,AD77,-999)</f>
        <v>-999</v>
      </c>
      <c r="AK77" s="21" t="n">
        <f aca="false">IF(AH77=1,AD77,-999)</f>
        <v>-999</v>
      </c>
      <c r="AL77" s="21" t="n">
        <f aca="false">IF(AI77=1,AD77,-999)</f>
        <v>-999</v>
      </c>
      <c r="AM77" s="21" t="str">
        <f aca="false">C77&amp;"|"&amp;E77&amp;"|"&amp;G77&amp;"|"&amp;TEXT(AJ77,"0.00000")</f>
        <v>3|1|5|-999.00000</v>
      </c>
      <c r="AN77" s="21" t="str">
        <f aca="false">C77&amp;"|"&amp;E77&amp;"|"&amp;G77&amp;"|"&amp;TEXT(AK77,"0.00000")</f>
        <v>3|1|5|-999.00000</v>
      </c>
      <c r="AO77" s="21" t="str">
        <f aca="false">C77&amp;"|"&amp;E77&amp;"|"&amp;G77&amp;"|"&amp;TEXT(AL77,"0.00000")</f>
        <v>3|1|5|-999.00000</v>
      </c>
    </row>
    <row r="78" customFormat="false" ht="15" hidden="false" customHeight="false" outlineLevel="0" collapsed="false">
      <c r="A78" s="20" t="n">
        <v>3</v>
      </c>
      <c r="B78" s="18" t="str">
        <f aca="false">INDEX(C_Name,A78)</f>
        <v>문래자이 84㎡</v>
      </c>
      <c r="C78" s="20" t="n">
        <v>3</v>
      </c>
      <c r="D78" s="21" t="str">
        <f aca="false">CHOOSE(C78,"1안 표준형(대출 최대)","2안 절충형(대출 50%)","3안 무대출형","4안 임대차 승계 후 입주","5안 매수 보류(전세 거주)")</f>
        <v>3안 무대출형</v>
      </c>
      <c r="E78" s="20" t="n">
        <v>1</v>
      </c>
      <c r="F78" s="10" t="n">
        <f aca="false">CHOOSE(E78,GrowLo,GrowMid,GrowHi)</f>
        <v>0.02</v>
      </c>
      <c r="G78" s="20" t="n">
        <v>10</v>
      </c>
      <c r="H78" s="18" t="n">
        <f aca="false">INDEX(C_Price,A78)</f>
        <v>19.5</v>
      </c>
      <c r="I78" s="18" t="n">
        <f aca="false">INDEX(C_Jeonse,A78)</f>
        <v>10.14</v>
      </c>
      <c r="J78" s="21" t="n">
        <f aca="false">IF(C78=5,0,IF(C78=1,INDEX(C_Loan,A78),IF(C78=2,INDEX(C_Loan,A78)*LoanShare2,IF(C78=3,0,MIN(INDEX(C_Loan,A78),I78)))))</f>
        <v>0</v>
      </c>
      <c r="K78" s="18" t="n">
        <f aca="false">IF(C78=5,0,INDEX(C_Acq,A78))</f>
        <v>0.6435</v>
      </c>
      <c r="L78" s="18" t="n">
        <f aca="false">IF(C78=5,0,INDEX(C_Fee,A78))</f>
        <v>0.17015</v>
      </c>
      <c r="M78" s="21" t="n">
        <f aca="false">IF(C78=4,MAX(0,I78-J78),0)</f>
        <v>0</v>
      </c>
      <c r="N78" s="21" t="n">
        <f aca="false">IF(C78=5,I78,IF(C78=4,(H78-I78)+K78+L78+M78,H78-J78+K78+L78))</f>
        <v>20.31365</v>
      </c>
      <c r="O78" s="20" t="n">
        <f aca="false">IF(C78=4,RentYears,0)</f>
        <v>0</v>
      </c>
      <c r="P78" s="20" t="n">
        <f aca="false">IF(C78=5,0,MAX(0,G78-O78-NonRes))</f>
        <v>10</v>
      </c>
      <c r="Q78" s="21" t="n">
        <f aca="false">IF(C78=5,0,H78*(1+F78)^G78)</f>
        <v>23.7703911898978</v>
      </c>
      <c r="R78" s="21" t="n">
        <f aca="false">IF(C78=5,0,Q78*LOOKUP(Q78,FeeLo,FeeR)*(1+VAT))</f>
        <v>0.183032012162213</v>
      </c>
      <c r="S78" s="21" t="n">
        <f aca="false">IF(J78&gt;0,-CUMIPMT(Rm,LoanYears*12,J78,1,(G78-O78)*12,0),0)</f>
        <v>0</v>
      </c>
      <c r="T78" s="29" t="n">
        <f aca="false">IF(C78=5,0,SUMIFS(Sch_Total,Sch_Idx,A78,Sch_Scen,E78,Sch_Year,"&lt;="&amp;G78))</f>
        <v>0.570844591096781</v>
      </c>
      <c r="U78" s="21" t="n">
        <f aca="false">K78+L78+R78</f>
        <v>0.996682012162213</v>
      </c>
      <c r="V78" s="21" t="n">
        <f aca="false">IF(C78=5,0,Q78-H78-U78)</f>
        <v>3.27370917773556</v>
      </c>
      <c r="W78" s="21" t="n">
        <f aca="false">IF(C78=5,0,MAX(0,IF(P78&gt;=2,IF(Q78&gt;Exempt,V78*(Q78-Exempt)/Q78,0),V78)))</f>
        <v>1.62104348035645</v>
      </c>
      <c r="X78" s="10" t="n">
        <f aca="false">IF(P78&gt;=2,MIN(MaxDed,MIN(0.4,HoldRate*G78)+MIN(0.4,LiveRate*P78)),IF(G78&gt;=3,MIN(0.3,0.02*G78),0))</f>
        <v>0.8</v>
      </c>
      <c r="Y78" s="21" t="n">
        <f aca="false">MAX(0,W78*(1-X78)-InitDed)</f>
        <v>0.299208696071289</v>
      </c>
      <c r="Z78" s="29" t="n">
        <f aca="false">SUMPRODUCT((Y78&gt;CLo)*(Y78-CLo)*CD)*(1+LocalTax)</f>
        <v>0.0355094348517627</v>
      </c>
      <c r="AA78" s="21" t="n">
        <f aca="false">K78+T78+Z78</f>
        <v>1.24985402594854</v>
      </c>
      <c r="AB78" s="29" t="n">
        <f aca="false">IF(C78=5,0,(Q78-H78)-K78-L78-R78-S78-T78-Z78)</f>
        <v>2.66735515178701</v>
      </c>
      <c r="AC78" s="21" t="n">
        <f aca="false">IF(C78=5,0,N78*((1+DepRate*(1-DepTax))^G78-1))</f>
        <v>5.78610245520257</v>
      </c>
      <c r="AD78" s="29" t="n">
        <f aca="false">IF(C78=5,0,AB78-AC78+I78*(((1+DepRate*(1-DepTax))^G78-1)-((1+DepRate*(1-DepTax))^O78-1)))</f>
        <v>-0.230488477662722</v>
      </c>
      <c r="AE78" s="30" t="n">
        <f aca="false">IF(J78&gt;0,-PMT(Rm,LoanYears*12,J78)*10000,0)</f>
        <v>0</v>
      </c>
      <c r="AF78" s="21" t="n">
        <f aca="false">IF(J78&gt;0,-PMT((Rate+Stress)/12,LoanYears*12,J78)*12/DSR,0)</f>
        <v>0</v>
      </c>
      <c r="AG78" s="20" t="n">
        <f aca="false">IF(N78&lt;=CapA,1,0)</f>
        <v>0</v>
      </c>
      <c r="AH78" s="20" t="n">
        <f aca="false">IF(N78&lt;=CapB,1,0)</f>
        <v>0</v>
      </c>
      <c r="AI78" s="20" t="n">
        <f aca="false">IF(N78&lt;=CapC,1,0)</f>
        <v>0</v>
      </c>
      <c r="AJ78" s="21" t="n">
        <f aca="false">IF(AG78=1,AD78,-999)</f>
        <v>-999</v>
      </c>
      <c r="AK78" s="21" t="n">
        <f aca="false">IF(AH78=1,AD78,-999)</f>
        <v>-999</v>
      </c>
      <c r="AL78" s="21" t="n">
        <f aca="false">IF(AI78=1,AD78,-999)</f>
        <v>-999</v>
      </c>
      <c r="AM78" s="21" t="str">
        <f aca="false">C78&amp;"|"&amp;E78&amp;"|"&amp;G78&amp;"|"&amp;TEXT(AJ78,"0.00000")</f>
        <v>3|1|10|-999.00000</v>
      </c>
      <c r="AN78" s="21" t="str">
        <f aca="false">C78&amp;"|"&amp;E78&amp;"|"&amp;G78&amp;"|"&amp;TEXT(AK78,"0.00000")</f>
        <v>3|1|10|-999.00000</v>
      </c>
      <c r="AO78" s="21" t="str">
        <f aca="false">C78&amp;"|"&amp;E78&amp;"|"&amp;G78&amp;"|"&amp;TEXT(AL78,"0.00000")</f>
        <v>3|1|10|-999.00000</v>
      </c>
    </row>
    <row r="79" customFormat="false" ht="15" hidden="false" customHeight="false" outlineLevel="0" collapsed="false">
      <c r="A79" s="20" t="n">
        <v>3</v>
      </c>
      <c r="B79" s="18" t="str">
        <f aca="false">INDEX(C_Name,A79)</f>
        <v>문래자이 84㎡</v>
      </c>
      <c r="C79" s="20" t="n">
        <v>3</v>
      </c>
      <c r="D79" s="21" t="str">
        <f aca="false">CHOOSE(C79,"1안 표준형(대출 최대)","2안 절충형(대출 50%)","3안 무대출형","4안 임대차 승계 후 입주","5안 매수 보류(전세 거주)")</f>
        <v>3안 무대출형</v>
      </c>
      <c r="E79" s="20" t="n">
        <v>2</v>
      </c>
      <c r="F79" s="10" t="n">
        <f aca="false">CHOOSE(E79,GrowLo,GrowMid,GrowHi)</f>
        <v>0.04</v>
      </c>
      <c r="G79" s="20" t="n">
        <v>5</v>
      </c>
      <c r="H79" s="18" t="n">
        <f aca="false">INDEX(C_Price,A79)</f>
        <v>19.5</v>
      </c>
      <c r="I79" s="18" t="n">
        <f aca="false">INDEX(C_Jeonse,A79)</f>
        <v>10.14</v>
      </c>
      <c r="J79" s="21" t="n">
        <f aca="false">IF(C79=5,0,IF(C79=1,INDEX(C_Loan,A79),IF(C79=2,INDEX(C_Loan,A79)*LoanShare2,IF(C79=3,0,MIN(INDEX(C_Loan,A79),I79)))))</f>
        <v>0</v>
      </c>
      <c r="K79" s="18" t="n">
        <f aca="false">IF(C79=5,0,INDEX(C_Acq,A79))</f>
        <v>0.6435</v>
      </c>
      <c r="L79" s="18" t="n">
        <f aca="false">IF(C79=5,0,INDEX(C_Fee,A79))</f>
        <v>0.17015</v>
      </c>
      <c r="M79" s="21" t="n">
        <f aca="false">IF(C79=4,MAX(0,I79-J79),0)</f>
        <v>0</v>
      </c>
      <c r="N79" s="21" t="n">
        <f aca="false">IF(C79=5,I79,IF(C79=4,(H79-I79)+K79+L79+M79,H79-J79+K79+L79))</f>
        <v>20.31365</v>
      </c>
      <c r="O79" s="20" t="n">
        <f aca="false">IF(C79=4,RentYears,0)</f>
        <v>0</v>
      </c>
      <c r="P79" s="20" t="n">
        <f aca="false">IF(C79=5,0,MAX(0,G79-O79-NonRes))</f>
        <v>5</v>
      </c>
      <c r="Q79" s="21" t="n">
        <f aca="false">IF(C79=5,0,H79*(1+F79)^G79)</f>
        <v>23.7247315968</v>
      </c>
      <c r="R79" s="21" t="n">
        <f aca="false">IF(C79=5,0,Q79*LOOKUP(Q79,FeeLo,FeeR)*(1+VAT))</f>
        <v>0.18268043329536</v>
      </c>
      <c r="S79" s="21" t="n">
        <f aca="false">IF(J79&gt;0,-CUMIPMT(Rm,LoanYears*12,J79,1,(G79-O79)*12,0),0)</f>
        <v>0</v>
      </c>
      <c r="T79" s="29" t="n">
        <f aca="false">IF(C79=5,0,SUMIFS(Sch_Total,Sch_Idx,A79,Sch_Scen,E79,Sch_Year,"&lt;="&amp;G79))</f>
        <v>0.279656858727936</v>
      </c>
      <c r="U79" s="21" t="n">
        <f aca="false">K79+L79+R79</f>
        <v>0.99633043329536</v>
      </c>
      <c r="V79" s="21" t="n">
        <f aca="false">IF(C79=5,0,Q79-H79-U79)</f>
        <v>3.22840116350464</v>
      </c>
      <c r="W79" s="21" t="n">
        <f aca="false">IF(C79=5,0,MAX(0,IF(P79&gt;=2,IF(Q79&gt;Exempt,V79*(Q79-Exempt)/Q79,0),V79)))</f>
        <v>1.59547166948748</v>
      </c>
      <c r="X79" s="10" t="n">
        <f aca="false">IF(P79&gt;=2,MIN(MaxDed,MIN(0.4,HoldRate*G79)+MIN(0.4,LiveRate*P79)),IF(G79&gt;=3,MIN(0.3,0.02*G79),0))</f>
        <v>0.4</v>
      </c>
      <c r="Y79" s="21" t="n">
        <f aca="false">MAX(0,W79*(1-X79)-InitDed)</f>
        <v>0.932283001692485</v>
      </c>
      <c r="Z79" s="29" t="n">
        <f aca="false">SUMPRODUCT((Y79&gt;CLo)*(Y79-CLo)*CD)*(1+LocalTax)</f>
        <v>0.189088955651607</v>
      </c>
      <c r="AA79" s="21" t="n">
        <f aca="false">K79+T79+Z79</f>
        <v>1.11224581437954</v>
      </c>
      <c r="AB79" s="29" t="n">
        <f aca="false">IF(C79=5,0,(Q79-H79)-K79-L79-R79-S79-T79-Z79)</f>
        <v>2.7596553491251</v>
      </c>
      <c r="AC79" s="21" t="n">
        <f aca="false">IF(C79=5,0,N79*((1+DepRate*(1-DepTax))^G79-1))</f>
        <v>2.71201473441376</v>
      </c>
      <c r="AD79" s="29" t="n">
        <f aca="false">IF(C79=5,0,AB79-AC79+I79*(((1+DepRate*(1-DepTax))^G79-1)-((1+DepRate*(1-DepTax))^O79-1)))</f>
        <v>1.40140172642467</v>
      </c>
      <c r="AE79" s="30" t="n">
        <f aca="false">IF(J79&gt;0,-PMT(Rm,LoanYears*12,J79)*10000,0)</f>
        <v>0</v>
      </c>
      <c r="AF79" s="21" t="n">
        <f aca="false">IF(J79&gt;0,-PMT((Rate+Stress)/12,LoanYears*12,J79)*12/DSR,0)</f>
        <v>0</v>
      </c>
      <c r="AG79" s="20" t="n">
        <f aca="false">IF(N79&lt;=CapA,1,0)</f>
        <v>0</v>
      </c>
      <c r="AH79" s="20" t="n">
        <f aca="false">IF(N79&lt;=CapB,1,0)</f>
        <v>0</v>
      </c>
      <c r="AI79" s="20" t="n">
        <f aca="false">IF(N79&lt;=CapC,1,0)</f>
        <v>0</v>
      </c>
      <c r="AJ79" s="21" t="n">
        <f aca="false">IF(AG79=1,AD79,-999)</f>
        <v>-999</v>
      </c>
      <c r="AK79" s="21" t="n">
        <f aca="false">IF(AH79=1,AD79,-999)</f>
        <v>-999</v>
      </c>
      <c r="AL79" s="21" t="n">
        <f aca="false">IF(AI79=1,AD79,-999)</f>
        <v>-999</v>
      </c>
      <c r="AM79" s="21" t="str">
        <f aca="false">C79&amp;"|"&amp;E79&amp;"|"&amp;G79&amp;"|"&amp;TEXT(AJ79,"0.00000")</f>
        <v>3|2|5|-999.00000</v>
      </c>
      <c r="AN79" s="21" t="str">
        <f aca="false">C79&amp;"|"&amp;E79&amp;"|"&amp;G79&amp;"|"&amp;TEXT(AK79,"0.00000")</f>
        <v>3|2|5|-999.00000</v>
      </c>
      <c r="AO79" s="21" t="str">
        <f aca="false">C79&amp;"|"&amp;E79&amp;"|"&amp;G79&amp;"|"&amp;TEXT(AL79,"0.00000")</f>
        <v>3|2|5|-999.00000</v>
      </c>
    </row>
    <row r="80" customFormat="false" ht="15" hidden="false" customHeight="false" outlineLevel="0" collapsed="false">
      <c r="A80" s="20" t="n">
        <v>3</v>
      </c>
      <c r="B80" s="18" t="str">
        <f aca="false">INDEX(C_Name,A80)</f>
        <v>문래자이 84㎡</v>
      </c>
      <c r="C80" s="20" t="n">
        <v>3</v>
      </c>
      <c r="D80" s="21" t="str">
        <f aca="false">CHOOSE(C80,"1안 표준형(대출 최대)","2안 절충형(대출 50%)","3안 무대출형","4안 임대차 승계 후 입주","5안 매수 보류(전세 거주)")</f>
        <v>3안 무대출형</v>
      </c>
      <c r="E80" s="20" t="n">
        <v>2</v>
      </c>
      <c r="F80" s="10" t="n">
        <f aca="false">CHOOSE(E80,GrowLo,GrowMid,GrowHi)</f>
        <v>0.04</v>
      </c>
      <c r="G80" s="20" t="n">
        <v>10</v>
      </c>
      <c r="H80" s="18" t="n">
        <f aca="false">INDEX(C_Price,A80)</f>
        <v>19.5</v>
      </c>
      <c r="I80" s="18" t="n">
        <f aca="false">INDEX(C_Jeonse,A80)</f>
        <v>10.14</v>
      </c>
      <c r="J80" s="21" t="n">
        <f aca="false">IF(C80=5,0,IF(C80=1,INDEX(C_Loan,A80),IF(C80=2,INDEX(C_Loan,A80)*LoanShare2,IF(C80=3,0,MIN(INDEX(C_Loan,A80),I80)))))</f>
        <v>0</v>
      </c>
      <c r="K80" s="18" t="n">
        <f aca="false">IF(C80=5,0,INDEX(C_Acq,A80))</f>
        <v>0.6435</v>
      </c>
      <c r="L80" s="18" t="n">
        <f aca="false">IF(C80=5,0,INDEX(C_Fee,A80))</f>
        <v>0.17015</v>
      </c>
      <c r="M80" s="21" t="n">
        <f aca="false">IF(C80=4,MAX(0,I80-J80),0)</f>
        <v>0</v>
      </c>
      <c r="N80" s="21" t="n">
        <f aca="false">IF(C80=5,I80,IF(C80=4,(H80-I80)+K80+L80+M80,H80-J80+K80+L80))</f>
        <v>20.31365</v>
      </c>
      <c r="O80" s="20" t="n">
        <f aca="false">IF(C80=4,RentYears,0)</f>
        <v>0</v>
      </c>
      <c r="P80" s="20" t="n">
        <f aca="false">IF(C80=5,0,MAX(0,G80-O80-NonRes))</f>
        <v>10</v>
      </c>
      <c r="Q80" s="21" t="n">
        <f aca="false">IF(C80=5,0,H80*(1+F80)^G80)</f>
        <v>28.8647635559077</v>
      </c>
      <c r="R80" s="21" t="n">
        <f aca="false">IF(C80=5,0,Q80*LOOKUP(Q80,FeeLo,FeeR)*(1+VAT))</f>
        <v>0.222258679380489</v>
      </c>
      <c r="S80" s="21" t="n">
        <f aca="false">IF(J80&gt;0,-CUMIPMT(Rm,LoanYears*12,J80,1,(G80-O80)*12,0),0)</f>
        <v>0</v>
      </c>
      <c r="T80" s="29" t="n">
        <f aca="false">IF(C80=5,0,SUMIFS(Sch_Total,Sch_Idx,A80,Sch_Scen,E80,Sch_Year,"&lt;="&amp;G80))</f>
        <v>0.681074194754121</v>
      </c>
      <c r="U80" s="21" t="n">
        <f aca="false">K80+L80+R80</f>
        <v>1.03590867938049</v>
      </c>
      <c r="V80" s="21" t="n">
        <f aca="false">IF(C80=5,0,Q80-H80-U80)</f>
        <v>8.32885487652723</v>
      </c>
      <c r="W80" s="21" t="n">
        <f aca="false">IF(C80=5,0,MAX(0,IF(P80&gt;=2,IF(Q80&gt;Exempt,V80*(Q80-Exempt)/Q80,0),V80)))</f>
        <v>4.86628507841534</v>
      </c>
      <c r="X80" s="10" t="n">
        <f aca="false">IF(P80&gt;=2,MIN(MaxDed,MIN(0.4,HoldRate*G80)+MIN(0.4,LiveRate*P80)),IF(G80&gt;=3,MIN(0.3,0.02*G80),0))</f>
        <v>0.8</v>
      </c>
      <c r="Y80" s="21" t="n">
        <f aca="false">MAX(0,W80*(1-X80)-InitDed)</f>
        <v>0.948257015683068</v>
      </c>
      <c r="Z80" s="29" t="n">
        <f aca="false">SUMPRODUCT((Y80&gt;CLo)*(Y80-CLo)*CD)*(1+LocalTax)</f>
        <v>0.195238951037981</v>
      </c>
      <c r="AA80" s="21" t="n">
        <f aca="false">K80+T80+Z80</f>
        <v>1.5198131457921</v>
      </c>
      <c r="AB80" s="29" t="n">
        <f aca="false">IF(C80=5,0,(Q80-H80)-K80-L80-R80-S80-T80-Z80)</f>
        <v>7.45254173073512</v>
      </c>
      <c r="AC80" s="21" t="n">
        <f aca="false">IF(C80=5,0,N80*((1+DepRate*(1-DepTax))^G80-1))</f>
        <v>5.78610245520257</v>
      </c>
      <c r="AD80" s="29" t="n">
        <f aca="false">IF(C80=5,0,AB80-AC80+I80*(((1+DepRate*(1-DepTax))^G80-1)-((1+DepRate*(1-DepTax))^O80-1)))</f>
        <v>4.55469810128539</v>
      </c>
      <c r="AE80" s="30" t="n">
        <f aca="false">IF(J80&gt;0,-PMT(Rm,LoanYears*12,J80)*10000,0)</f>
        <v>0</v>
      </c>
      <c r="AF80" s="21" t="n">
        <f aca="false">IF(J80&gt;0,-PMT((Rate+Stress)/12,LoanYears*12,J80)*12/DSR,0)</f>
        <v>0</v>
      </c>
      <c r="AG80" s="20" t="n">
        <f aca="false">IF(N80&lt;=CapA,1,0)</f>
        <v>0</v>
      </c>
      <c r="AH80" s="20" t="n">
        <f aca="false">IF(N80&lt;=CapB,1,0)</f>
        <v>0</v>
      </c>
      <c r="AI80" s="20" t="n">
        <f aca="false">IF(N80&lt;=CapC,1,0)</f>
        <v>0</v>
      </c>
      <c r="AJ80" s="21" t="n">
        <f aca="false">IF(AG80=1,AD80,-999)</f>
        <v>-999</v>
      </c>
      <c r="AK80" s="21" t="n">
        <f aca="false">IF(AH80=1,AD80,-999)</f>
        <v>-999</v>
      </c>
      <c r="AL80" s="21" t="n">
        <f aca="false">IF(AI80=1,AD80,-999)</f>
        <v>-999</v>
      </c>
      <c r="AM80" s="21" t="str">
        <f aca="false">C80&amp;"|"&amp;E80&amp;"|"&amp;G80&amp;"|"&amp;TEXT(AJ80,"0.00000")</f>
        <v>3|2|10|-999.00000</v>
      </c>
      <c r="AN80" s="21" t="str">
        <f aca="false">C80&amp;"|"&amp;E80&amp;"|"&amp;G80&amp;"|"&amp;TEXT(AK80,"0.00000")</f>
        <v>3|2|10|-999.00000</v>
      </c>
      <c r="AO80" s="21" t="str">
        <f aca="false">C80&amp;"|"&amp;E80&amp;"|"&amp;G80&amp;"|"&amp;TEXT(AL80,"0.00000")</f>
        <v>3|2|10|-999.00000</v>
      </c>
    </row>
    <row r="81" customFormat="false" ht="15" hidden="false" customHeight="false" outlineLevel="0" collapsed="false">
      <c r="A81" s="20" t="n">
        <v>3</v>
      </c>
      <c r="B81" s="18" t="str">
        <f aca="false">INDEX(C_Name,A81)</f>
        <v>문래자이 84㎡</v>
      </c>
      <c r="C81" s="20" t="n">
        <v>3</v>
      </c>
      <c r="D81" s="21" t="str">
        <f aca="false">CHOOSE(C81,"1안 표준형(대출 최대)","2안 절충형(대출 50%)","3안 무대출형","4안 임대차 승계 후 입주","5안 매수 보류(전세 거주)")</f>
        <v>3안 무대출형</v>
      </c>
      <c r="E81" s="20" t="n">
        <v>3</v>
      </c>
      <c r="F81" s="10" t="n">
        <f aca="false">CHOOSE(E81,GrowLo,GrowMid,GrowHi)</f>
        <v>0.06</v>
      </c>
      <c r="G81" s="20" t="n">
        <v>5</v>
      </c>
      <c r="H81" s="18" t="n">
        <f aca="false">INDEX(C_Price,A81)</f>
        <v>19.5</v>
      </c>
      <c r="I81" s="18" t="n">
        <f aca="false">INDEX(C_Jeonse,A81)</f>
        <v>10.14</v>
      </c>
      <c r="J81" s="21" t="n">
        <f aca="false">IF(C81=5,0,IF(C81=1,INDEX(C_Loan,A81),IF(C81=2,INDEX(C_Loan,A81)*LoanShare2,IF(C81=3,0,MIN(INDEX(C_Loan,A81),I81)))))</f>
        <v>0</v>
      </c>
      <c r="K81" s="18" t="n">
        <f aca="false">IF(C81=5,0,INDEX(C_Acq,A81))</f>
        <v>0.6435</v>
      </c>
      <c r="L81" s="18" t="n">
        <f aca="false">IF(C81=5,0,INDEX(C_Fee,A81))</f>
        <v>0.17015</v>
      </c>
      <c r="M81" s="21" t="n">
        <f aca="false">IF(C81=4,MAX(0,I81-J81),0)</f>
        <v>0</v>
      </c>
      <c r="N81" s="21" t="n">
        <f aca="false">IF(C81=5,I81,IF(C81=4,(H81-I81)+K81+L81+M81,H81-J81+K81+L81))</f>
        <v>20.31365</v>
      </c>
      <c r="O81" s="20" t="n">
        <f aca="false">IF(C81=4,RentYears,0)</f>
        <v>0</v>
      </c>
      <c r="P81" s="20" t="n">
        <f aca="false">IF(C81=5,0,MAX(0,G81-O81-NonRes))</f>
        <v>5</v>
      </c>
      <c r="Q81" s="21" t="n">
        <f aca="false">IF(C81=5,0,H81*(1+F81)^G81)</f>
        <v>26.0953987632</v>
      </c>
      <c r="R81" s="21" t="n">
        <f aca="false">IF(C81=5,0,Q81*LOOKUP(Q81,FeeLo,FeeR)*(1+VAT))</f>
        <v>0.20093457047664</v>
      </c>
      <c r="S81" s="21" t="n">
        <f aca="false">IF(J81&gt;0,-CUMIPMT(Rm,LoanYears*12,J81,1,(G81-O81)*12,0),0)</f>
        <v>0</v>
      </c>
      <c r="T81" s="29" t="n">
        <f aca="false">IF(C81=5,0,SUMIFS(Sch_Total,Sch_Idx,A81,Sch_Scen,E81,Sch_Year,"&lt;="&amp;G81))</f>
        <v>0.301400667886176</v>
      </c>
      <c r="U81" s="21" t="n">
        <f aca="false">K81+L81+R81</f>
        <v>1.01458457047664</v>
      </c>
      <c r="V81" s="21" t="n">
        <f aca="false">IF(C81=5,0,Q81-H81-U81)</f>
        <v>5.58081419272337</v>
      </c>
      <c r="W81" s="21" t="n">
        <f aca="false">IF(C81=5,0,MAX(0,IF(P81&gt;=2,IF(Q81&gt;Exempt,V81*(Q81-Exempt)/Q81,0),V81)))</f>
        <v>3.01447018240988</v>
      </c>
      <c r="X81" s="10" t="n">
        <f aca="false">IF(P81&gt;=2,MIN(MaxDed,MIN(0.4,HoldRate*G81)+MIN(0.4,LiveRate*P81)),IF(G81&gt;=3,MIN(0.3,0.02*G81),0))</f>
        <v>0.4</v>
      </c>
      <c r="Y81" s="21" t="n">
        <f aca="false">MAX(0,W81*(1-X81)-InitDed)</f>
        <v>1.78368210944593</v>
      </c>
      <c r="Z81" s="29" t="n">
        <f aca="false">SUMPRODUCT((Y81&gt;CLo)*(Y81-CLo)*CD)*(1+LocalTax)</f>
        <v>0.526239121748397</v>
      </c>
      <c r="AA81" s="21" t="n">
        <f aca="false">K81+T81+Z81</f>
        <v>1.47113978963457</v>
      </c>
      <c r="AB81" s="29" t="n">
        <f aca="false">IF(C81=5,0,(Q81-H81)-K81-L81-R81-S81-T81-Z81)</f>
        <v>4.75317440308879</v>
      </c>
      <c r="AC81" s="21" t="n">
        <f aca="false">IF(C81=5,0,N81*((1+DepRate*(1-DepTax))^G81-1))</f>
        <v>2.71201473441376</v>
      </c>
      <c r="AD81" s="29" t="n">
        <f aca="false">IF(C81=5,0,AB81-AC81+I81*(((1+DepRate*(1-DepTax))^G81-1)-((1+DepRate*(1-DepTax))^O81-1)))</f>
        <v>3.39492078038836</v>
      </c>
      <c r="AE81" s="30" t="n">
        <f aca="false">IF(J81&gt;0,-PMT(Rm,LoanYears*12,J81)*10000,0)</f>
        <v>0</v>
      </c>
      <c r="AF81" s="21" t="n">
        <f aca="false">IF(J81&gt;0,-PMT((Rate+Stress)/12,LoanYears*12,J81)*12/DSR,0)</f>
        <v>0</v>
      </c>
      <c r="AG81" s="20" t="n">
        <f aca="false">IF(N81&lt;=CapA,1,0)</f>
        <v>0</v>
      </c>
      <c r="AH81" s="20" t="n">
        <f aca="false">IF(N81&lt;=CapB,1,0)</f>
        <v>0</v>
      </c>
      <c r="AI81" s="20" t="n">
        <f aca="false">IF(N81&lt;=CapC,1,0)</f>
        <v>0</v>
      </c>
      <c r="AJ81" s="21" t="n">
        <f aca="false">IF(AG81=1,AD81,-999)</f>
        <v>-999</v>
      </c>
      <c r="AK81" s="21" t="n">
        <f aca="false">IF(AH81=1,AD81,-999)</f>
        <v>-999</v>
      </c>
      <c r="AL81" s="21" t="n">
        <f aca="false">IF(AI81=1,AD81,-999)</f>
        <v>-999</v>
      </c>
      <c r="AM81" s="21" t="str">
        <f aca="false">C81&amp;"|"&amp;E81&amp;"|"&amp;G81&amp;"|"&amp;TEXT(AJ81,"0.00000")</f>
        <v>3|3|5|-999.00000</v>
      </c>
      <c r="AN81" s="21" t="str">
        <f aca="false">C81&amp;"|"&amp;E81&amp;"|"&amp;G81&amp;"|"&amp;TEXT(AK81,"0.00000")</f>
        <v>3|3|5|-999.00000</v>
      </c>
      <c r="AO81" s="21" t="str">
        <f aca="false">C81&amp;"|"&amp;E81&amp;"|"&amp;G81&amp;"|"&amp;TEXT(AL81,"0.00000")</f>
        <v>3|3|5|-999.00000</v>
      </c>
    </row>
    <row r="82" customFormat="false" ht="15" hidden="false" customHeight="false" outlineLevel="0" collapsed="false">
      <c r="A82" s="20" t="n">
        <v>3</v>
      </c>
      <c r="B82" s="18" t="str">
        <f aca="false">INDEX(C_Name,A82)</f>
        <v>문래자이 84㎡</v>
      </c>
      <c r="C82" s="20" t="n">
        <v>3</v>
      </c>
      <c r="D82" s="21" t="str">
        <f aca="false">CHOOSE(C82,"1안 표준형(대출 최대)","2안 절충형(대출 50%)","3안 무대출형","4안 임대차 승계 후 입주","5안 매수 보류(전세 거주)")</f>
        <v>3안 무대출형</v>
      </c>
      <c r="E82" s="20" t="n">
        <v>3</v>
      </c>
      <c r="F82" s="10" t="n">
        <f aca="false">CHOOSE(E82,GrowLo,GrowMid,GrowHi)</f>
        <v>0.06</v>
      </c>
      <c r="G82" s="20" t="n">
        <v>10</v>
      </c>
      <c r="H82" s="18" t="n">
        <f aca="false">INDEX(C_Price,A82)</f>
        <v>19.5</v>
      </c>
      <c r="I82" s="18" t="n">
        <f aca="false">INDEX(C_Jeonse,A82)</f>
        <v>10.14</v>
      </c>
      <c r="J82" s="21" t="n">
        <f aca="false">IF(C82=5,0,IF(C82=1,INDEX(C_Loan,A82),IF(C82=2,INDEX(C_Loan,A82)*LoanShare2,IF(C82=3,0,MIN(INDEX(C_Loan,A82),I82)))))</f>
        <v>0</v>
      </c>
      <c r="K82" s="18" t="n">
        <f aca="false">IF(C82=5,0,INDEX(C_Acq,A82))</f>
        <v>0.6435</v>
      </c>
      <c r="L82" s="18" t="n">
        <f aca="false">IF(C82=5,0,INDEX(C_Fee,A82))</f>
        <v>0.17015</v>
      </c>
      <c r="M82" s="21" t="n">
        <f aca="false">IF(C82=4,MAX(0,I82-J82),0)</f>
        <v>0</v>
      </c>
      <c r="N82" s="21" t="n">
        <f aca="false">IF(C82=5,I82,IF(C82=4,(H82-I82)+K82+L82+M82,H82-J82+K82+L82))</f>
        <v>20.31365</v>
      </c>
      <c r="O82" s="20" t="n">
        <f aca="false">IF(C82=4,RentYears,0)</f>
        <v>0</v>
      </c>
      <c r="P82" s="20" t="n">
        <f aca="false">IF(C82=5,0,MAX(0,G82-O82-NonRes))</f>
        <v>10</v>
      </c>
      <c r="Q82" s="21" t="n">
        <f aca="false">IF(C82=5,0,H82*(1+F82)^G82)</f>
        <v>34.9215300825857</v>
      </c>
      <c r="R82" s="21" t="n">
        <f aca="false">IF(C82=5,0,Q82*LOOKUP(Q82,FeeLo,FeeR)*(1+VAT))</f>
        <v>0.26889578163591</v>
      </c>
      <c r="S82" s="21" t="n">
        <f aca="false">IF(J82&gt;0,-CUMIPMT(Rm,LoanYears*12,J82,1,(G82-O82)*12,0),0)</f>
        <v>0</v>
      </c>
      <c r="T82" s="29" t="n">
        <f aca="false">IF(C82=5,0,SUMIFS(Sch_Total,Sch_Idx,A82,Sch_Scen,E82,Sch_Year,"&lt;="&amp;G82))</f>
        <v>0.81592612609079</v>
      </c>
      <c r="U82" s="21" t="n">
        <f aca="false">K82+L82+R82</f>
        <v>1.08254578163591</v>
      </c>
      <c r="V82" s="21" t="n">
        <f aca="false">IF(C82=5,0,Q82-H82-U82)</f>
        <v>14.3389843009498</v>
      </c>
      <c r="W82" s="21" t="n">
        <f aca="false">IF(C82=5,0,MAX(0,IF(P82&gt;=2,IF(Q82&gt;Exempt,V82*(Q82-Exempt)/Q82,0),V82)))</f>
        <v>9.411714184077</v>
      </c>
      <c r="X82" s="10" t="n">
        <f aca="false">IF(P82&gt;=2,MIN(MaxDed,MIN(0.4,HoldRate*G82)+MIN(0.4,LiveRate*P82)),IF(G82&gt;=3,MIN(0.3,0.02*G82),0))</f>
        <v>0.8</v>
      </c>
      <c r="Y82" s="21" t="n">
        <f aca="false">MAX(0,W82*(1-X82)-InitDed)</f>
        <v>1.8573428368154</v>
      </c>
      <c r="Z82" s="29" t="n">
        <f aca="false">SUMPRODUCT((Y82&gt;CLo)*(Y82-CLo)*CD)*(1+LocalTax)</f>
        <v>0.557029305788837</v>
      </c>
      <c r="AA82" s="21" t="n">
        <f aca="false">K82+T82+Z82</f>
        <v>2.01645543187963</v>
      </c>
      <c r="AB82" s="29" t="n">
        <f aca="false">IF(C82=5,0,(Q82-H82)-K82-L82-R82-S82-T82-Z82)</f>
        <v>12.9660288690701</v>
      </c>
      <c r="AC82" s="21" t="n">
        <f aca="false">IF(C82=5,0,N82*((1+DepRate*(1-DepTax))^G82-1))</f>
        <v>5.78610245520257</v>
      </c>
      <c r="AD82" s="29" t="n">
        <f aca="false">IF(C82=5,0,AB82-AC82+I82*(((1+DepRate*(1-DepTax))^G82-1)-((1+DepRate*(1-DepTax))^O82-1)))</f>
        <v>10.0681852396204</v>
      </c>
      <c r="AE82" s="30" t="n">
        <f aca="false">IF(J82&gt;0,-PMT(Rm,LoanYears*12,J82)*10000,0)</f>
        <v>0</v>
      </c>
      <c r="AF82" s="21" t="n">
        <f aca="false">IF(J82&gt;0,-PMT((Rate+Stress)/12,LoanYears*12,J82)*12/DSR,0)</f>
        <v>0</v>
      </c>
      <c r="AG82" s="20" t="n">
        <f aca="false">IF(N82&lt;=CapA,1,0)</f>
        <v>0</v>
      </c>
      <c r="AH82" s="20" t="n">
        <f aca="false">IF(N82&lt;=CapB,1,0)</f>
        <v>0</v>
      </c>
      <c r="AI82" s="20" t="n">
        <f aca="false">IF(N82&lt;=CapC,1,0)</f>
        <v>0</v>
      </c>
      <c r="AJ82" s="21" t="n">
        <f aca="false">IF(AG82=1,AD82,-999)</f>
        <v>-999</v>
      </c>
      <c r="AK82" s="21" t="n">
        <f aca="false">IF(AH82=1,AD82,-999)</f>
        <v>-999</v>
      </c>
      <c r="AL82" s="21" t="n">
        <f aca="false">IF(AI82=1,AD82,-999)</f>
        <v>-999</v>
      </c>
      <c r="AM82" s="21" t="str">
        <f aca="false">C82&amp;"|"&amp;E82&amp;"|"&amp;G82&amp;"|"&amp;TEXT(AJ82,"0.00000")</f>
        <v>3|3|10|-999.00000</v>
      </c>
      <c r="AN82" s="21" t="str">
        <f aca="false">C82&amp;"|"&amp;E82&amp;"|"&amp;G82&amp;"|"&amp;TEXT(AK82,"0.00000")</f>
        <v>3|3|10|-999.00000</v>
      </c>
      <c r="AO82" s="21" t="str">
        <f aca="false">C82&amp;"|"&amp;E82&amp;"|"&amp;G82&amp;"|"&amp;TEXT(AL82,"0.00000")</f>
        <v>3|3|10|-999.00000</v>
      </c>
    </row>
    <row r="83" customFormat="false" ht="15" hidden="false" customHeight="false" outlineLevel="0" collapsed="false">
      <c r="A83" s="20" t="n">
        <v>3</v>
      </c>
      <c r="B83" s="18" t="str">
        <f aca="false">INDEX(C_Name,A83)</f>
        <v>문래자이 84㎡</v>
      </c>
      <c r="C83" s="20" t="n">
        <v>4</v>
      </c>
      <c r="D83" s="21" t="str">
        <f aca="false">CHOOSE(C83,"1안 표준형(대출 최대)","2안 절충형(대출 50%)","3안 무대출형","4안 임대차 승계 후 입주","5안 매수 보류(전세 거주)")</f>
        <v>4안 임대차 승계 후 입주</v>
      </c>
      <c r="E83" s="20" t="n">
        <v>1</v>
      </c>
      <c r="F83" s="10" t="n">
        <f aca="false">CHOOSE(E83,GrowLo,GrowMid,GrowHi)</f>
        <v>0.02</v>
      </c>
      <c r="G83" s="20" t="n">
        <v>5</v>
      </c>
      <c r="H83" s="18" t="n">
        <f aca="false">INDEX(C_Price,A83)</f>
        <v>19.5</v>
      </c>
      <c r="I83" s="18" t="n">
        <f aca="false">INDEX(C_Jeonse,A83)</f>
        <v>10.14</v>
      </c>
      <c r="J83" s="21" t="n">
        <f aca="false">IF(C83=5,0,IF(C83=1,INDEX(C_Loan,A83),IF(C83=2,INDEX(C_Loan,A83)*LoanShare2,IF(C83=3,0,MIN(INDEX(C_Loan,A83),I83)))))</f>
        <v>4</v>
      </c>
      <c r="K83" s="18" t="n">
        <f aca="false">IF(C83=5,0,INDEX(C_Acq,A83))</f>
        <v>0.6435</v>
      </c>
      <c r="L83" s="18" t="n">
        <f aca="false">IF(C83=5,0,INDEX(C_Fee,A83))</f>
        <v>0.17015</v>
      </c>
      <c r="M83" s="21" t="n">
        <f aca="false">IF(C83=4,MAX(0,I83-J83),0)</f>
        <v>6.14</v>
      </c>
      <c r="N83" s="21" t="n">
        <f aca="false">IF(C83=5,I83,IF(C83=4,(H83-I83)+K83+L83+M83,H83-J83+K83+L83))</f>
        <v>16.31365</v>
      </c>
      <c r="O83" s="20" t="n">
        <f aca="false">IF(C83=4,RentYears,0)</f>
        <v>2</v>
      </c>
      <c r="P83" s="20" t="n">
        <f aca="false">IF(C83=5,0,MAX(0,G83-O83-NonRes))</f>
        <v>3</v>
      </c>
      <c r="Q83" s="21" t="n">
        <f aca="false">IF(C83=5,0,H83*(1+F83)^G83)</f>
        <v>21.5295756624</v>
      </c>
      <c r="R83" s="21" t="n">
        <f aca="false">IF(C83=5,0,Q83*LOOKUP(Q83,FeeLo,FeeR)*(1+VAT))</f>
        <v>0.16577773260048</v>
      </c>
      <c r="S83" s="21" t="n">
        <f aca="false">IF(J83&gt;0,-CUMIPMT(Rm,LoanYears*12,J83,1,(G83-O83)*12,0),0)</f>
        <v>0.467427048612969</v>
      </c>
      <c r="T83" s="29" t="n">
        <f aca="false">IF(C83=5,0,SUMIFS(Sch_Total,Sch_Idx,A83,Sch_Scen,E83,Sch_Year,"&lt;="&amp;G83))</f>
        <v>0.258749037782496</v>
      </c>
      <c r="U83" s="21" t="n">
        <f aca="false">K83+L83+R83</f>
        <v>0.97942773260048</v>
      </c>
      <c r="V83" s="21" t="n">
        <f aca="false">IF(C83=5,0,Q83-H83-U83)</f>
        <v>1.05014792979952</v>
      </c>
      <c r="W83" s="21" t="n">
        <f aca="false">IF(C83=5,0,MAX(0,IF(P83&gt;=2,IF(Q83&gt;Exempt,V83*(Q83-Exempt)/Q83,0),V83)))</f>
        <v>0.464824031400425</v>
      </c>
      <c r="X83" s="10" t="n">
        <f aca="false">IF(P83&gt;=2,MIN(MaxDed,MIN(0.4,HoldRate*G83)+MIN(0.4,LiveRate*P83)),IF(G83&gt;=3,MIN(0.3,0.02*G83),0))</f>
        <v>0.32</v>
      </c>
      <c r="Y83" s="21" t="n">
        <f aca="false">MAX(0,W83*(1-X83)-InitDed)</f>
        <v>0.291080341352289</v>
      </c>
      <c r="Z83" s="29" t="n">
        <f aca="false">SUMPRODUCT((Y83&gt;CLo)*(Y83-CLo)*CD)*(1+LocalTax)</f>
        <v>0.0341682563231277</v>
      </c>
      <c r="AA83" s="21" t="n">
        <f aca="false">K83+T83+Z83</f>
        <v>0.936417294105624</v>
      </c>
      <c r="AB83" s="29" t="n">
        <f aca="false">IF(C83=5,0,(Q83-H83)-K83-L83-R83-S83-T83-Z83)</f>
        <v>0.289803587080927</v>
      </c>
      <c r="AC83" s="21" t="n">
        <f aca="false">IF(C83=5,0,N83*((1+DepRate*(1-DepTax))^G83-1))</f>
        <v>2.17798668245584</v>
      </c>
      <c r="AD83" s="29" t="n">
        <f aca="false">IF(C83=5,0,AB83-AC83+I83*(((1+DepRate*(1-DepTax))^G83-1)-((1+DepRate*(1-DepTax))^O83-1)))</f>
        <v>-1.05566000787758</v>
      </c>
      <c r="AE83" s="30" t="n">
        <f aca="false">IF(J83&gt;0,-PMT(Rm,LoanYears*12,J83)*10000,0)</f>
        <v>190.966118186184</v>
      </c>
      <c r="AF83" s="21" t="n">
        <f aca="false">IF(J83&gt;0,-PMT((Rate+Stress)/12,LoanYears*12,J83)*12/DSR,0)</f>
        <v>0.79836299421502</v>
      </c>
      <c r="AG83" s="20" t="n">
        <f aca="false">IF(N83&lt;=CapA,1,0)</f>
        <v>0</v>
      </c>
      <c r="AH83" s="20" t="n">
        <f aca="false">IF(N83&lt;=CapB,1,0)</f>
        <v>0</v>
      </c>
      <c r="AI83" s="20" t="n">
        <f aca="false">IF(N83&lt;=CapC,1,0)</f>
        <v>0</v>
      </c>
      <c r="AJ83" s="21" t="n">
        <f aca="false">IF(AG83=1,AD83,-999)</f>
        <v>-999</v>
      </c>
      <c r="AK83" s="21" t="n">
        <f aca="false">IF(AH83=1,AD83,-999)</f>
        <v>-999</v>
      </c>
      <c r="AL83" s="21" t="n">
        <f aca="false">IF(AI83=1,AD83,-999)</f>
        <v>-999</v>
      </c>
      <c r="AM83" s="21" t="str">
        <f aca="false">C83&amp;"|"&amp;E83&amp;"|"&amp;G83&amp;"|"&amp;TEXT(AJ83,"0.00000")</f>
        <v>4|1|5|-999.00000</v>
      </c>
      <c r="AN83" s="21" t="str">
        <f aca="false">C83&amp;"|"&amp;E83&amp;"|"&amp;G83&amp;"|"&amp;TEXT(AK83,"0.00000")</f>
        <v>4|1|5|-999.00000</v>
      </c>
      <c r="AO83" s="21" t="str">
        <f aca="false">C83&amp;"|"&amp;E83&amp;"|"&amp;G83&amp;"|"&amp;TEXT(AL83,"0.00000")</f>
        <v>4|1|5|-999.00000</v>
      </c>
    </row>
    <row r="84" customFormat="false" ht="15" hidden="false" customHeight="false" outlineLevel="0" collapsed="false">
      <c r="A84" s="20" t="n">
        <v>3</v>
      </c>
      <c r="B84" s="18" t="str">
        <f aca="false">INDEX(C_Name,A84)</f>
        <v>문래자이 84㎡</v>
      </c>
      <c r="C84" s="20" t="n">
        <v>4</v>
      </c>
      <c r="D84" s="21" t="str">
        <f aca="false">CHOOSE(C84,"1안 표준형(대출 최대)","2안 절충형(대출 50%)","3안 무대출형","4안 임대차 승계 후 입주","5안 매수 보류(전세 거주)")</f>
        <v>4안 임대차 승계 후 입주</v>
      </c>
      <c r="E84" s="20" t="n">
        <v>1</v>
      </c>
      <c r="F84" s="10" t="n">
        <f aca="false">CHOOSE(E84,GrowLo,GrowMid,GrowHi)</f>
        <v>0.02</v>
      </c>
      <c r="G84" s="20" t="n">
        <v>10</v>
      </c>
      <c r="H84" s="18" t="n">
        <f aca="false">INDEX(C_Price,A84)</f>
        <v>19.5</v>
      </c>
      <c r="I84" s="18" t="n">
        <f aca="false">INDEX(C_Jeonse,A84)</f>
        <v>10.14</v>
      </c>
      <c r="J84" s="21" t="n">
        <f aca="false">IF(C84=5,0,IF(C84=1,INDEX(C_Loan,A84),IF(C84=2,INDEX(C_Loan,A84)*LoanShare2,IF(C84=3,0,MIN(INDEX(C_Loan,A84),I84)))))</f>
        <v>4</v>
      </c>
      <c r="K84" s="18" t="n">
        <f aca="false">IF(C84=5,0,INDEX(C_Acq,A84))</f>
        <v>0.6435</v>
      </c>
      <c r="L84" s="18" t="n">
        <f aca="false">IF(C84=5,0,INDEX(C_Fee,A84))</f>
        <v>0.17015</v>
      </c>
      <c r="M84" s="21" t="n">
        <f aca="false">IF(C84=4,MAX(0,I84-J84),0)</f>
        <v>6.14</v>
      </c>
      <c r="N84" s="21" t="n">
        <f aca="false">IF(C84=5,I84,IF(C84=4,(H84-I84)+K84+L84+M84,H84-J84+K84+L84))</f>
        <v>16.31365</v>
      </c>
      <c r="O84" s="20" t="n">
        <f aca="false">IF(C84=4,RentYears,0)</f>
        <v>2</v>
      </c>
      <c r="P84" s="20" t="n">
        <f aca="false">IF(C84=5,0,MAX(0,G84-O84-NonRes))</f>
        <v>8</v>
      </c>
      <c r="Q84" s="21" t="n">
        <f aca="false">IF(C84=5,0,H84*(1+F84)^G84)</f>
        <v>23.7703911898978</v>
      </c>
      <c r="R84" s="21" t="n">
        <f aca="false">IF(C84=5,0,Q84*LOOKUP(Q84,FeeLo,FeeR)*(1+VAT))</f>
        <v>0.183032012162213</v>
      </c>
      <c r="S84" s="21" t="n">
        <f aca="false">IF(J84&gt;0,-CUMIPMT(Rm,LoanYears*12,J84,1,(G84-O84)*12,0),0)</f>
        <v>1.18249376679461</v>
      </c>
      <c r="T84" s="29" t="n">
        <f aca="false">IF(C84=5,0,SUMIFS(Sch_Total,Sch_Idx,A84,Sch_Scen,E84,Sch_Year,"&lt;="&amp;G84))</f>
        <v>0.570844591096781</v>
      </c>
      <c r="U84" s="21" t="n">
        <f aca="false">K84+L84+R84</f>
        <v>0.996682012162213</v>
      </c>
      <c r="V84" s="21" t="n">
        <f aca="false">IF(C84=5,0,Q84-H84-U84)</f>
        <v>3.27370917773556</v>
      </c>
      <c r="W84" s="21" t="n">
        <f aca="false">IF(C84=5,0,MAX(0,IF(P84&gt;=2,IF(Q84&gt;Exempt,V84*(Q84-Exempt)/Q84,0),V84)))</f>
        <v>1.62104348035645</v>
      </c>
      <c r="X84" s="10" t="n">
        <f aca="false">IF(P84&gt;=2,MIN(MaxDed,MIN(0.4,HoldRate*G84)+MIN(0.4,LiveRate*P84)),IF(G84&gt;=3,MIN(0.3,0.02*G84),0))</f>
        <v>0.72</v>
      </c>
      <c r="Y84" s="21" t="n">
        <f aca="false">MAX(0,W84*(1-X84)-InitDed)</f>
        <v>0.428892174499805</v>
      </c>
      <c r="Z84" s="29" t="n">
        <f aca="false">SUMPRODUCT((Y84&gt;CLo)*(Y84-CLo)*CD)*(1+LocalTax)</f>
        <v>0.0569072087924678</v>
      </c>
      <c r="AA84" s="21" t="n">
        <f aca="false">K84+T84+Z84</f>
        <v>1.27125179988925</v>
      </c>
      <c r="AB84" s="29" t="n">
        <f aca="false">IF(C84=5,0,(Q84-H84)-K84-L84-R84-S84-T84-Z84)</f>
        <v>1.4634636110517</v>
      </c>
      <c r="AC84" s="21" t="n">
        <f aca="false">IF(C84=5,0,N84*((1+DepRate*(1-DepTax))^G84-1))</f>
        <v>4.64674986121723</v>
      </c>
      <c r="AD84" s="29" t="n">
        <f aca="false">IF(C84=5,0,AB84-AC84+I84*(((1+DepRate*(1-DepTax))^G84-1)-((1+DepRate*(1-DepTax))^O84-1)))</f>
        <v>-0.816265448628699</v>
      </c>
      <c r="AE84" s="30" t="n">
        <f aca="false">IF(J84&gt;0,-PMT(Rm,LoanYears*12,J84)*10000,0)</f>
        <v>190.966118186184</v>
      </c>
      <c r="AF84" s="21" t="n">
        <f aca="false">IF(J84&gt;0,-PMT((Rate+Stress)/12,LoanYears*12,J84)*12/DSR,0)</f>
        <v>0.79836299421502</v>
      </c>
      <c r="AG84" s="20" t="n">
        <f aca="false">IF(N84&lt;=CapA,1,0)</f>
        <v>0</v>
      </c>
      <c r="AH84" s="20" t="n">
        <f aca="false">IF(N84&lt;=CapB,1,0)</f>
        <v>0</v>
      </c>
      <c r="AI84" s="20" t="n">
        <f aca="false">IF(N84&lt;=CapC,1,0)</f>
        <v>0</v>
      </c>
      <c r="AJ84" s="21" t="n">
        <f aca="false">IF(AG84=1,AD84,-999)</f>
        <v>-999</v>
      </c>
      <c r="AK84" s="21" t="n">
        <f aca="false">IF(AH84=1,AD84,-999)</f>
        <v>-999</v>
      </c>
      <c r="AL84" s="21" t="n">
        <f aca="false">IF(AI84=1,AD84,-999)</f>
        <v>-999</v>
      </c>
      <c r="AM84" s="21" t="str">
        <f aca="false">C84&amp;"|"&amp;E84&amp;"|"&amp;G84&amp;"|"&amp;TEXT(AJ84,"0.00000")</f>
        <v>4|1|10|-999.00000</v>
      </c>
      <c r="AN84" s="21" t="str">
        <f aca="false">C84&amp;"|"&amp;E84&amp;"|"&amp;G84&amp;"|"&amp;TEXT(AK84,"0.00000")</f>
        <v>4|1|10|-999.00000</v>
      </c>
      <c r="AO84" s="21" t="str">
        <f aca="false">C84&amp;"|"&amp;E84&amp;"|"&amp;G84&amp;"|"&amp;TEXT(AL84,"0.00000")</f>
        <v>4|1|10|-999.00000</v>
      </c>
    </row>
    <row r="85" customFormat="false" ht="15" hidden="false" customHeight="false" outlineLevel="0" collapsed="false">
      <c r="A85" s="20" t="n">
        <v>3</v>
      </c>
      <c r="B85" s="18" t="str">
        <f aca="false">INDEX(C_Name,A85)</f>
        <v>문래자이 84㎡</v>
      </c>
      <c r="C85" s="20" t="n">
        <v>4</v>
      </c>
      <c r="D85" s="21" t="str">
        <f aca="false">CHOOSE(C85,"1안 표준형(대출 최대)","2안 절충형(대출 50%)","3안 무대출형","4안 임대차 승계 후 입주","5안 매수 보류(전세 거주)")</f>
        <v>4안 임대차 승계 후 입주</v>
      </c>
      <c r="E85" s="20" t="n">
        <v>2</v>
      </c>
      <c r="F85" s="10" t="n">
        <f aca="false">CHOOSE(E85,GrowLo,GrowMid,GrowHi)</f>
        <v>0.04</v>
      </c>
      <c r="G85" s="20" t="n">
        <v>5</v>
      </c>
      <c r="H85" s="18" t="n">
        <f aca="false">INDEX(C_Price,A85)</f>
        <v>19.5</v>
      </c>
      <c r="I85" s="18" t="n">
        <f aca="false">INDEX(C_Jeonse,A85)</f>
        <v>10.14</v>
      </c>
      <c r="J85" s="21" t="n">
        <f aca="false">IF(C85=5,0,IF(C85=1,INDEX(C_Loan,A85),IF(C85=2,INDEX(C_Loan,A85)*LoanShare2,IF(C85=3,0,MIN(INDEX(C_Loan,A85),I85)))))</f>
        <v>4</v>
      </c>
      <c r="K85" s="18" t="n">
        <f aca="false">IF(C85=5,0,INDEX(C_Acq,A85))</f>
        <v>0.6435</v>
      </c>
      <c r="L85" s="18" t="n">
        <f aca="false">IF(C85=5,0,INDEX(C_Fee,A85))</f>
        <v>0.17015</v>
      </c>
      <c r="M85" s="21" t="n">
        <f aca="false">IF(C85=4,MAX(0,I85-J85),0)</f>
        <v>6.14</v>
      </c>
      <c r="N85" s="21" t="n">
        <f aca="false">IF(C85=5,I85,IF(C85=4,(H85-I85)+K85+L85+M85,H85-J85+K85+L85))</f>
        <v>16.31365</v>
      </c>
      <c r="O85" s="20" t="n">
        <f aca="false">IF(C85=4,RentYears,0)</f>
        <v>2</v>
      </c>
      <c r="P85" s="20" t="n">
        <f aca="false">IF(C85=5,0,MAX(0,G85-O85-NonRes))</f>
        <v>3</v>
      </c>
      <c r="Q85" s="21" t="n">
        <f aca="false">IF(C85=5,0,H85*(1+F85)^G85)</f>
        <v>23.7247315968</v>
      </c>
      <c r="R85" s="21" t="n">
        <f aca="false">IF(C85=5,0,Q85*LOOKUP(Q85,FeeLo,FeeR)*(1+VAT))</f>
        <v>0.18268043329536</v>
      </c>
      <c r="S85" s="21" t="n">
        <f aca="false">IF(J85&gt;0,-CUMIPMT(Rm,LoanYears*12,J85,1,(G85-O85)*12,0),0)</f>
        <v>0.467427048612969</v>
      </c>
      <c r="T85" s="29" t="n">
        <f aca="false">IF(C85=5,0,SUMIFS(Sch_Total,Sch_Idx,A85,Sch_Scen,E85,Sch_Year,"&lt;="&amp;G85))</f>
        <v>0.279656858727936</v>
      </c>
      <c r="U85" s="21" t="n">
        <f aca="false">K85+L85+R85</f>
        <v>0.99633043329536</v>
      </c>
      <c r="V85" s="21" t="n">
        <f aca="false">IF(C85=5,0,Q85-H85-U85)</f>
        <v>3.22840116350464</v>
      </c>
      <c r="W85" s="21" t="n">
        <f aca="false">IF(C85=5,0,MAX(0,IF(P85&gt;=2,IF(Q85&gt;Exempt,V85*(Q85-Exempt)/Q85,0),V85)))</f>
        <v>1.59547166948748</v>
      </c>
      <c r="X85" s="10" t="n">
        <f aca="false">IF(P85&gt;=2,MIN(MaxDed,MIN(0.4,HoldRate*G85)+MIN(0.4,LiveRate*P85)),IF(G85&gt;=3,MIN(0.3,0.02*G85),0))</f>
        <v>0.32</v>
      </c>
      <c r="Y85" s="21" t="n">
        <f aca="false">MAX(0,W85*(1-X85)-InitDed)</f>
        <v>1.05992073525148</v>
      </c>
      <c r="Z85" s="29" t="n">
        <f aca="false">SUMPRODUCT((Y85&gt;CLo)*(Y85-CLo)*CD)*(1+LocalTax)</f>
        <v>0.238229483071821</v>
      </c>
      <c r="AA85" s="21" t="n">
        <f aca="false">K85+T85+Z85</f>
        <v>1.16138634179976</v>
      </c>
      <c r="AB85" s="29" t="n">
        <f aca="false">IF(C85=5,0,(Q85-H85)-K85-L85-R85-S85-T85-Z85)</f>
        <v>2.24308777309192</v>
      </c>
      <c r="AC85" s="21" t="n">
        <f aca="false">IF(C85=5,0,N85*((1+DepRate*(1-DepTax))^G85-1))</f>
        <v>2.17798668245584</v>
      </c>
      <c r="AD85" s="29" t="n">
        <f aca="false">IF(C85=5,0,AB85-AC85+I85*(((1+DepRate*(1-DepTax))^G85-1)-((1+DepRate*(1-DepTax))^O85-1)))</f>
        <v>0.897624178133409</v>
      </c>
      <c r="AE85" s="30" t="n">
        <f aca="false">IF(J85&gt;0,-PMT(Rm,LoanYears*12,J85)*10000,0)</f>
        <v>190.966118186184</v>
      </c>
      <c r="AF85" s="21" t="n">
        <f aca="false">IF(J85&gt;0,-PMT((Rate+Stress)/12,LoanYears*12,J85)*12/DSR,0)</f>
        <v>0.79836299421502</v>
      </c>
      <c r="AG85" s="20" t="n">
        <f aca="false">IF(N85&lt;=CapA,1,0)</f>
        <v>0</v>
      </c>
      <c r="AH85" s="20" t="n">
        <f aca="false">IF(N85&lt;=CapB,1,0)</f>
        <v>0</v>
      </c>
      <c r="AI85" s="20" t="n">
        <f aca="false">IF(N85&lt;=CapC,1,0)</f>
        <v>0</v>
      </c>
      <c r="AJ85" s="21" t="n">
        <f aca="false">IF(AG85=1,AD85,-999)</f>
        <v>-999</v>
      </c>
      <c r="AK85" s="21" t="n">
        <f aca="false">IF(AH85=1,AD85,-999)</f>
        <v>-999</v>
      </c>
      <c r="AL85" s="21" t="n">
        <f aca="false">IF(AI85=1,AD85,-999)</f>
        <v>-999</v>
      </c>
      <c r="AM85" s="21" t="str">
        <f aca="false">C85&amp;"|"&amp;E85&amp;"|"&amp;G85&amp;"|"&amp;TEXT(AJ85,"0.00000")</f>
        <v>4|2|5|-999.00000</v>
      </c>
      <c r="AN85" s="21" t="str">
        <f aca="false">C85&amp;"|"&amp;E85&amp;"|"&amp;G85&amp;"|"&amp;TEXT(AK85,"0.00000")</f>
        <v>4|2|5|-999.00000</v>
      </c>
      <c r="AO85" s="21" t="str">
        <f aca="false">C85&amp;"|"&amp;E85&amp;"|"&amp;G85&amp;"|"&amp;TEXT(AL85,"0.00000")</f>
        <v>4|2|5|-999.00000</v>
      </c>
    </row>
    <row r="86" customFormat="false" ht="15" hidden="false" customHeight="false" outlineLevel="0" collapsed="false">
      <c r="A86" s="20" t="n">
        <v>3</v>
      </c>
      <c r="B86" s="18" t="str">
        <f aca="false">INDEX(C_Name,A86)</f>
        <v>문래자이 84㎡</v>
      </c>
      <c r="C86" s="20" t="n">
        <v>4</v>
      </c>
      <c r="D86" s="21" t="str">
        <f aca="false">CHOOSE(C86,"1안 표준형(대출 최대)","2안 절충형(대출 50%)","3안 무대출형","4안 임대차 승계 후 입주","5안 매수 보류(전세 거주)")</f>
        <v>4안 임대차 승계 후 입주</v>
      </c>
      <c r="E86" s="20" t="n">
        <v>2</v>
      </c>
      <c r="F86" s="10" t="n">
        <f aca="false">CHOOSE(E86,GrowLo,GrowMid,GrowHi)</f>
        <v>0.04</v>
      </c>
      <c r="G86" s="20" t="n">
        <v>10</v>
      </c>
      <c r="H86" s="18" t="n">
        <f aca="false">INDEX(C_Price,A86)</f>
        <v>19.5</v>
      </c>
      <c r="I86" s="18" t="n">
        <f aca="false">INDEX(C_Jeonse,A86)</f>
        <v>10.14</v>
      </c>
      <c r="J86" s="21" t="n">
        <f aca="false">IF(C86=5,0,IF(C86=1,INDEX(C_Loan,A86),IF(C86=2,INDEX(C_Loan,A86)*LoanShare2,IF(C86=3,0,MIN(INDEX(C_Loan,A86),I86)))))</f>
        <v>4</v>
      </c>
      <c r="K86" s="18" t="n">
        <f aca="false">IF(C86=5,0,INDEX(C_Acq,A86))</f>
        <v>0.6435</v>
      </c>
      <c r="L86" s="18" t="n">
        <f aca="false">IF(C86=5,0,INDEX(C_Fee,A86))</f>
        <v>0.17015</v>
      </c>
      <c r="M86" s="21" t="n">
        <f aca="false">IF(C86=4,MAX(0,I86-J86),0)</f>
        <v>6.14</v>
      </c>
      <c r="N86" s="21" t="n">
        <f aca="false">IF(C86=5,I86,IF(C86=4,(H86-I86)+K86+L86+M86,H86-J86+K86+L86))</f>
        <v>16.31365</v>
      </c>
      <c r="O86" s="20" t="n">
        <f aca="false">IF(C86=4,RentYears,0)</f>
        <v>2</v>
      </c>
      <c r="P86" s="20" t="n">
        <f aca="false">IF(C86=5,0,MAX(0,G86-O86-NonRes))</f>
        <v>8</v>
      </c>
      <c r="Q86" s="21" t="n">
        <f aca="false">IF(C86=5,0,H86*(1+F86)^G86)</f>
        <v>28.8647635559077</v>
      </c>
      <c r="R86" s="21" t="n">
        <f aca="false">IF(C86=5,0,Q86*LOOKUP(Q86,FeeLo,FeeR)*(1+VAT))</f>
        <v>0.222258679380489</v>
      </c>
      <c r="S86" s="21" t="n">
        <f aca="false">IF(J86&gt;0,-CUMIPMT(Rm,LoanYears*12,J86,1,(G86-O86)*12,0),0)</f>
        <v>1.18249376679461</v>
      </c>
      <c r="T86" s="29" t="n">
        <f aca="false">IF(C86=5,0,SUMIFS(Sch_Total,Sch_Idx,A86,Sch_Scen,E86,Sch_Year,"&lt;="&amp;G86))</f>
        <v>0.681074194754121</v>
      </c>
      <c r="U86" s="21" t="n">
        <f aca="false">K86+L86+R86</f>
        <v>1.03590867938049</v>
      </c>
      <c r="V86" s="21" t="n">
        <f aca="false">IF(C86=5,0,Q86-H86-U86)</f>
        <v>8.32885487652723</v>
      </c>
      <c r="W86" s="21" t="n">
        <f aca="false">IF(C86=5,0,MAX(0,IF(P86&gt;=2,IF(Q86&gt;Exempt,V86*(Q86-Exempt)/Q86,0),V86)))</f>
        <v>4.86628507841534</v>
      </c>
      <c r="X86" s="10" t="n">
        <f aca="false">IF(P86&gt;=2,MIN(MaxDed,MIN(0.4,HoldRate*G86)+MIN(0.4,LiveRate*P86)),IF(G86&gt;=3,MIN(0.3,0.02*G86),0))</f>
        <v>0.72</v>
      </c>
      <c r="Y86" s="21" t="n">
        <f aca="false">MAX(0,W86*(1-X86)-InitDed)</f>
        <v>1.3375598219563</v>
      </c>
      <c r="Z86" s="29" t="n">
        <f aca="false">SUMPRODUCT((Y86&gt;CLo)*(Y86-CLo)*CD)*(1+LocalTax)</f>
        <v>0.345120531453174</v>
      </c>
      <c r="AA86" s="21" t="n">
        <f aca="false">K86+T86+Z86</f>
        <v>1.66969472620729</v>
      </c>
      <c r="AB86" s="29" t="n">
        <f aca="false">IF(C86=5,0,(Q86-H86)-K86-L86-R86-S86-T86-Z86)</f>
        <v>6.12016638352532</v>
      </c>
      <c r="AC86" s="21" t="n">
        <f aca="false">IF(C86=5,0,N86*((1+DepRate*(1-DepTax))^G86-1))</f>
        <v>4.64674986121723</v>
      </c>
      <c r="AD86" s="29" t="n">
        <f aca="false">IF(C86=5,0,AB86-AC86+I86*(((1+DepRate*(1-DepTax))^G86-1)-((1+DepRate*(1-DepTax))^O86-1)))</f>
        <v>3.84043732384493</v>
      </c>
      <c r="AE86" s="30" t="n">
        <f aca="false">IF(J86&gt;0,-PMT(Rm,LoanYears*12,J86)*10000,0)</f>
        <v>190.966118186184</v>
      </c>
      <c r="AF86" s="21" t="n">
        <f aca="false">IF(J86&gt;0,-PMT((Rate+Stress)/12,LoanYears*12,J86)*12/DSR,0)</f>
        <v>0.79836299421502</v>
      </c>
      <c r="AG86" s="20" t="n">
        <f aca="false">IF(N86&lt;=CapA,1,0)</f>
        <v>0</v>
      </c>
      <c r="AH86" s="20" t="n">
        <f aca="false">IF(N86&lt;=CapB,1,0)</f>
        <v>0</v>
      </c>
      <c r="AI86" s="20" t="n">
        <f aca="false">IF(N86&lt;=CapC,1,0)</f>
        <v>0</v>
      </c>
      <c r="AJ86" s="21" t="n">
        <f aca="false">IF(AG86=1,AD86,-999)</f>
        <v>-999</v>
      </c>
      <c r="AK86" s="21" t="n">
        <f aca="false">IF(AH86=1,AD86,-999)</f>
        <v>-999</v>
      </c>
      <c r="AL86" s="21" t="n">
        <f aca="false">IF(AI86=1,AD86,-999)</f>
        <v>-999</v>
      </c>
      <c r="AM86" s="21" t="str">
        <f aca="false">C86&amp;"|"&amp;E86&amp;"|"&amp;G86&amp;"|"&amp;TEXT(AJ86,"0.00000")</f>
        <v>4|2|10|-999.00000</v>
      </c>
      <c r="AN86" s="21" t="str">
        <f aca="false">C86&amp;"|"&amp;E86&amp;"|"&amp;G86&amp;"|"&amp;TEXT(AK86,"0.00000")</f>
        <v>4|2|10|-999.00000</v>
      </c>
      <c r="AO86" s="21" t="str">
        <f aca="false">C86&amp;"|"&amp;E86&amp;"|"&amp;G86&amp;"|"&amp;TEXT(AL86,"0.00000")</f>
        <v>4|2|10|-999.00000</v>
      </c>
    </row>
    <row r="87" customFormat="false" ht="15" hidden="false" customHeight="false" outlineLevel="0" collapsed="false">
      <c r="A87" s="20" t="n">
        <v>3</v>
      </c>
      <c r="B87" s="18" t="str">
        <f aca="false">INDEX(C_Name,A87)</f>
        <v>문래자이 84㎡</v>
      </c>
      <c r="C87" s="20" t="n">
        <v>4</v>
      </c>
      <c r="D87" s="21" t="str">
        <f aca="false">CHOOSE(C87,"1안 표준형(대출 최대)","2안 절충형(대출 50%)","3안 무대출형","4안 임대차 승계 후 입주","5안 매수 보류(전세 거주)")</f>
        <v>4안 임대차 승계 후 입주</v>
      </c>
      <c r="E87" s="20" t="n">
        <v>3</v>
      </c>
      <c r="F87" s="10" t="n">
        <f aca="false">CHOOSE(E87,GrowLo,GrowMid,GrowHi)</f>
        <v>0.06</v>
      </c>
      <c r="G87" s="20" t="n">
        <v>5</v>
      </c>
      <c r="H87" s="18" t="n">
        <f aca="false">INDEX(C_Price,A87)</f>
        <v>19.5</v>
      </c>
      <c r="I87" s="18" t="n">
        <f aca="false">INDEX(C_Jeonse,A87)</f>
        <v>10.14</v>
      </c>
      <c r="J87" s="21" t="n">
        <f aca="false">IF(C87=5,0,IF(C87=1,INDEX(C_Loan,A87),IF(C87=2,INDEX(C_Loan,A87)*LoanShare2,IF(C87=3,0,MIN(INDEX(C_Loan,A87),I87)))))</f>
        <v>4</v>
      </c>
      <c r="K87" s="18" t="n">
        <f aca="false">IF(C87=5,0,INDEX(C_Acq,A87))</f>
        <v>0.6435</v>
      </c>
      <c r="L87" s="18" t="n">
        <f aca="false">IF(C87=5,0,INDEX(C_Fee,A87))</f>
        <v>0.17015</v>
      </c>
      <c r="M87" s="21" t="n">
        <f aca="false">IF(C87=4,MAX(0,I87-J87),0)</f>
        <v>6.14</v>
      </c>
      <c r="N87" s="21" t="n">
        <f aca="false">IF(C87=5,I87,IF(C87=4,(H87-I87)+K87+L87+M87,H87-J87+K87+L87))</f>
        <v>16.31365</v>
      </c>
      <c r="O87" s="20" t="n">
        <f aca="false">IF(C87=4,RentYears,0)</f>
        <v>2</v>
      </c>
      <c r="P87" s="20" t="n">
        <f aca="false">IF(C87=5,0,MAX(0,G87-O87-NonRes))</f>
        <v>3</v>
      </c>
      <c r="Q87" s="21" t="n">
        <f aca="false">IF(C87=5,0,H87*(1+F87)^G87)</f>
        <v>26.0953987632</v>
      </c>
      <c r="R87" s="21" t="n">
        <f aca="false">IF(C87=5,0,Q87*LOOKUP(Q87,FeeLo,FeeR)*(1+VAT))</f>
        <v>0.20093457047664</v>
      </c>
      <c r="S87" s="21" t="n">
        <f aca="false">IF(J87&gt;0,-CUMIPMT(Rm,LoanYears*12,J87,1,(G87-O87)*12,0),0)</f>
        <v>0.467427048612969</v>
      </c>
      <c r="T87" s="29" t="n">
        <f aca="false">IF(C87=5,0,SUMIFS(Sch_Total,Sch_Idx,A87,Sch_Scen,E87,Sch_Year,"&lt;="&amp;G87))</f>
        <v>0.301400667886176</v>
      </c>
      <c r="U87" s="21" t="n">
        <f aca="false">K87+L87+R87</f>
        <v>1.01458457047664</v>
      </c>
      <c r="V87" s="21" t="n">
        <f aca="false">IF(C87=5,0,Q87-H87-U87)</f>
        <v>5.58081419272337</v>
      </c>
      <c r="W87" s="21" t="n">
        <f aca="false">IF(C87=5,0,MAX(0,IF(P87&gt;=2,IF(Q87&gt;Exempt,V87*(Q87-Exempt)/Q87,0),V87)))</f>
        <v>3.01447018240988</v>
      </c>
      <c r="X87" s="10" t="n">
        <f aca="false">IF(P87&gt;=2,MIN(MaxDed,MIN(0.4,HoldRate*G87)+MIN(0.4,LiveRate*P87)),IF(G87&gt;=3,MIN(0.3,0.02*G87),0))</f>
        <v>0.32</v>
      </c>
      <c r="Y87" s="21" t="n">
        <f aca="false">MAX(0,W87*(1-X87)-InitDed)</f>
        <v>2.02483972403872</v>
      </c>
      <c r="Z87" s="29" t="n">
        <f aca="false">SUMPRODUCT((Y87&gt;CLo)*(Y87-CLo)*CD)*(1+LocalTax)</f>
        <v>0.627043004648183</v>
      </c>
      <c r="AA87" s="21" t="n">
        <f aca="false">K87+T87+Z87</f>
        <v>1.57194367253436</v>
      </c>
      <c r="AB87" s="29" t="n">
        <f aca="false">IF(C87=5,0,(Q87-H87)-K87-L87-R87-S87-T87-Z87)</f>
        <v>4.18494347157604</v>
      </c>
      <c r="AC87" s="21" t="n">
        <f aca="false">IF(C87=5,0,N87*((1+DepRate*(1-DepTax))^G87-1))</f>
        <v>2.17798668245584</v>
      </c>
      <c r="AD87" s="29" t="n">
        <f aca="false">IF(C87=5,0,AB87-AC87+I87*(((1+DepRate*(1-DepTax))^G87-1)-((1+DepRate*(1-DepTax))^O87-1)))</f>
        <v>2.83947987661753</v>
      </c>
      <c r="AE87" s="30" t="n">
        <f aca="false">IF(J87&gt;0,-PMT(Rm,LoanYears*12,J87)*10000,0)</f>
        <v>190.966118186184</v>
      </c>
      <c r="AF87" s="21" t="n">
        <f aca="false">IF(J87&gt;0,-PMT((Rate+Stress)/12,LoanYears*12,J87)*12/DSR,0)</f>
        <v>0.79836299421502</v>
      </c>
      <c r="AG87" s="20" t="n">
        <f aca="false">IF(N87&lt;=CapA,1,0)</f>
        <v>0</v>
      </c>
      <c r="AH87" s="20" t="n">
        <f aca="false">IF(N87&lt;=CapB,1,0)</f>
        <v>0</v>
      </c>
      <c r="AI87" s="20" t="n">
        <f aca="false">IF(N87&lt;=CapC,1,0)</f>
        <v>0</v>
      </c>
      <c r="AJ87" s="21" t="n">
        <f aca="false">IF(AG87=1,AD87,-999)</f>
        <v>-999</v>
      </c>
      <c r="AK87" s="21" t="n">
        <f aca="false">IF(AH87=1,AD87,-999)</f>
        <v>-999</v>
      </c>
      <c r="AL87" s="21" t="n">
        <f aca="false">IF(AI87=1,AD87,-999)</f>
        <v>-999</v>
      </c>
      <c r="AM87" s="21" t="str">
        <f aca="false">C87&amp;"|"&amp;E87&amp;"|"&amp;G87&amp;"|"&amp;TEXT(AJ87,"0.00000")</f>
        <v>4|3|5|-999.00000</v>
      </c>
      <c r="AN87" s="21" t="str">
        <f aca="false">C87&amp;"|"&amp;E87&amp;"|"&amp;G87&amp;"|"&amp;TEXT(AK87,"0.00000")</f>
        <v>4|3|5|-999.00000</v>
      </c>
      <c r="AO87" s="21" t="str">
        <f aca="false">C87&amp;"|"&amp;E87&amp;"|"&amp;G87&amp;"|"&amp;TEXT(AL87,"0.00000")</f>
        <v>4|3|5|-999.00000</v>
      </c>
    </row>
    <row r="88" customFormat="false" ht="15" hidden="false" customHeight="false" outlineLevel="0" collapsed="false">
      <c r="A88" s="20" t="n">
        <v>3</v>
      </c>
      <c r="B88" s="18" t="str">
        <f aca="false">INDEX(C_Name,A88)</f>
        <v>문래자이 84㎡</v>
      </c>
      <c r="C88" s="20" t="n">
        <v>4</v>
      </c>
      <c r="D88" s="21" t="str">
        <f aca="false">CHOOSE(C88,"1안 표준형(대출 최대)","2안 절충형(대출 50%)","3안 무대출형","4안 임대차 승계 후 입주","5안 매수 보류(전세 거주)")</f>
        <v>4안 임대차 승계 후 입주</v>
      </c>
      <c r="E88" s="20" t="n">
        <v>3</v>
      </c>
      <c r="F88" s="10" t="n">
        <f aca="false">CHOOSE(E88,GrowLo,GrowMid,GrowHi)</f>
        <v>0.06</v>
      </c>
      <c r="G88" s="20" t="n">
        <v>10</v>
      </c>
      <c r="H88" s="18" t="n">
        <f aca="false">INDEX(C_Price,A88)</f>
        <v>19.5</v>
      </c>
      <c r="I88" s="18" t="n">
        <f aca="false">INDEX(C_Jeonse,A88)</f>
        <v>10.14</v>
      </c>
      <c r="J88" s="21" t="n">
        <f aca="false">IF(C88=5,0,IF(C88=1,INDEX(C_Loan,A88),IF(C88=2,INDEX(C_Loan,A88)*LoanShare2,IF(C88=3,0,MIN(INDEX(C_Loan,A88),I88)))))</f>
        <v>4</v>
      </c>
      <c r="K88" s="18" t="n">
        <f aca="false">IF(C88=5,0,INDEX(C_Acq,A88))</f>
        <v>0.6435</v>
      </c>
      <c r="L88" s="18" t="n">
        <f aca="false">IF(C88=5,0,INDEX(C_Fee,A88))</f>
        <v>0.17015</v>
      </c>
      <c r="M88" s="21" t="n">
        <f aca="false">IF(C88=4,MAX(0,I88-J88),0)</f>
        <v>6.14</v>
      </c>
      <c r="N88" s="21" t="n">
        <f aca="false">IF(C88=5,I88,IF(C88=4,(H88-I88)+K88+L88+M88,H88-J88+K88+L88))</f>
        <v>16.31365</v>
      </c>
      <c r="O88" s="20" t="n">
        <f aca="false">IF(C88=4,RentYears,0)</f>
        <v>2</v>
      </c>
      <c r="P88" s="20" t="n">
        <f aca="false">IF(C88=5,0,MAX(0,G88-O88-NonRes))</f>
        <v>8</v>
      </c>
      <c r="Q88" s="21" t="n">
        <f aca="false">IF(C88=5,0,H88*(1+F88)^G88)</f>
        <v>34.9215300825857</v>
      </c>
      <c r="R88" s="21" t="n">
        <f aca="false">IF(C88=5,0,Q88*LOOKUP(Q88,FeeLo,FeeR)*(1+VAT))</f>
        <v>0.26889578163591</v>
      </c>
      <c r="S88" s="21" t="n">
        <f aca="false">IF(J88&gt;0,-CUMIPMT(Rm,LoanYears*12,J88,1,(G88-O88)*12,0),0)</f>
        <v>1.18249376679461</v>
      </c>
      <c r="T88" s="29" t="n">
        <f aca="false">IF(C88=5,0,SUMIFS(Sch_Total,Sch_Idx,A88,Sch_Scen,E88,Sch_Year,"&lt;="&amp;G88))</f>
        <v>0.81592612609079</v>
      </c>
      <c r="U88" s="21" t="n">
        <f aca="false">K88+L88+R88</f>
        <v>1.08254578163591</v>
      </c>
      <c r="V88" s="21" t="n">
        <f aca="false">IF(C88=5,0,Q88-H88-U88)</f>
        <v>14.3389843009498</v>
      </c>
      <c r="W88" s="21" t="n">
        <f aca="false">IF(C88=5,0,MAX(0,IF(P88&gt;=2,IF(Q88&gt;Exempt,V88*(Q88-Exempt)/Q88,0),V88)))</f>
        <v>9.411714184077</v>
      </c>
      <c r="X88" s="10" t="n">
        <f aca="false">IF(P88&gt;=2,MIN(MaxDed,MIN(0.4,HoldRate*G88)+MIN(0.4,LiveRate*P88)),IF(G88&gt;=3,MIN(0.3,0.02*G88),0))</f>
        <v>0.72</v>
      </c>
      <c r="Y88" s="21" t="n">
        <f aca="false">MAX(0,W88*(1-X88)-InitDed)</f>
        <v>2.61027997154156</v>
      </c>
      <c r="Z88" s="29" t="n">
        <f aca="false">SUMPRODUCT((Y88&gt;CLo)*(Y88-CLo)*CD)*(1+LocalTax)</f>
        <v>0.871757028104373</v>
      </c>
      <c r="AA88" s="21" t="n">
        <f aca="false">K88+T88+Z88</f>
        <v>2.33118315419516</v>
      </c>
      <c r="AB88" s="29" t="n">
        <f aca="false">IF(C88=5,0,(Q88-H88)-K88-L88-R88-S88-T88-Z88)</f>
        <v>11.46880737996</v>
      </c>
      <c r="AC88" s="21" t="n">
        <f aca="false">IF(C88=5,0,N88*((1+DepRate*(1-DepTax))^G88-1))</f>
        <v>4.64674986121723</v>
      </c>
      <c r="AD88" s="29" t="n">
        <f aca="false">IF(C88=5,0,AB88-AC88+I88*(((1+DepRate*(1-DepTax))^G88-1)-((1+DepRate*(1-DepTax))^O88-1)))</f>
        <v>9.18907832027958</v>
      </c>
      <c r="AE88" s="30" t="n">
        <f aca="false">IF(J88&gt;0,-PMT(Rm,LoanYears*12,J88)*10000,0)</f>
        <v>190.966118186184</v>
      </c>
      <c r="AF88" s="21" t="n">
        <f aca="false">IF(J88&gt;0,-PMT((Rate+Stress)/12,LoanYears*12,J88)*12/DSR,0)</f>
        <v>0.79836299421502</v>
      </c>
      <c r="AG88" s="20" t="n">
        <f aca="false">IF(N88&lt;=CapA,1,0)</f>
        <v>0</v>
      </c>
      <c r="AH88" s="20" t="n">
        <f aca="false">IF(N88&lt;=CapB,1,0)</f>
        <v>0</v>
      </c>
      <c r="AI88" s="20" t="n">
        <f aca="false">IF(N88&lt;=CapC,1,0)</f>
        <v>0</v>
      </c>
      <c r="AJ88" s="21" t="n">
        <f aca="false">IF(AG88=1,AD88,-999)</f>
        <v>-999</v>
      </c>
      <c r="AK88" s="21" t="n">
        <f aca="false">IF(AH88=1,AD88,-999)</f>
        <v>-999</v>
      </c>
      <c r="AL88" s="21" t="n">
        <f aca="false">IF(AI88=1,AD88,-999)</f>
        <v>-999</v>
      </c>
      <c r="AM88" s="21" t="str">
        <f aca="false">C88&amp;"|"&amp;E88&amp;"|"&amp;G88&amp;"|"&amp;TEXT(AJ88,"0.00000")</f>
        <v>4|3|10|-999.00000</v>
      </c>
      <c r="AN88" s="21" t="str">
        <f aca="false">C88&amp;"|"&amp;E88&amp;"|"&amp;G88&amp;"|"&amp;TEXT(AK88,"0.00000")</f>
        <v>4|3|10|-999.00000</v>
      </c>
      <c r="AO88" s="21" t="str">
        <f aca="false">C88&amp;"|"&amp;E88&amp;"|"&amp;G88&amp;"|"&amp;TEXT(AL88,"0.00000")</f>
        <v>4|3|10|-999.00000</v>
      </c>
    </row>
    <row r="89" customFormat="false" ht="15" hidden="false" customHeight="false" outlineLevel="0" collapsed="false">
      <c r="A89" s="20" t="n">
        <v>3</v>
      </c>
      <c r="B89" s="18" t="str">
        <f aca="false">INDEX(C_Name,A89)</f>
        <v>문래자이 84㎡</v>
      </c>
      <c r="C89" s="20" t="n">
        <v>5</v>
      </c>
      <c r="D89" s="21" t="str">
        <f aca="false">CHOOSE(C89,"1안 표준형(대출 최대)","2안 절충형(대출 50%)","3안 무대출형","4안 임대차 승계 후 입주","5안 매수 보류(전세 거주)")</f>
        <v>5안 매수 보류(전세 거주)</v>
      </c>
      <c r="E89" s="20" t="n">
        <v>1</v>
      </c>
      <c r="F89" s="10" t="n">
        <f aca="false">CHOOSE(E89,GrowLo,GrowMid,GrowHi)</f>
        <v>0.02</v>
      </c>
      <c r="G89" s="20" t="n">
        <v>5</v>
      </c>
      <c r="H89" s="18" t="n">
        <f aca="false">INDEX(C_Price,A89)</f>
        <v>19.5</v>
      </c>
      <c r="I89" s="18" t="n">
        <f aca="false">INDEX(C_Jeonse,A89)</f>
        <v>10.14</v>
      </c>
      <c r="J89" s="21" t="n">
        <f aca="false">IF(C89=5,0,IF(C89=1,INDEX(C_Loan,A89),IF(C89=2,INDEX(C_Loan,A89)*LoanShare2,IF(C89=3,0,MIN(INDEX(C_Loan,A89),I89)))))</f>
        <v>0</v>
      </c>
      <c r="K89" s="18" t="n">
        <f aca="false">IF(C89=5,0,INDEX(C_Acq,A89))</f>
        <v>0</v>
      </c>
      <c r="L89" s="18" t="n">
        <f aca="false">IF(C89=5,0,INDEX(C_Fee,A89))</f>
        <v>0</v>
      </c>
      <c r="M89" s="21" t="n">
        <f aca="false">IF(C89=4,MAX(0,I89-J89),0)</f>
        <v>0</v>
      </c>
      <c r="N89" s="21" t="n">
        <f aca="false">IF(C89=5,I89,IF(C89=4,(H89-I89)+K89+L89+M89,H89-J89+K89+L89))</f>
        <v>10.14</v>
      </c>
      <c r="O89" s="20" t="n">
        <f aca="false">IF(C89=4,RentYears,0)</f>
        <v>0</v>
      </c>
      <c r="P89" s="20" t="n">
        <f aca="false">IF(C89=5,0,MAX(0,G89-O89-NonRes))</f>
        <v>0</v>
      </c>
      <c r="Q89" s="21" t="n">
        <f aca="false">IF(C89=5,0,H89*(1+F89)^G89)</f>
        <v>0</v>
      </c>
      <c r="R89" s="21" t="n">
        <f aca="false">IF(C89=5,0,Q89*LOOKUP(Q89,FeeLo,FeeR)*(1+VAT))</f>
        <v>0</v>
      </c>
      <c r="S89" s="21" t="n">
        <f aca="false">IF(J89&gt;0,-CUMIPMT(Rm,LoanYears*12,J89,1,(G89-O89)*12,0),0)</f>
        <v>0</v>
      </c>
      <c r="T89" s="29" t="n">
        <f aca="false">IF(C89=5,0,SUMIFS(Sch_Total,Sch_Idx,A89,Sch_Scen,E89,Sch_Year,"&lt;="&amp;G89))</f>
        <v>0</v>
      </c>
      <c r="U89" s="21" t="n">
        <f aca="false">K89+L89+R89</f>
        <v>0</v>
      </c>
      <c r="V89" s="21" t="n">
        <f aca="false">IF(C89=5,0,Q89-H89-U89)</f>
        <v>0</v>
      </c>
      <c r="W89" s="21" t="n">
        <f aca="false">IF(C89=5,0,MAX(0,IF(P89&gt;=2,IF(Q89&gt;Exempt,V89*(Q89-Exempt)/Q89,0),V89)))</f>
        <v>0</v>
      </c>
      <c r="X89" s="10" t="n">
        <f aca="false">IF(P89&gt;=2,MIN(MaxDed,MIN(0.4,HoldRate*G89)+MIN(0.4,LiveRate*P89)),IF(G89&gt;=3,MIN(0.3,0.02*G89),0))</f>
        <v>0.1</v>
      </c>
      <c r="Y89" s="21" t="n">
        <f aca="false">MAX(0,W89*(1-X89)-InitDed)</f>
        <v>0</v>
      </c>
      <c r="Z89" s="29" t="n">
        <f aca="false">SUMPRODUCT((Y89&gt;CLo)*(Y89-CLo)*CD)*(1+LocalTax)</f>
        <v>0</v>
      </c>
      <c r="AA89" s="21" t="n">
        <f aca="false">K89+T89+Z89</f>
        <v>0</v>
      </c>
      <c r="AB89" s="29" t="n">
        <f aca="false">IF(C89=5,0,(Q89-H89)-K89-L89-R89-S89-T89-Z89)</f>
        <v>0</v>
      </c>
      <c r="AC89" s="21" t="n">
        <f aca="false">IF(C89=5,0,N89*((1+DepRate*(1-DepTax))^G89-1))</f>
        <v>0</v>
      </c>
      <c r="AD89" s="29" t="n">
        <f aca="false">IF(C89=5,0,AB89-AC89+I89*(((1+DepRate*(1-DepTax))^G89-1)-((1+DepRate*(1-DepTax))^O89-1)))</f>
        <v>0</v>
      </c>
      <c r="AE89" s="30" t="n">
        <f aca="false">IF(J89&gt;0,-PMT(Rm,LoanYears*12,J89)*10000,0)</f>
        <v>0</v>
      </c>
      <c r="AF89" s="21" t="n">
        <f aca="false">IF(J89&gt;0,-PMT((Rate+Stress)/12,LoanYears*12,J89)*12/DSR,0)</f>
        <v>0</v>
      </c>
      <c r="AG89" s="20" t="n">
        <f aca="false">IF(N89&lt;=CapA,1,0)</f>
        <v>1</v>
      </c>
      <c r="AH89" s="20" t="n">
        <f aca="false">IF(N89&lt;=CapB,1,0)</f>
        <v>1</v>
      </c>
      <c r="AI89" s="20" t="n">
        <f aca="false">IF(N89&lt;=CapC,1,0)</f>
        <v>1</v>
      </c>
      <c r="AJ89" s="21" t="n">
        <f aca="false">IF(AG89=1,AD89,-999)</f>
        <v>0</v>
      </c>
      <c r="AK89" s="21" t="n">
        <f aca="false">IF(AH89=1,AD89,-999)</f>
        <v>0</v>
      </c>
      <c r="AL89" s="21" t="n">
        <f aca="false">IF(AI89=1,AD89,-999)</f>
        <v>0</v>
      </c>
      <c r="AM89" s="21" t="str">
        <f aca="false">C89&amp;"|"&amp;E89&amp;"|"&amp;G89&amp;"|"&amp;TEXT(AJ89,"0.00000")</f>
        <v>5|1|5|0.00000</v>
      </c>
      <c r="AN89" s="21" t="str">
        <f aca="false">C89&amp;"|"&amp;E89&amp;"|"&amp;G89&amp;"|"&amp;TEXT(AK89,"0.00000")</f>
        <v>5|1|5|0.00000</v>
      </c>
      <c r="AO89" s="21" t="str">
        <f aca="false">C89&amp;"|"&amp;E89&amp;"|"&amp;G89&amp;"|"&amp;TEXT(AL89,"0.00000")</f>
        <v>5|1|5|0.00000</v>
      </c>
    </row>
    <row r="90" customFormat="false" ht="15" hidden="false" customHeight="false" outlineLevel="0" collapsed="false">
      <c r="A90" s="20" t="n">
        <v>3</v>
      </c>
      <c r="B90" s="18" t="str">
        <f aca="false">INDEX(C_Name,A90)</f>
        <v>문래자이 84㎡</v>
      </c>
      <c r="C90" s="20" t="n">
        <v>5</v>
      </c>
      <c r="D90" s="21" t="str">
        <f aca="false">CHOOSE(C90,"1안 표준형(대출 최대)","2안 절충형(대출 50%)","3안 무대출형","4안 임대차 승계 후 입주","5안 매수 보류(전세 거주)")</f>
        <v>5안 매수 보류(전세 거주)</v>
      </c>
      <c r="E90" s="20" t="n">
        <v>1</v>
      </c>
      <c r="F90" s="10" t="n">
        <f aca="false">CHOOSE(E90,GrowLo,GrowMid,GrowHi)</f>
        <v>0.02</v>
      </c>
      <c r="G90" s="20" t="n">
        <v>10</v>
      </c>
      <c r="H90" s="18" t="n">
        <f aca="false">INDEX(C_Price,A90)</f>
        <v>19.5</v>
      </c>
      <c r="I90" s="18" t="n">
        <f aca="false">INDEX(C_Jeonse,A90)</f>
        <v>10.14</v>
      </c>
      <c r="J90" s="21" t="n">
        <f aca="false">IF(C90=5,0,IF(C90=1,INDEX(C_Loan,A90),IF(C90=2,INDEX(C_Loan,A90)*LoanShare2,IF(C90=3,0,MIN(INDEX(C_Loan,A90),I90)))))</f>
        <v>0</v>
      </c>
      <c r="K90" s="18" t="n">
        <f aca="false">IF(C90=5,0,INDEX(C_Acq,A90))</f>
        <v>0</v>
      </c>
      <c r="L90" s="18" t="n">
        <f aca="false">IF(C90=5,0,INDEX(C_Fee,A90))</f>
        <v>0</v>
      </c>
      <c r="M90" s="21" t="n">
        <f aca="false">IF(C90=4,MAX(0,I90-J90),0)</f>
        <v>0</v>
      </c>
      <c r="N90" s="21" t="n">
        <f aca="false">IF(C90=5,I90,IF(C90=4,(H90-I90)+K90+L90+M90,H90-J90+K90+L90))</f>
        <v>10.14</v>
      </c>
      <c r="O90" s="20" t="n">
        <f aca="false">IF(C90=4,RentYears,0)</f>
        <v>0</v>
      </c>
      <c r="P90" s="20" t="n">
        <f aca="false">IF(C90=5,0,MAX(0,G90-O90-NonRes))</f>
        <v>0</v>
      </c>
      <c r="Q90" s="21" t="n">
        <f aca="false">IF(C90=5,0,H90*(1+F90)^G90)</f>
        <v>0</v>
      </c>
      <c r="R90" s="21" t="n">
        <f aca="false">IF(C90=5,0,Q90*LOOKUP(Q90,FeeLo,FeeR)*(1+VAT))</f>
        <v>0</v>
      </c>
      <c r="S90" s="21" t="n">
        <f aca="false">IF(J90&gt;0,-CUMIPMT(Rm,LoanYears*12,J90,1,(G90-O90)*12,0),0)</f>
        <v>0</v>
      </c>
      <c r="T90" s="29" t="n">
        <f aca="false">IF(C90=5,0,SUMIFS(Sch_Total,Sch_Idx,A90,Sch_Scen,E90,Sch_Year,"&lt;="&amp;G90))</f>
        <v>0</v>
      </c>
      <c r="U90" s="21" t="n">
        <f aca="false">K90+L90+R90</f>
        <v>0</v>
      </c>
      <c r="V90" s="21" t="n">
        <f aca="false">IF(C90=5,0,Q90-H90-U90)</f>
        <v>0</v>
      </c>
      <c r="W90" s="21" t="n">
        <f aca="false">IF(C90=5,0,MAX(0,IF(P90&gt;=2,IF(Q90&gt;Exempt,V90*(Q90-Exempt)/Q90,0),V90)))</f>
        <v>0</v>
      </c>
      <c r="X90" s="10" t="n">
        <f aca="false">IF(P90&gt;=2,MIN(MaxDed,MIN(0.4,HoldRate*G90)+MIN(0.4,LiveRate*P90)),IF(G90&gt;=3,MIN(0.3,0.02*G90),0))</f>
        <v>0.2</v>
      </c>
      <c r="Y90" s="21" t="n">
        <f aca="false">MAX(0,W90*(1-X90)-InitDed)</f>
        <v>0</v>
      </c>
      <c r="Z90" s="29" t="n">
        <f aca="false">SUMPRODUCT((Y90&gt;CLo)*(Y90-CLo)*CD)*(1+LocalTax)</f>
        <v>0</v>
      </c>
      <c r="AA90" s="21" t="n">
        <f aca="false">K90+T90+Z90</f>
        <v>0</v>
      </c>
      <c r="AB90" s="29" t="n">
        <f aca="false">IF(C90=5,0,(Q90-H90)-K90-L90-R90-S90-T90-Z90)</f>
        <v>0</v>
      </c>
      <c r="AC90" s="21" t="n">
        <f aca="false">IF(C90=5,0,N90*((1+DepRate*(1-DepTax))^G90-1))</f>
        <v>0</v>
      </c>
      <c r="AD90" s="29" t="n">
        <f aca="false">IF(C90=5,0,AB90-AC90+I90*(((1+DepRate*(1-DepTax))^G90-1)-((1+DepRate*(1-DepTax))^O90-1)))</f>
        <v>0</v>
      </c>
      <c r="AE90" s="30" t="n">
        <f aca="false">IF(J90&gt;0,-PMT(Rm,LoanYears*12,J90)*10000,0)</f>
        <v>0</v>
      </c>
      <c r="AF90" s="21" t="n">
        <f aca="false">IF(J90&gt;0,-PMT((Rate+Stress)/12,LoanYears*12,J90)*12/DSR,0)</f>
        <v>0</v>
      </c>
      <c r="AG90" s="20" t="n">
        <f aca="false">IF(N90&lt;=CapA,1,0)</f>
        <v>1</v>
      </c>
      <c r="AH90" s="20" t="n">
        <f aca="false">IF(N90&lt;=CapB,1,0)</f>
        <v>1</v>
      </c>
      <c r="AI90" s="20" t="n">
        <f aca="false">IF(N90&lt;=CapC,1,0)</f>
        <v>1</v>
      </c>
      <c r="AJ90" s="21" t="n">
        <f aca="false">IF(AG90=1,AD90,-999)</f>
        <v>0</v>
      </c>
      <c r="AK90" s="21" t="n">
        <f aca="false">IF(AH90=1,AD90,-999)</f>
        <v>0</v>
      </c>
      <c r="AL90" s="21" t="n">
        <f aca="false">IF(AI90=1,AD90,-999)</f>
        <v>0</v>
      </c>
      <c r="AM90" s="21" t="str">
        <f aca="false">C90&amp;"|"&amp;E90&amp;"|"&amp;G90&amp;"|"&amp;TEXT(AJ90,"0.00000")</f>
        <v>5|1|10|0.00000</v>
      </c>
      <c r="AN90" s="21" t="str">
        <f aca="false">C90&amp;"|"&amp;E90&amp;"|"&amp;G90&amp;"|"&amp;TEXT(AK90,"0.00000")</f>
        <v>5|1|10|0.00000</v>
      </c>
      <c r="AO90" s="21" t="str">
        <f aca="false">C90&amp;"|"&amp;E90&amp;"|"&amp;G90&amp;"|"&amp;TEXT(AL90,"0.00000")</f>
        <v>5|1|10|0.00000</v>
      </c>
    </row>
    <row r="91" customFormat="false" ht="15" hidden="false" customHeight="false" outlineLevel="0" collapsed="false">
      <c r="A91" s="20" t="n">
        <v>3</v>
      </c>
      <c r="B91" s="18" t="str">
        <f aca="false">INDEX(C_Name,A91)</f>
        <v>문래자이 84㎡</v>
      </c>
      <c r="C91" s="20" t="n">
        <v>5</v>
      </c>
      <c r="D91" s="21" t="str">
        <f aca="false">CHOOSE(C91,"1안 표준형(대출 최대)","2안 절충형(대출 50%)","3안 무대출형","4안 임대차 승계 후 입주","5안 매수 보류(전세 거주)")</f>
        <v>5안 매수 보류(전세 거주)</v>
      </c>
      <c r="E91" s="20" t="n">
        <v>2</v>
      </c>
      <c r="F91" s="10" t="n">
        <f aca="false">CHOOSE(E91,GrowLo,GrowMid,GrowHi)</f>
        <v>0.04</v>
      </c>
      <c r="G91" s="20" t="n">
        <v>5</v>
      </c>
      <c r="H91" s="18" t="n">
        <f aca="false">INDEX(C_Price,A91)</f>
        <v>19.5</v>
      </c>
      <c r="I91" s="18" t="n">
        <f aca="false">INDEX(C_Jeonse,A91)</f>
        <v>10.14</v>
      </c>
      <c r="J91" s="21" t="n">
        <f aca="false">IF(C91=5,0,IF(C91=1,INDEX(C_Loan,A91),IF(C91=2,INDEX(C_Loan,A91)*LoanShare2,IF(C91=3,0,MIN(INDEX(C_Loan,A91),I91)))))</f>
        <v>0</v>
      </c>
      <c r="K91" s="18" t="n">
        <f aca="false">IF(C91=5,0,INDEX(C_Acq,A91))</f>
        <v>0</v>
      </c>
      <c r="L91" s="18" t="n">
        <f aca="false">IF(C91=5,0,INDEX(C_Fee,A91))</f>
        <v>0</v>
      </c>
      <c r="M91" s="21" t="n">
        <f aca="false">IF(C91=4,MAX(0,I91-J91),0)</f>
        <v>0</v>
      </c>
      <c r="N91" s="21" t="n">
        <f aca="false">IF(C91=5,I91,IF(C91=4,(H91-I91)+K91+L91+M91,H91-J91+K91+L91))</f>
        <v>10.14</v>
      </c>
      <c r="O91" s="20" t="n">
        <f aca="false">IF(C91=4,RentYears,0)</f>
        <v>0</v>
      </c>
      <c r="P91" s="20" t="n">
        <f aca="false">IF(C91=5,0,MAX(0,G91-O91-NonRes))</f>
        <v>0</v>
      </c>
      <c r="Q91" s="21" t="n">
        <f aca="false">IF(C91=5,0,H91*(1+F91)^G91)</f>
        <v>0</v>
      </c>
      <c r="R91" s="21" t="n">
        <f aca="false">IF(C91=5,0,Q91*LOOKUP(Q91,FeeLo,FeeR)*(1+VAT))</f>
        <v>0</v>
      </c>
      <c r="S91" s="21" t="n">
        <f aca="false">IF(J91&gt;0,-CUMIPMT(Rm,LoanYears*12,J91,1,(G91-O91)*12,0),0)</f>
        <v>0</v>
      </c>
      <c r="T91" s="29" t="n">
        <f aca="false">IF(C91=5,0,SUMIFS(Sch_Total,Sch_Idx,A91,Sch_Scen,E91,Sch_Year,"&lt;="&amp;G91))</f>
        <v>0</v>
      </c>
      <c r="U91" s="21" t="n">
        <f aca="false">K91+L91+R91</f>
        <v>0</v>
      </c>
      <c r="V91" s="21" t="n">
        <f aca="false">IF(C91=5,0,Q91-H91-U91)</f>
        <v>0</v>
      </c>
      <c r="W91" s="21" t="n">
        <f aca="false">IF(C91=5,0,MAX(0,IF(P91&gt;=2,IF(Q91&gt;Exempt,V91*(Q91-Exempt)/Q91,0),V91)))</f>
        <v>0</v>
      </c>
      <c r="X91" s="10" t="n">
        <f aca="false">IF(P91&gt;=2,MIN(MaxDed,MIN(0.4,HoldRate*G91)+MIN(0.4,LiveRate*P91)),IF(G91&gt;=3,MIN(0.3,0.02*G91),0))</f>
        <v>0.1</v>
      </c>
      <c r="Y91" s="21" t="n">
        <f aca="false">MAX(0,W91*(1-X91)-InitDed)</f>
        <v>0</v>
      </c>
      <c r="Z91" s="29" t="n">
        <f aca="false">SUMPRODUCT((Y91&gt;CLo)*(Y91-CLo)*CD)*(1+LocalTax)</f>
        <v>0</v>
      </c>
      <c r="AA91" s="21" t="n">
        <f aca="false">K91+T91+Z91</f>
        <v>0</v>
      </c>
      <c r="AB91" s="29" t="n">
        <f aca="false">IF(C91=5,0,(Q91-H91)-K91-L91-R91-S91-T91-Z91)</f>
        <v>0</v>
      </c>
      <c r="AC91" s="21" t="n">
        <f aca="false">IF(C91=5,0,N91*((1+DepRate*(1-DepTax))^G91-1))</f>
        <v>0</v>
      </c>
      <c r="AD91" s="29" t="n">
        <f aca="false">IF(C91=5,0,AB91-AC91+I91*(((1+DepRate*(1-DepTax))^G91-1)-((1+DepRate*(1-DepTax))^O91-1)))</f>
        <v>0</v>
      </c>
      <c r="AE91" s="30" t="n">
        <f aca="false">IF(J91&gt;0,-PMT(Rm,LoanYears*12,J91)*10000,0)</f>
        <v>0</v>
      </c>
      <c r="AF91" s="21" t="n">
        <f aca="false">IF(J91&gt;0,-PMT((Rate+Stress)/12,LoanYears*12,J91)*12/DSR,0)</f>
        <v>0</v>
      </c>
      <c r="AG91" s="20" t="n">
        <f aca="false">IF(N91&lt;=CapA,1,0)</f>
        <v>1</v>
      </c>
      <c r="AH91" s="20" t="n">
        <f aca="false">IF(N91&lt;=CapB,1,0)</f>
        <v>1</v>
      </c>
      <c r="AI91" s="20" t="n">
        <f aca="false">IF(N91&lt;=CapC,1,0)</f>
        <v>1</v>
      </c>
      <c r="AJ91" s="21" t="n">
        <f aca="false">IF(AG91=1,AD91,-999)</f>
        <v>0</v>
      </c>
      <c r="AK91" s="21" t="n">
        <f aca="false">IF(AH91=1,AD91,-999)</f>
        <v>0</v>
      </c>
      <c r="AL91" s="21" t="n">
        <f aca="false">IF(AI91=1,AD91,-999)</f>
        <v>0</v>
      </c>
      <c r="AM91" s="21" t="str">
        <f aca="false">C91&amp;"|"&amp;E91&amp;"|"&amp;G91&amp;"|"&amp;TEXT(AJ91,"0.00000")</f>
        <v>5|2|5|0.00000</v>
      </c>
      <c r="AN91" s="21" t="str">
        <f aca="false">C91&amp;"|"&amp;E91&amp;"|"&amp;G91&amp;"|"&amp;TEXT(AK91,"0.00000")</f>
        <v>5|2|5|0.00000</v>
      </c>
      <c r="AO91" s="21" t="str">
        <f aca="false">C91&amp;"|"&amp;E91&amp;"|"&amp;G91&amp;"|"&amp;TEXT(AL91,"0.00000")</f>
        <v>5|2|5|0.00000</v>
      </c>
    </row>
    <row r="92" customFormat="false" ht="15" hidden="false" customHeight="false" outlineLevel="0" collapsed="false">
      <c r="A92" s="20" t="n">
        <v>3</v>
      </c>
      <c r="B92" s="18" t="str">
        <f aca="false">INDEX(C_Name,A92)</f>
        <v>문래자이 84㎡</v>
      </c>
      <c r="C92" s="20" t="n">
        <v>5</v>
      </c>
      <c r="D92" s="21" t="str">
        <f aca="false">CHOOSE(C92,"1안 표준형(대출 최대)","2안 절충형(대출 50%)","3안 무대출형","4안 임대차 승계 후 입주","5안 매수 보류(전세 거주)")</f>
        <v>5안 매수 보류(전세 거주)</v>
      </c>
      <c r="E92" s="20" t="n">
        <v>2</v>
      </c>
      <c r="F92" s="10" t="n">
        <f aca="false">CHOOSE(E92,GrowLo,GrowMid,GrowHi)</f>
        <v>0.04</v>
      </c>
      <c r="G92" s="20" t="n">
        <v>10</v>
      </c>
      <c r="H92" s="18" t="n">
        <f aca="false">INDEX(C_Price,A92)</f>
        <v>19.5</v>
      </c>
      <c r="I92" s="18" t="n">
        <f aca="false">INDEX(C_Jeonse,A92)</f>
        <v>10.14</v>
      </c>
      <c r="J92" s="21" t="n">
        <f aca="false">IF(C92=5,0,IF(C92=1,INDEX(C_Loan,A92),IF(C92=2,INDEX(C_Loan,A92)*LoanShare2,IF(C92=3,0,MIN(INDEX(C_Loan,A92),I92)))))</f>
        <v>0</v>
      </c>
      <c r="K92" s="18" t="n">
        <f aca="false">IF(C92=5,0,INDEX(C_Acq,A92))</f>
        <v>0</v>
      </c>
      <c r="L92" s="18" t="n">
        <f aca="false">IF(C92=5,0,INDEX(C_Fee,A92))</f>
        <v>0</v>
      </c>
      <c r="M92" s="21" t="n">
        <f aca="false">IF(C92=4,MAX(0,I92-J92),0)</f>
        <v>0</v>
      </c>
      <c r="N92" s="21" t="n">
        <f aca="false">IF(C92=5,I92,IF(C92=4,(H92-I92)+K92+L92+M92,H92-J92+K92+L92))</f>
        <v>10.14</v>
      </c>
      <c r="O92" s="20" t="n">
        <f aca="false">IF(C92=4,RentYears,0)</f>
        <v>0</v>
      </c>
      <c r="P92" s="20" t="n">
        <f aca="false">IF(C92=5,0,MAX(0,G92-O92-NonRes))</f>
        <v>0</v>
      </c>
      <c r="Q92" s="21" t="n">
        <f aca="false">IF(C92=5,0,H92*(1+F92)^G92)</f>
        <v>0</v>
      </c>
      <c r="R92" s="21" t="n">
        <f aca="false">IF(C92=5,0,Q92*LOOKUP(Q92,FeeLo,FeeR)*(1+VAT))</f>
        <v>0</v>
      </c>
      <c r="S92" s="21" t="n">
        <f aca="false">IF(J92&gt;0,-CUMIPMT(Rm,LoanYears*12,J92,1,(G92-O92)*12,0),0)</f>
        <v>0</v>
      </c>
      <c r="T92" s="29" t="n">
        <f aca="false">IF(C92=5,0,SUMIFS(Sch_Total,Sch_Idx,A92,Sch_Scen,E92,Sch_Year,"&lt;="&amp;G92))</f>
        <v>0</v>
      </c>
      <c r="U92" s="21" t="n">
        <f aca="false">K92+L92+R92</f>
        <v>0</v>
      </c>
      <c r="V92" s="21" t="n">
        <f aca="false">IF(C92=5,0,Q92-H92-U92)</f>
        <v>0</v>
      </c>
      <c r="W92" s="21" t="n">
        <f aca="false">IF(C92=5,0,MAX(0,IF(P92&gt;=2,IF(Q92&gt;Exempt,V92*(Q92-Exempt)/Q92,0),V92)))</f>
        <v>0</v>
      </c>
      <c r="X92" s="10" t="n">
        <f aca="false">IF(P92&gt;=2,MIN(MaxDed,MIN(0.4,HoldRate*G92)+MIN(0.4,LiveRate*P92)),IF(G92&gt;=3,MIN(0.3,0.02*G92),0))</f>
        <v>0.2</v>
      </c>
      <c r="Y92" s="21" t="n">
        <f aca="false">MAX(0,W92*(1-X92)-InitDed)</f>
        <v>0</v>
      </c>
      <c r="Z92" s="29" t="n">
        <f aca="false">SUMPRODUCT((Y92&gt;CLo)*(Y92-CLo)*CD)*(1+LocalTax)</f>
        <v>0</v>
      </c>
      <c r="AA92" s="21" t="n">
        <f aca="false">K92+T92+Z92</f>
        <v>0</v>
      </c>
      <c r="AB92" s="29" t="n">
        <f aca="false">IF(C92=5,0,(Q92-H92)-K92-L92-R92-S92-T92-Z92)</f>
        <v>0</v>
      </c>
      <c r="AC92" s="21" t="n">
        <f aca="false">IF(C92=5,0,N92*((1+DepRate*(1-DepTax))^G92-1))</f>
        <v>0</v>
      </c>
      <c r="AD92" s="29" t="n">
        <f aca="false">IF(C92=5,0,AB92-AC92+I92*(((1+DepRate*(1-DepTax))^G92-1)-((1+DepRate*(1-DepTax))^O92-1)))</f>
        <v>0</v>
      </c>
      <c r="AE92" s="30" t="n">
        <f aca="false">IF(J92&gt;0,-PMT(Rm,LoanYears*12,J92)*10000,0)</f>
        <v>0</v>
      </c>
      <c r="AF92" s="21" t="n">
        <f aca="false">IF(J92&gt;0,-PMT((Rate+Stress)/12,LoanYears*12,J92)*12/DSR,0)</f>
        <v>0</v>
      </c>
      <c r="AG92" s="20" t="n">
        <f aca="false">IF(N92&lt;=CapA,1,0)</f>
        <v>1</v>
      </c>
      <c r="AH92" s="20" t="n">
        <f aca="false">IF(N92&lt;=CapB,1,0)</f>
        <v>1</v>
      </c>
      <c r="AI92" s="20" t="n">
        <f aca="false">IF(N92&lt;=CapC,1,0)</f>
        <v>1</v>
      </c>
      <c r="AJ92" s="21" t="n">
        <f aca="false">IF(AG92=1,AD92,-999)</f>
        <v>0</v>
      </c>
      <c r="AK92" s="21" t="n">
        <f aca="false">IF(AH92=1,AD92,-999)</f>
        <v>0</v>
      </c>
      <c r="AL92" s="21" t="n">
        <f aca="false">IF(AI92=1,AD92,-999)</f>
        <v>0</v>
      </c>
      <c r="AM92" s="21" t="str">
        <f aca="false">C92&amp;"|"&amp;E92&amp;"|"&amp;G92&amp;"|"&amp;TEXT(AJ92,"0.00000")</f>
        <v>5|2|10|0.00000</v>
      </c>
      <c r="AN92" s="21" t="str">
        <f aca="false">C92&amp;"|"&amp;E92&amp;"|"&amp;G92&amp;"|"&amp;TEXT(AK92,"0.00000")</f>
        <v>5|2|10|0.00000</v>
      </c>
      <c r="AO92" s="21" t="str">
        <f aca="false">C92&amp;"|"&amp;E92&amp;"|"&amp;G92&amp;"|"&amp;TEXT(AL92,"0.00000")</f>
        <v>5|2|10|0.00000</v>
      </c>
    </row>
    <row r="93" customFormat="false" ht="15" hidden="false" customHeight="false" outlineLevel="0" collapsed="false">
      <c r="A93" s="20" t="n">
        <v>3</v>
      </c>
      <c r="B93" s="18" t="str">
        <f aca="false">INDEX(C_Name,A93)</f>
        <v>문래자이 84㎡</v>
      </c>
      <c r="C93" s="20" t="n">
        <v>5</v>
      </c>
      <c r="D93" s="21" t="str">
        <f aca="false">CHOOSE(C93,"1안 표준형(대출 최대)","2안 절충형(대출 50%)","3안 무대출형","4안 임대차 승계 후 입주","5안 매수 보류(전세 거주)")</f>
        <v>5안 매수 보류(전세 거주)</v>
      </c>
      <c r="E93" s="20" t="n">
        <v>3</v>
      </c>
      <c r="F93" s="10" t="n">
        <f aca="false">CHOOSE(E93,GrowLo,GrowMid,GrowHi)</f>
        <v>0.06</v>
      </c>
      <c r="G93" s="20" t="n">
        <v>5</v>
      </c>
      <c r="H93" s="18" t="n">
        <f aca="false">INDEX(C_Price,A93)</f>
        <v>19.5</v>
      </c>
      <c r="I93" s="18" t="n">
        <f aca="false">INDEX(C_Jeonse,A93)</f>
        <v>10.14</v>
      </c>
      <c r="J93" s="21" t="n">
        <f aca="false">IF(C93=5,0,IF(C93=1,INDEX(C_Loan,A93),IF(C93=2,INDEX(C_Loan,A93)*LoanShare2,IF(C93=3,0,MIN(INDEX(C_Loan,A93),I93)))))</f>
        <v>0</v>
      </c>
      <c r="K93" s="18" t="n">
        <f aca="false">IF(C93=5,0,INDEX(C_Acq,A93))</f>
        <v>0</v>
      </c>
      <c r="L93" s="18" t="n">
        <f aca="false">IF(C93=5,0,INDEX(C_Fee,A93))</f>
        <v>0</v>
      </c>
      <c r="M93" s="21" t="n">
        <f aca="false">IF(C93=4,MAX(0,I93-J93),0)</f>
        <v>0</v>
      </c>
      <c r="N93" s="21" t="n">
        <f aca="false">IF(C93=5,I93,IF(C93=4,(H93-I93)+K93+L93+M93,H93-J93+K93+L93))</f>
        <v>10.14</v>
      </c>
      <c r="O93" s="20" t="n">
        <f aca="false">IF(C93=4,RentYears,0)</f>
        <v>0</v>
      </c>
      <c r="P93" s="20" t="n">
        <f aca="false">IF(C93=5,0,MAX(0,G93-O93-NonRes))</f>
        <v>0</v>
      </c>
      <c r="Q93" s="21" t="n">
        <f aca="false">IF(C93=5,0,H93*(1+F93)^G93)</f>
        <v>0</v>
      </c>
      <c r="R93" s="21" t="n">
        <f aca="false">IF(C93=5,0,Q93*LOOKUP(Q93,FeeLo,FeeR)*(1+VAT))</f>
        <v>0</v>
      </c>
      <c r="S93" s="21" t="n">
        <f aca="false">IF(J93&gt;0,-CUMIPMT(Rm,LoanYears*12,J93,1,(G93-O93)*12,0),0)</f>
        <v>0</v>
      </c>
      <c r="T93" s="29" t="n">
        <f aca="false">IF(C93=5,0,SUMIFS(Sch_Total,Sch_Idx,A93,Sch_Scen,E93,Sch_Year,"&lt;="&amp;G93))</f>
        <v>0</v>
      </c>
      <c r="U93" s="21" t="n">
        <f aca="false">K93+L93+R93</f>
        <v>0</v>
      </c>
      <c r="V93" s="21" t="n">
        <f aca="false">IF(C93=5,0,Q93-H93-U93)</f>
        <v>0</v>
      </c>
      <c r="W93" s="21" t="n">
        <f aca="false">IF(C93=5,0,MAX(0,IF(P93&gt;=2,IF(Q93&gt;Exempt,V93*(Q93-Exempt)/Q93,0),V93)))</f>
        <v>0</v>
      </c>
      <c r="X93" s="10" t="n">
        <f aca="false">IF(P93&gt;=2,MIN(MaxDed,MIN(0.4,HoldRate*G93)+MIN(0.4,LiveRate*P93)),IF(G93&gt;=3,MIN(0.3,0.02*G93),0))</f>
        <v>0.1</v>
      </c>
      <c r="Y93" s="21" t="n">
        <f aca="false">MAX(0,W93*(1-X93)-InitDed)</f>
        <v>0</v>
      </c>
      <c r="Z93" s="29" t="n">
        <f aca="false">SUMPRODUCT((Y93&gt;CLo)*(Y93-CLo)*CD)*(1+LocalTax)</f>
        <v>0</v>
      </c>
      <c r="AA93" s="21" t="n">
        <f aca="false">K93+T93+Z93</f>
        <v>0</v>
      </c>
      <c r="AB93" s="29" t="n">
        <f aca="false">IF(C93=5,0,(Q93-H93)-K93-L93-R93-S93-T93-Z93)</f>
        <v>0</v>
      </c>
      <c r="AC93" s="21" t="n">
        <f aca="false">IF(C93=5,0,N93*((1+DepRate*(1-DepTax))^G93-1))</f>
        <v>0</v>
      </c>
      <c r="AD93" s="29" t="n">
        <f aca="false">IF(C93=5,0,AB93-AC93+I93*(((1+DepRate*(1-DepTax))^G93-1)-((1+DepRate*(1-DepTax))^O93-1)))</f>
        <v>0</v>
      </c>
      <c r="AE93" s="30" t="n">
        <f aca="false">IF(J93&gt;0,-PMT(Rm,LoanYears*12,J93)*10000,0)</f>
        <v>0</v>
      </c>
      <c r="AF93" s="21" t="n">
        <f aca="false">IF(J93&gt;0,-PMT((Rate+Stress)/12,LoanYears*12,J93)*12/DSR,0)</f>
        <v>0</v>
      </c>
      <c r="AG93" s="20" t="n">
        <f aca="false">IF(N93&lt;=CapA,1,0)</f>
        <v>1</v>
      </c>
      <c r="AH93" s="20" t="n">
        <f aca="false">IF(N93&lt;=CapB,1,0)</f>
        <v>1</v>
      </c>
      <c r="AI93" s="20" t="n">
        <f aca="false">IF(N93&lt;=CapC,1,0)</f>
        <v>1</v>
      </c>
      <c r="AJ93" s="21" t="n">
        <f aca="false">IF(AG93=1,AD93,-999)</f>
        <v>0</v>
      </c>
      <c r="AK93" s="21" t="n">
        <f aca="false">IF(AH93=1,AD93,-999)</f>
        <v>0</v>
      </c>
      <c r="AL93" s="21" t="n">
        <f aca="false">IF(AI93=1,AD93,-999)</f>
        <v>0</v>
      </c>
      <c r="AM93" s="21" t="str">
        <f aca="false">C93&amp;"|"&amp;E93&amp;"|"&amp;G93&amp;"|"&amp;TEXT(AJ93,"0.00000")</f>
        <v>5|3|5|0.00000</v>
      </c>
      <c r="AN93" s="21" t="str">
        <f aca="false">C93&amp;"|"&amp;E93&amp;"|"&amp;G93&amp;"|"&amp;TEXT(AK93,"0.00000")</f>
        <v>5|3|5|0.00000</v>
      </c>
      <c r="AO93" s="21" t="str">
        <f aca="false">C93&amp;"|"&amp;E93&amp;"|"&amp;G93&amp;"|"&amp;TEXT(AL93,"0.00000")</f>
        <v>5|3|5|0.00000</v>
      </c>
    </row>
    <row r="94" customFormat="false" ht="15" hidden="false" customHeight="false" outlineLevel="0" collapsed="false">
      <c r="A94" s="20" t="n">
        <v>3</v>
      </c>
      <c r="B94" s="18" t="str">
        <f aca="false">INDEX(C_Name,A94)</f>
        <v>문래자이 84㎡</v>
      </c>
      <c r="C94" s="20" t="n">
        <v>5</v>
      </c>
      <c r="D94" s="21" t="str">
        <f aca="false">CHOOSE(C94,"1안 표준형(대출 최대)","2안 절충형(대출 50%)","3안 무대출형","4안 임대차 승계 후 입주","5안 매수 보류(전세 거주)")</f>
        <v>5안 매수 보류(전세 거주)</v>
      </c>
      <c r="E94" s="20" t="n">
        <v>3</v>
      </c>
      <c r="F94" s="10" t="n">
        <f aca="false">CHOOSE(E94,GrowLo,GrowMid,GrowHi)</f>
        <v>0.06</v>
      </c>
      <c r="G94" s="20" t="n">
        <v>10</v>
      </c>
      <c r="H94" s="18" t="n">
        <f aca="false">INDEX(C_Price,A94)</f>
        <v>19.5</v>
      </c>
      <c r="I94" s="18" t="n">
        <f aca="false">INDEX(C_Jeonse,A94)</f>
        <v>10.14</v>
      </c>
      <c r="J94" s="21" t="n">
        <f aca="false">IF(C94=5,0,IF(C94=1,INDEX(C_Loan,A94),IF(C94=2,INDEX(C_Loan,A94)*LoanShare2,IF(C94=3,0,MIN(INDEX(C_Loan,A94),I94)))))</f>
        <v>0</v>
      </c>
      <c r="K94" s="18" t="n">
        <f aca="false">IF(C94=5,0,INDEX(C_Acq,A94))</f>
        <v>0</v>
      </c>
      <c r="L94" s="18" t="n">
        <f aca="false">IF(C94=5,0,INDEX(C_Fee,A94))</f>
        <v>0</v>
      </c>
      <c r="M94" s="21" t="n">
        <f aca="false">IF(C94=4,MAX(0,I94-J94),0)</f>
        <v>0</v>
      </c>
      <c r="N94" s="21" t="n">
        <f aca="false">IF(C94=5,I94,IF(C94=4,(H94-I94)+K94+L94+M94,H94-J94+K94+L94))</f>
        <v>10.14</v>
      </c>
      <c r="O94" s="20" t="n">
        <f aca="false">IF(C94=4,RentYears,0)</f>
        <v>0</v>
      </c>
      <c r="P94" s="20" t="n">
        <f aca="false">IF(C94=5,0,MAX(0,G94-O94-NonRes))</f>
        <v>0</v>
      </c>
      <c r="Q94" s="21" t="n">
        <f aca="false">IF(C94=5,0,H94*(1+F94)^G94)</f>
        <v>0</v>
      </c>
      <c r="R94" s="21" t="n">
        <f aca="false">IF(C94=5,0,Q94*LOOKUP(Q94,FeeLo,FeeR)*(1+VAT))</f>
        <v>0</v>
      </c>
      <c r="S94" s="21" t="n">
        <f aca="false">IF(J94&gt;0,-CUMIPMT(Rm,LoanYears*12,J94,1,(G94-O94)*12,0),0)</f>
        <v>0</v>
      </c>
      <c r="T94" s="29" t="n">
        <f aca="false">IF(C94=5,0,SUMIFS(Sch_Total,Sch_Idx,A94,Sch_Scen,E94,Sch_Year,"&lt;="&amp;G94))</f>
        <v>0</v>
      </c>
      <c r="U94" s="21" t="n">
        <f aca="false">K94+L94+R94</f>
        <v>0</v>
      </c>
      <c r="V94" s="21" t="n">
        <f aca="false">IF(C94=5,0,Q94-H94-U94)</f>
        <v>0</v>
      </c>
      <c r="W94" s="21" t="n">
        <f aca="false">IF(C94=5,0,MAX(0,IF(P94&gt;=2,IF(Q94&gt;Exempt,V94*(Q94-Exempt)/Q94,0),V94)))</f>
        <v>0</v>
      </c>
      <c r="X94" s="10" t="n">
        <f aca="false">IF(P94&gt;=2,MIN(MaxDed,MIN(0.4,HoldRate*G94)+MIN(0.4,LiveRate*P94)),IF(G94&gt;=3,MIN(0.3,0.02*G94),0))</f>
        <v>0.2</v>
      </c>
      <c r="Y94" s="21" t="n">
        <f aca="false">MAX(0,W94*(1-X94)-InitDed)</f>
        <v>0</v>
      </c>
      <c r="Z94" s="29" t="n">
        <f aca="false">SUMPRODUCT((Y94&gt;CLo)*(Y94-CLo)*CD)*(1+LocalTax)</f>
        <v>0</v>
      </c>
      <c r="AA94" s="21" t="n">
        <f aca="false">K94+T94+Z94</f>
        <v>0</v>
      </c>
      <c r="AB94" s="29" t="n">
        <f aca="false">IF(C94=5,0,(Q94-H94)-K94-L94-R94-S94-T94-Z94)</f>
        <v>0</v>
      </c>
      <c r="AC94" s="21" t="n">
        <f aca="false">IF(C94=5,0,N94*((1+DepRate*(1-DepTax))^G94-1))</f>
        <v>0</v>
      </c>
      <c r="AD94" s="29" t="n">
        <f aca="false">IF(C94=5,0,AB94-AC94+I94*(((1+DepRate*(1-DepTax))^G94-1)-((1+DepRate*(1-DepTax))^O94-1)))</f>
        <v>0</v>
      </c>
      <c r="AE94" s="30" t="n">
        <f aca="false">IF(J94&gt;0,-PMT(Rm,LoanYears*12,J94)*10000,0)</f>
        <v>0</v>
      </c>
      <c r="AF94" s="21" t="n">
        <f aca="false">IF(J94&gt;0,-PMT((Rate+Stress)/12,LoanYears*12,J94)*12/DSR,0)</f>
        <v>0</v>
      </c>
      <c r="AG94" s="20" t="n">
        <f aca="false">IF(N94&lt;=CapA,1,0)</f>
        <v>1</v>
      </c>
      <c r="AH94" s="20" t="n">
        <f aca="false">IF(N94&lt;=CapB,1,0)</f>
        <v>1</v>
      </c>
      <c r="AI94" s="20" t="n">
        <f aca="false">IF(N94&lt;=CapC,1,0)</f>
        <v>1</v>
      </c>
      <c r="AJ94" s="21" t="n">
        <f aca="false">IF(AG94=1,AD94,-999)</f>
        <v>0</v>
      </c>
      <c r="AK94" s="21" t="n">
        <f aca="false">IF(AH94=1,AD94,-999)</f>
        <v>0</v>
      </c>
      <c r="AL94" s="21" t="n">
        <f aca="false">IF(AI94=1,AD94,-999)</f>
        <v>0</v>
      </c>
      <c r="AM94" s="21" t="str">
        <f aca="false">C94&amp;"|"&amp;E94&amp;"|"&amp;G94&amp;"|"&amp;TEXT(AJ94,"0.00000")</f>
        <v>5|3|10|0.00000</v>
      </c>
      <c r="AN94" s="21" t="str">
        <f aca="false">C94&amp;"|"&amp;E94&amp;"|"&amp;G94&amp;"|"&amp;TEXT(AK94,"0.00000")</f>
        <v>5|3|10|0.00000</v>
      </c>
      <c r="AO94" s="21" t="str">
        <f aca="false">C94&amp;"|"&amp;E94&amp;"|"&amp;G94&amp;"|"&amp;TEXT(AL94,"0.00000")</f>
        <v>5|3|10|0.00000</v>
      </c>
    </row>
    <row r="95" customFormat="false" ht="15" hidden="false" customHeight="false" outlineLevel="0" collapsed="false">
      <c r="A95" s="20" t="n">
        <v>4</v>
      </c>
      <c r="B95" s="18" t="str">
        <f aca="false">INDEX(C_Name,A95)</f>
        <v>신길삼성래미안 84㎡</v>
      </c>
      <c r="C95" s="20" t="n">
        <v>1</v>
      </c>
      <c r="D95" s="21" t="str">
        <f aca="false">CHOOSE(C95,"1안 표준형(대출 최대)","2안 절충형(대출 50%)","3안 무대출형","4안 임대차 승계 후 입주","5안 매수 보류(전세 거주)")</f>
        <v>1안 표준형(대출 최대)</v>
      </c>
      <c r="E95" s="20" t="n">
        <v>1</v>
      </c>
      <c r="F95" s="10" t="n">
        <f aca="false">CHOOSE(E95,GrowLo,GrowMid,GrowHi)</f>
        <v>0.02</v>
      </c>
      <c r="G95" s="20" t="n">
        <v>5</v>
      </c>
      <c r="H95" s="18" t="n">
        <f aca="false">INDEX(C_Price,A95)</f>
        <v>13</v>
      </c>
      <c r="I95" s="18" t="n">
        <f aca="false">INDEX(C_Jeonse,A95)</f>
        <v>6.76</v>
      </c>
      <c r="J95" s="21" t="n">
        <f aca="false">IF(C95=5,0,IF(C95=1,INDEX(C_Loan,A95),IF(C95=2,INDEX(C_Loan,A95)*LoanShare2,IF(C95=3,0,MIN(INDEX(C_Loan,A95),I95)))))</f>
        <v>5.2</v>
      </c>
      <c r="K95" s="18" t="n">
        <f aca="false">IF(C95=5,0,INDEX(C_Acq,A95))</f>
        <v>0.429</v>
      </c>
      <c r="L95" s="18" t="n">
        <f aca="false">IF(C95=5,0,INDEX(C_Fee,A95))</f>
        <v>0.1058</v>
      </c>
      <c r="M95" s="21" t="n">
        <f aca="false">IF(C95=4,MAX(0,I95-J95),0)</f>
        <v>0</v>
      </c>
      <c r="N95" s="21" t="n">
        <f aca="false">IF(C95=5,I95,IF(C95=4,(H95-I95)+K95+L95+M95,H95-J95+K95+L95))</f>
        <v>8.3348</v>
      </c>
      <c r="O95" s="20" t="n">
        <f aca="false">IF(C95=4,RentYears,0)</f>
        <v>0</v>
      </c>
      <c r="P95" s="20" t="n">
        <f aca="false">IF(C95=5,0,MAX(0,G95-O95-NonRes))</f>
        <v>5</v>
      </c>
      <c r="Q95" s="21" t="n">
        <f aca="false">IF(C95=5,0,H95*(1+F95)^G95)</f>
        <v>14.3530504416</v>
      </c>
      <c r="R95" s="21" t="n">
        <f aca="false">IF(C95=5,0,Q95*LOOKUP(Q95,FeeLo,FeeR)*(1+VAT))</f>
        <v>0.09473013291456</v>
      </c>
      <c r="S95" s="21" t="n">
        <f aca="false">IF(J95&gt;0,-CUMIPMT(Rm,LoanYears*12,J95,1,(G95-O95)*12,0),0)</f>
        <v>0.992806404928962</v>
      </c>
      <c r="T95" s="29" t="n">
        <f aca="false">IF(C95=5,0,SUMIFS(Sch_Total,Sch_Idx,A95,Sch_Scen,E95,Sch_Year,"&lt;="&amp;G95))</f>
        <v>0.132621293674944</v>
      </c>
      <c r="U95" s="21" t="n">
        <f aca="false">K95+L95+R95</f>
        <v>0.62953013291456</v>
      </c>
      <c r="V95" s="21" t="n">
        <f aca="false">IF(C95=5,0,Q95-H95-U95)</f>
        <v>0.723520308685441</v>
      </c>
      <c r="W95" s="21" t="n">
        <f aca="false">IF(C95=5,0,MAX(0,IF(P95&gt;=2,IF(Q95&gt;Exempt,V95*(Q95-Exempt)/Q95,0),V95)))</f>
        <v>0.118614491657082</v>
      </c>
      <c r="X95" s="10" t="n">
        <f aca="false">IF(P95&gt;=2,MIN(MaxDed,MIN(0.4,HoldRate*G95)+MIN(0.4,LiveRate*P95)),IF(G95&gt;=3,MIN(0.3,0.02*G95),0))</f>
        <v>0.4</v>
      </c>
      <c r="Y95" s="21" t="n">
        <f aca="false">MAX(0,W95*(1-X95)-InitDed)</f>
        <v>0.0461686949942494</v>
      </c>
      <c r="Z95" s="29" t="n">
        <f aca="false">SUMPRODUCT((Y95&gt;CLo)*(Y95-CLo)*CD)*(1+LocalTax)</f>
        <v>0.00304713386962046</v>
      </c>
      <c r="AA95" s="21" t="n">
        <f aca="false">K95+T95+Z95</f>
        <v>0.564668427544565</v>
      </c>
      <c r="AB95" s="29" t="n">
        <f aca="false">IF(C95=5,0,(Q95-H95)-K95-L95-R95-S95-T95-Z95)</f>
        <v>-0.404954523788086</v>
      </c>
      <c r="AC95" s="21" t="n">
        <f aca="false">IF(C95=5,0,N95*((1+DepRate*(1-DepTax))^G95-1))</f>
        <v>1.11275425186472</v>
      </c>
      <c r="AD95" s="29" t="n">
        <f aca="false">IF(C95=5,0,AB95-AC95+I95*(((1+DepRate*(1-DepTax))^G95-1)-((1+DepRate*(1-DepTax))^O95-1)))</f>
        <v>-0.61520136784392</v>
      </c>
      <c r="AE95" s="30" t="n">
        <f aca="false">IF(J95&gt;0,-PMT(Rm,LoanYears*12,J95)*10000,0)</f>
        <v>248.255953642039</v>
      </c>
      <c r="AF95" s="21" t="n">
        <f aca="false">IF(J95&gt;0,-PMT((Rate+Stress)/12,LoanYears*12,J95)*12/DSR,0)</f>
        <v>1.03787189247953</v>
      </c>
      <c r="AG95" s="20" t="n">
        <f aca="false">IF(N95&lt;=CapA,1,0)</f>
        <v>1</v>
      </c>
      <c r="AH95" s="20" t="n">
        <f aca="false">IF(N95&lt;=CapB,1,0)</f>
        <v>1</v>
      </c>
      <c r="AI95" s="20" t="n">
        <f aca="false">IF(N95&lt;=CapC,1,0)</f>
        <v>1</v>
      </c>
      <c r="AJ95" s="21" t="n">
        <f aca="false">IF(AG95=1,AD95,-999)</f>
        <v>-0.61520136784392</v>
      </c>
      <c r="AK95" s="21" t="n">
        <f aca="false">IF(AH95=1,AD95,-999)</f>
        <v>-0.61520136784392</v>
      </c>
      <c r="AL95" s="21" t="n">
        <f aca="false">IF(AI95=1,AD95,-999)</f>
        <v>-0.61520136784392</v>
      </c>
      <c r="AM95" s="21" t="str">
        <f aca="false">C95&amp;"|"&amp;E95&amp;"|"&amp;G95&amp;"|"&amp;TEXT(AJ95,"0.00000")</f>
        <v>1|1|5|-0.61520</v>
      </c>
      <c r="AN95" s="21" t="str">
        <f aca="false">C95&amp;"|"&amp;E95&amp;"|"&amp;G95&amp;"|"&amp;TEXT(AK95,"0.00000")</f>
        <v>1|1|5|-0.61520</v>
      </c>
      <c r="AO95" s="21" t="str">
        <f aca="false">C95&amp;"|"&amp;E95&amp;"|"&amp;G95&amp;"|"&amp;TEXT(AL95,"0.00000")</f>
        <v>1|1|5|-0.61520</v>
      </c>
    </row>
    <row r="96" customFormat="false" ht="15" hidden="false" customHeight="false" outlineLevel="0" collapsed="false">
      <c r="A96" s="20" t="n">
        <v>4</v>
      </c>
      <c r="B96" s="18" t="str">
        <f aca="false">INDEX(C_Name,A96)</f>
        <v>신길삼성래미안 84㎡</v>
      </c>
      <c r="C96" s="20" t="n">
        <v>1</v>
      </c>
      <c r="D96" s="21" t="str">
        <f aca="false">CHOOSE(C96,"1안 표준형(대출 최대)","2안 절충형(대출 50%)","3안 무대출형","4안 임대차 승계 후 입주","5안 매수 보류(전세 거주)")</f>
        <v>1안 표준형(대출 최대)</v>
      </c>
      <c r="E96" s="20" t="n">
        <v>1</v>
      </c>
      <c r="F96" s="10" t="n">
        <f aca="false">CHOOSE(E96,GrowLo,GrowMid,GrowHi)</f>
        <v>0.02</v>
      </c>
      <c r="G96" s="20" t="n">
        <v>10</v>
      </c>
      <c r="H96" s="18" t="n">
        <f aca="false">INDEX(C_Price,A96)</f>
        <v>13</v>
      </c>
      <c r="I96" s="18" t="n">
        <f aca="false">INDEX(C_Jeonse,A96)</f>
        <v>6.76</v>
      </c>
      <c r="J96" s="21" t="n">
        <f aca="false">IF(C96=5,0,IF(C96=1,INDEX(C_Loan,A96),IF(C96=2,INDEX(C_Loan,A96)*LoanShare2,IF(C96=3,0,MIN(INDEX(C_Loan,A96),I96)))))</f>
        <v>5.2</v>
      </c>
      <c r="K96" s="18" t="n">
        <f aca="false">IF(C96=5,0,INDEX(C_Acq,A96))</f>
        <v>0.429</v>
      </c>
      <c r="L96" s="18" t="n">
        <f aca="false">IF(C96=5,0,INDEX(C_Fee,A96))</f>
        <v>0.1058</v>
      </c>
      <c r="M96" s="21" t="n">
        <f aca="false">IF(C96=4,MAX(0,I96-J96),0)</f>
        <v>0</v>
      </c>
      <c r="N96" s="21" t="n">
        <f aca="false">IF(C96=5,I96,IF(C96=4,(H96-I96)+K96+L96+M96,H96-J96+K96+L96))</f>
        <v>8.3348</v>
      </c>
      <c r="O96" s="20" t="n">
        <f aca="false">IF(C96=4,RentYears,0)</f>
        <v>0</v>
      </c>
      <c r="P96" s="20" t="n">
        <f aca="false">IF(C96=5,0,MAX(0,G96-O96-NonRes))</f>
        <v>10</v>
      </c>
      <c r="Q96" s="21" t="n">
        <f aca="false">IF(C96=5,0,H96*(1+F96)^G96)</f>
        <v>15.8469274599318</v>
      </c>
      <c r="R96" s="21" t="n">
        <f aca="false">IF(C96=5,0,Q96*LOOKUP(Q96,FeeLo,FeeR)*(1+VAT))</f>
        <v>0.122021341441475</v>
      </c>
      <c r="S96" s="21" t="n">
        <f aca="false">IF(J96&gt;0,-CUMIPMT(Rm,LoanYears*12,J96,1,(G96-O96)*12,0),0)</f>
        <v>1.87583732270669</v>
      </c>
      <c r="T96" s="29" t="n">
        <f aca="false">IF(C96=5,0,SUMIFS(Sch_Total,Sch_Idx,A96,Sch_Scen,E96,Sch_Year,"&lt;="&amp;G96))</f>
        <v>0.286545470207653</v>
      </c>
      <c r="U96" s="21" t="n">
        <f aca="false">K96+L96+R96</f>
        <v>0.656821341441475</v>
      </c>
      <c r="V96" s="21" t="n">
        <f aca="false">IF(C96=5,0,Q96-H96-U96)</f>
        <v>2.19010611849037</v>
      </c>
      <c r="W96" s="21" t="n">
        <f aca="false">IF(C96=5,0,MAX(0,IF(P96&gt;=2,IF(Q96&gt;Exempt,V96*(Q96-Exempt)/Q96,0),V96)))</f>
        <v>0.531660120782908</v>
      </c>
      <c r="X96" s="10" t="n">
        <f aca="false">IF(P96&gt;=2,MIN(MaxDed,MIN(0.4,HoldRate*G96)+MIN(0.4,LiveRate*P96)),IF(G96&gt;=3,MIN(0.3,0.02*G96),0))</f>
        <v>0.8</v>
      </c>
      <c r="Y96" s="21" t="n">
        <f aca="false">MAX(0,W96*(1-X96)-InitDed)</f>
        <v>0.0813320241565816</v>
      </c>
      <c r="Z96" s="29" t="n">
        <f aca="false">SUMPRODUCT((Y96&gt;CLo)*(Y96-CLo)*CD)*(1+LocalTax)</f>
        <v>0.00536791359433439</v>
      </c>
      <c r="AA96" s="21" t="n">
        <f aca="false">K96+T96+Z96</f>
        <v>0.720913383801987</v>
      </c>
      <c r="AB96" s="29" t="n">
        <f aca="false">IF(C96=5,0,(Q96-H96)-K96-L96-R96-S96-T96-Z96)</f>
        <v>0.0223554119816972</v>
      </c>
      <c r="AC96" s="21" t="n">
        <f aca="false">IF(C96=5,0,N96*((1+DepRate*(1-DepTax))^G96-1))</f>
        <v>2.37406900008725</v>
      </c>
      <c r="AD96" s="29" t="n">
        <f aca="false">IF(C96=5,0,AB96-AC96+I96*(((1+DepRate*(1-DepTax))^G96-1)-((1+DepRate*(1-DepTax))^O96-1)))</f>
        <v>-0.42620770427033</v>
      </c>
      <c r="AE96" s="30" t="n">
        <f aca="false">IF(J96&gt;0,-PMT(Rm,LoanYears*12,J96)*10000,0)</f>
        <v>248.255953642039</v>
      </c>
      <c r="AF96" s="21" t="n">
        <f aca="false">IF(J96&gt;0,-PMT((Rate+Stress)/12,LoanYears*12,J96)*12/DSR,0)</f>
        <v>1.03787189247953</v>
      </c>
      <c r="AG96" s="20" t="n">
        <f aca="false">IF(N96&lt;=CapA,1,0)</f>
        <v>1</v>
      </c>
      <c r="AH96" s="20" t="n">
        <f aca="false">IF(N96&lt;=CapB,1,0)</f>
        <v>1</v>
      </c>
      <c r="AI96" s="20" t="n">
        <f aca="false">IF(N96&lt;=CapC,1,0)</f>
        <v>1</v>
      </c>
      <c r="AJ96" s="21" t="n">
        <f aca="false">IF(AG96=1,AD96,-999)</f>
        <v>-0.42620770427033</v>
      </c>
      <c r="AK96" s="21" t="n">
        <f aca="false">IF(AH96=1,AD96,-999)</f>
        <v>-0.42620770427033</v>
      </c>
      <c r="AL96" s="21" t="n">
        <f aca="false">IF(AI96=1,AD96,-999)</f>
        <v>-0.42620770427033</v>
      </c>
      <c r="AM96" s="21" t="str">
        <f aca="false">C96&amp;"|"&amp;E96&amp;"|"&amp;G96&amp;"|"&amp;TEXT(AJ96,"0.00000")</f>
        <v>1|1|10|-0.42621</v>
      </c>
      <c r="AN96" s="21" t="str">
        <f aca="false">C96&amp;"|"&amp;E96&amp;"|"&amp;G96&amp;"|"&amp;TEXT(AK96,"0.00000")</f>
        <v>1|1|10|-0.42621</v>
      </c>
      <c r="AO96" s="21" t="str">
        <f aca="false">C96&amp;"|"&amp;E96&amp;"|"&amp;G96&amp;"|"&amp;TEXT(AL96,"0.00000")</f>
        <v>1|1|10|-0.42621</v>
      </c>
    </row>
    <row r="97" customFormat="false" ht="15" hidden="false" customHeight="false" outlineLevel="0" collapsed="false">
      <c r="A97" s="20" t="n">
        <v>4</v>
      </c>
      <c r="B97" s="18" t="str">
        <f aca="false">INDEX(C_Name,A97)</f>
        <v>신길삼성래미안 84㎡</v>
      </c>
      <c r="C97" s="20" t="n">
        <v>1</v>
      </c>
      <c r="D97" s="21" t="str">
        <f aca="false">CHOOSE(C97,"1안 표준형(대출 최대)","2안 절충형(대출 50%)","3안 무대출형","4안 임대차 승계 후 입주","5안 매수 보류(전세 거주)")</f>
        <v>1안 표준형(대출 최대)</v>
      </c>
      <c r="E97" s="20" t="n">
        <v>2</v>
      </c>
      <c r="F97" s="10" t="n">
        <f aca="false">CHOOSE(E97,GrowLo,GrowMid,GrowHi)</f>
        <v>0.04</v>
      </c>
      <c r="G97" s="20" t="n">
        <v>5</v>
      </c>
      <c r="H97" s="18" t="n">
        <f aca="false">INDEX(C_Price,A97)</f>
        <v>13</v>
      </c>
      <c r="I97" s="18" t="n">
        <f aca="false">INDEX(C_Jeonse,A97)</f>
        <v>6.76</v>
      </c>
      <c r="J97" s="21" t="n">
        <f aca="false">IF(C97=5,0,IF(C97=1,INDEX(C_Loan,A97),IF(C97=2,INDEX(C_Loan,A97)*LoanShare2,IF(C97=3,0,MIN(INDEX(C_Loan,A97),I97)))))</f>
        <v>5.2</v>
      </c>
      <c r="K97" s="18" t="n">
        <f aca="false">IF(C97=5,0,INDEX(C_Acq,A97))</f>
        <v>0.429</v>
      </c>
      <c r="L97" s="18" t="n">
        <f aca="false">IF(C97=5,0,INDEX(C_Fee,A97))</f>
        <v>0.1058</v>
      </c>
      <c r="M97" s="21" t="n">
        <f aca="false">IF(C97=4,MAX(0,I97-J97),0)</f>
        <v>0</v>
      </c>
      <c r="N97" s="21" t="n">
        <f aca="false">IF(C97=5,I97,IF(C97=4,(H97-I97)+K97+L97+M97,H97-J97+K97+L97))</f>
        <v>8.3348</v>
      </c>
      <c r="O97" s="20" t="n">
        <f aca="false">IF(C97=4,RentYears,0)</f>
        <v>0</v>
      </c>
      <c r="P97" s="20" t="n">
        <f aca="false">IF(C97=5,0,MAX(0,G97-O97-NonRes))</f>
        <v>5</v>
      </c>
      <c r="Q97" s="21" t="n">
        <f aca="false">IF(C97=5,0,H97*(1+F97)^G97)</f>
        <v>15.8164877312</v>
      </c>
      <c r="R97" s="21" t="n">
        <f aca="false">IF(C97=5,0,Q97*LOOKUP(Q97,FeeLo,FeeR)*(1+VAT))</f>
        <v>0.12178695553024</v>
      </c>
      <c r="S97" s="21" t="n">
        <f aca="false">IF(J97&gt;0,-CUMIPMT(Rm,LoanYears*12,J97,1,(G97-O97)*12,0),0)</f>
        <v>0.992806404928962</v>
      </c>
      <c r="T97" s="29" t="n">
        <f aca="false">IF(C97=5,0,SUMIFS(Sch_Total,Sch_Idx,A97,Sch_Scen,E97,Sch_Year,"&lt;="&amp;G97))</f>
        <v>0.139704817711104</v>
      </c>
      <c r="U97" s="21" t="n">
        <f aca="false">K97+L97+R97</f>
        <v>0.65658695553024</v>
      </c>
      <c r="V97" s="21" t="n">
        <f aca="false">IF(C97=5,0,Q97-H97-U97)</f>
        <v>2.15990077566976</v>
      </c>
      <c r="W97" s="21" t="n">
        <f aca="false">IF(C97=5,0,MAX(0,IF(P97&gt;=2,IF(Q97&gt;Exempt,V97*(Q97-Exempt)/Q97,0),V97)))</f>
        <v>0.521179856808045</v>
      </c>
      <c r="X97" s="10" t="n">
        <f aca="false">IF(P97&gt;=2,MIN(MaxDed,MIN(0.4,HoldRate*G97)+MIN(0.4,LiveRate*P97)),IF(G97&gt;=3,MIN(0.3,0.02*G97),0))</f>
        <v>0.4</v>
      </c>
      <c r="Y97" s="21" t="n">
        <f aca="false">MAX(0,W97*(1-X97)-InitDed)</f>
        <v>0.287707914084827</v>
      </c>
      <c r="Z97" s="29" t="n">
        <f aca="false">SUMPRODUCT((Y97&gt;CLo)*(Y97-CLo)*CD)*(1+LocalTax)</f>
        <v>0.0336118058239964</v>
      </c>
      <c r="AA97" s="21" t="n">
        <f aca="false">K97+T97+Z97</f>
        <v>0.602316623535101</v>
      </c>
      <c r="AB97" s="29" t="n">
        <f aca="false">IF(C97=5,0,(Q97-H97)-K97-L97-R97-S97-T97-Z97)</f>
        <v>0.993777747205699</v>
      </c>
      <c r="AC97" s="21" t="n">
        <f aca="false">IF(C97=5,0,N97*((1+DepRate*(1-DepTax))^G97-1))</f>
        <v>1.11275425186472</v>
      </c>
      <c r="AD97" s="29" t="n">
        <f aca="false">IF(C97=5,0,AB97-AC97+I97*(((1+DepRate*(1-DepTax))^G97-1)-((1+DepRate*(1-DepTax))^O97-1)))</f>
        <v>0.783530903149865</v>
      </c>
      <c r="AE97" s="30" t="n">
        <f aca="false">IF(J97&gt;0,-PMT(Rm,LoanYears*12,J97)*10000,0)</f>
        <v>248.255953642039</v>
      </c>
      <c r="AF97" s="21" t="n">
        <f aca="false">IF(J97&gt;0,-PMT((Rate+Stress)/12,LoanYears*12,J97)*12/DSR,0)</f>
        <v>1.03787189247953</v>
      </c>
      <c r="AG97" s="20" t="n">
        <f aca="false">IF(N97&lt;=CapA,1,0)</f>
        <v>1</v>
      </c>
      <c r="AH97" s="20" t="n">
        <f aca="false">IF(N97&lt;=CapB,1,0)</f>
        <v>1</v>
      </c>
      <c r="AI97" s="20" t="n">
        <f aca="false">IF(N97&lt;=CapC,1,0)</f>
        <v>1</v>
      </c>
      <c r="AJ97" s="21" t="n">
        <f aca="false">IF(AG97=1,AD97,-999)</f>
        <v>0.783530903149865</v>
      </c>
      <c r="AK97" s="21" t="n">
        <f aca="false">IF(AH97=1,AD97,-999)</f>
        <v>0.783530903149865</v>
      </c>
      <c r="AL97" s="21" t="n">
        <f aca="false">IF(AI97=1,AD97,-999)</f>
        <v>0.783530903149865</v>
      </c>
      <c r="AM97" s="21" t="str">
        <f aca="false">C97&amp;"|"&amp;E97&amp;"|"&amp;G97&amp;"|"&amp;TEXT(AJ97,"0.00000")</f>
        <v>1|2|5|0.78353</v>
      </c>
      <c r="AN97" s="21" t="str">
        <f aca="false">C97&amp;"|"&amp;E97&amp;"|"&amp;G97&amp;"|"&amp;TEXT(AK97,"0.00000")</f>
        <v>1|2|5|0.78353</v>
      </c>
      <c r="AO97" s="21" t="str">
        <f aca="false">C97&amp;"|"&amp;E97&amp;"|"&amp;G97&amp;"|"&amp;TEXT(AL97,"0.00000")</f>
        <v>1|2|5|0.78353</v>
      </c>
    </row>
    <row r="98" customFormat="false" ht="15" hidden="false" customHeight="false" outlineLevel="0" collapsed="false">
      <c r="A98" s="20" t="n">
        <v>4</v>
      </c>
      <c r="B98" s="18" t="str">
        <f aca="false">INDEX(C_Name,A98)</f>
        <v>신길삼성래미안 84㎡</v>
      </c>
      <c r="C98" s="20" t="n">
        <v>1</v>
      </c>
      <c r="D98" s="21" t="str">
        <f aca="false">CHOOSE(C98,"1안 표준형(대출 최대)","2안 절충형(대출 50%)","3안 무대출형","4안 임대차 승계 후 입주","5안 매수 보류(전세 거주)")</f>
        <v>1안 표준형(대출 최대)</v>
      </c>
      <c r="E98" s="20" t="n">
        <v>2</v>
      </c>
      <c r="F98" s="10" t="n">
        <f aca="false">CHOOSE(E98,GrowLo,GrowMid,GrowHi)</f>
        <v>0.04</v>
      </c>
      <c r="G98" s="20" t="n">
        <v>10</v>
      </c>
      <c r="H98" s="18" t="n">
        <f aca="false">INDEX(C_Price,A98)</f>
        <v>13</v>
      </c>
      <c r="I98" s="18" t="n">
        <f aca="false">INDEX(C_Jeonse,A98)</f>
        <v>6.76</v>
      </c>
      <c r="J98" s="21" t="n">
        <f aca="false">IF(C98=5,0,IF(C98=1,INDEX(C_Loan,A98),IF(C98=2,INDEX(C_Loan,A98)*LoanShare2,IF(C98=3,0,MIN(INDEX(C_Loan,A98),I98)))))</f>
        <v>5.2</v>
      </c>
      <c r="K98" s="18" t="n">
        <f aca="false">IF(C98=5,0,INDEX(C_Acq,A98))</f>
        <v>0.429</v>
      </c>
      <c r="L98" s="18" t="n">
        <f aca="false">IF(C98=5,0,INDEX(C_Fee,A98))</f>
        <v>0.1058</v>
      </c>
      <c r="M98" s="21" t="n">
        <f aca="false">IF(C98=4,MAX(0,I98-J98),0)</f>
        <v>0</v>
      </c>
      <c r="N98" s="21" t="n">
        <f aca="false">IF(C98=5,I98,IF(C98=4,(H98-I98)+K98+L98+M98,H98-J98+K98+L98))</f>
        <v>8.3348</v>
      </c>
      <c r="O98" s="20" t="n">
        <f aca="false">IF(C98=4,RentYears,0)</f>
        <v>0</v>
      </c>
      <c r="P98" s="20" t="n">
        <f aca="false">IF(C98=5,0,MAX(0,G98-O98-NonRes))</f>
        <v>10</v>
      </c>
      <c r="Q98" s="21" t="n">
        <f aca="false">IF(C98=5,0,H98*(1+F98)^G98)</f>
        <v>19.2431757039385</v>
      </c>
      <c r="R98" s="21" t="n">
        <f aca="false">IF(C98=5,0,Q98*LOOKUP(Q98,FeeLo,FeeR)*(1+VAT))</f>
        <v>0.148172452920326</v>
      </c>
      <c r="S98" s="21" t="n">
        <f aca="false">IF(J98&gt;0,-CUMIPMT(Rm,LoanYears*12,J98,1,(G98-O98)*12,0),0)</f>
        <v>1.87583732270669</v>
      </c>
      <c r="T98" s="29" t="n">
        <f aca="false">IF(C98=5,0,SUMIFS(Sch_Total,Sch_Idx,A98,Sch_Scen,E98,Sch_Year,"&lt;="&amp;G98))</f>
        <v>0.325550801744133</v>
      </c>
      <c r="U98" s="21" t="n">
        <f aca="false">K98+L98+R98</f>
        <v>0.682972452920326</v>
      </c>
      <c r="V98" s="21" t="n">
        <f aca="false">IF(C98=5,0,Q98-H98-U98)</f>
        <v>5.56020325101815</v>
      </c>
      <c r="W98" s="21" t="n">
        <f aca="false">IF(C98=5,0,MAX(0,IF(P98&gt;=2,IF(Q98&gt;Exempt,V98*(Q98-Exempt)/Q98,0),V98)))</f>
        <v>2.09287332383977</v>
      </c>
      <c r="X98" s="10" t="n">
        <f aca="false">IF(P98&gt;=2,MIN(MaxDed,MIN(0.4,HoldRate*G98)+MIN(0.4,LiveRate*P98)),IF(G98&gt;=3,MIN(0.3,0.02*G98),0))</f>
        <v>0.8</v>
      </c>
      <c r="Y98" s="21" t="n">
        <f aca="false">MAX(0,W98*(1-X98)-InitDed)</f>
        <v>0.393574664767954</v>
      </c>
      <c r="Z98" s="29" t="n">
        <f aca="false">SUMPRODUCT((Y98&gt;CLo)*(Y98-CLo)*CD)*(1+LocalTax)</f>
        <v>0.0510798196867123</v>
      </c>
      <c r="AA98" s="21" t="n">
        <f aca="false">K98+T98+Z98</f>
        <v>0.805630621430846</v>
      </c>
      <c r="AB98" s="29" t="n">
        <f aca="false">IF(C98=5,0,(Q98-H98)-K98-L98-R98-S98-T98-Z98)</f>
        <v>3.30773530688062</v>
      </c>
      <c r="AC98" s="21" t="n">
        <f aca="false">IF(C98=5,0,N98*((1+DepRate*(1-DepTax))^G98-1))</f>
        <v>2.37406900008725</v>
      </c>
      <c r="AD98" s="29" t="n">
        <f aca="false">IF(C98=5,0,AB98-AC98+I98*(((1+DepRate*(1-DepTax))^G98-1)-((1+DepRate*(1-DepTax))^O98-1)))</f>
        <v>2.85917219062859</v>
      </c>
      <c r="AE98" s="30" t="n">
        <f aca="false">IF(J98&gt;0,-PMT(Rm,LoanYears*12,J98)*10000,0)</f>
        <v>248.255953642039</v>
      </c>
      <c r="AF98" s="21" t="n">
        <f aca="false">IF(J98&gt;0,-PMT((Rate+Stress)/12,LoanYears*12,J98)*12/DSR,0)</f>
        <v>1.03787189247953</v>
      </c>
      <c r="AG98" s="20" t="n">
        <f aca="false">IF(N98&lt;=CapA,1,0)</f>
        <v>1</v>
      </c>
      <c r="AH98" s="20" t="n">
        <f aca="false">IF(N98&lt;=CapB,1,0)</f>
        <v>1</v>
      </c>
      <c r="AI98" s="20" t="n">
        <f aca="false">IF(N98&lt;=CapC,1,0)</f>
        <v>1</v>
      </c>
      <c r="AJ98" s="21" t="n">
        <f aca="false">IF(AG98=1,AD98,-999)</f>
        <v>2.85917219062859</v>
      </c>
      <c r="AK98" s="21" t="n">
        <f aca="false">IF(AH98=1,AD98,-999)</f>
        <v>2.85917219062859</v>
      </c>
      <c r="AL98" s="21" t="n">
        <f aca="false">IF(AI98=1,AD98,-999)</f>
        <v>2.85917219062859</v>
      </c>
      <c r="AM98" s="21" t="str">
        <f aca="false">C98&amp;"|"&amp;E98&amp;"|"&amp;G98&amp;"|"&amp;TEXT(AJ98,"0.00000")</f>
        <v>1|2|10|2.85917</v>
      </c>
      <c r="AN98" s="21" t="str">
        <f aca="false">C98&amp;"|"&amp;E98&amp;"|"&amp;G98&amp;"|"&amp;TEXT(AK98,"0.00000")</f>
        <v>1|2|10|2.85917</v>
      </c>
      <c r="AO98" s="21" t="str">
        <f aca="false">C98&amp;"|"&amp;E98&amp;"|"&amp;G98&amp;"|"&amp;TEXT(AL98,"0.00000")</f>
        <v>1|2|10|2.85917</v>
      </c>
    </row>
    <row r="99" customFormat="false" ht="15" hidden="false" customHeight="false" outlineLevel="0" collapsed="false">
      <c r="A99" s="20" t="n">
        <v>4</v>
      </c>
      <c r="B99" s="18" t="str">
        <f aca="false">INDEX(C_Name,A99)</f>
        <v>신길삼성래미안 84㎡</v>
      </c>
      <c r="C99" s="20" t="n">
        <v>1</v>
      </c>
      <c r="D99" s="21" t="str">
        <f aca="false">CHOOSE(C99,"1안 표준형(대출 최대)","2안 절충형(대출 50%)","3안 무대출형","4안 임대차 승계 후 입주","5안 매수 보류(전세 거주)")</f>
        <v>1안 표준형(대출 최대)</v>
      </c>
      <c r="E99" s="20" t="n">
        <v>3</v>
      </c>
      <c r="F99" s="10" t="n">
        <f aca="false">CHOOSE(E99,GrowLo,GrowMid,GrowHi)</f>
        <v>0.06</v>
      </c>
      <c r="G99" s="20" t="n">
        <v>5</v>
      </c>
      <c r="H99" s="18" t="n">
        <f aca="false">INDEX(C_Price,A99)</f>
        <v>13</v>
      </c>
      <c r="I99" s="18" t="n">
        <f aca="false">INDEX(C_Jeonse,A99)</f>
        <v>6.76</v>
      </c>
      <c r="J99" s="21" t="n">
        <f aca="false">IF(C99=5,0,IF(C99=1,INDEX(C_Loan,A99),IF(C99=2,INDEX(C_Loan,A99)*LoanShare2,IF(C99=3,0,MIN(INDEX(C_Loan,A99),I99)))))</f>
        <v>5.2</v>
      </c>
      <c r="K99" s="18" t="n">
        <f aca="false">IF(C99=5,0,INDEX(C_Acq,A99))</f>
        <v>0.429</v>
      </c>
      <c r="L99" s="18" t="n">
        <f aca="false">IF(C99=5,0,INDEX(C_Fee,A99))</f>
        <v>0.1058</v>
      </c>
      <c r="M99" s="21" t="n">
        <f aca="false">IF(C99=4,MAX(0,I99-J99),0)</f>
        <v>0</v>
      </c>
      <c r="N99" s="21" t="n">
        <f aca="false">IF(C99=5,I99,IF(C99=4,(H99-I99)+K99+L99+M99,H99-J99+K99+L99))</f>
        <v>8.3348</v>
      </c>
      <c r="O99" s="20" t="n">
        <f aca="false">IF(C99=4,RentYears,0)</f>
        <v>0</v>
      </c>
      <c r="P99" s="20" t="n">
        <f aca="false">IF(C99=5,0,MAX(0,G99-O99-NonRes))</f>
        <v>5</v>
      </c>
      <c r="Q99" s="21" t="n">
        <f aca="false">IF(C99=5,0,H99*(1+F99)^G99)</f>
        <v>17.3969325088</v>
      </c>
      <c r="R99" s="21" t="n">
        <f aca="false">IF(C99=5,0,Q99*LOOKUP(Q99,FeeLo,FeeR)*(1+VAT))</f>
        <v>0.13395638031776</v>
      </c>
      <c r="S99" s="21" t="n">
        <f aca="false">IF(J99&gt;0,-CUMIPMT(Rm,LoanYears*12,J99,1,(G99-O99)*12,0),0)</f>
        <v>0.992806404928962</v>
      </c>
      <c r="T99" s="29" t="n">
        <f aca="false">IF(C99=5,0,SUMIFS(Sch_Total,Sch_Idx,A99,Sch_Scen,E99,Sch_Year,"&lt;="&amp;G99))</f>
        <v>0.147071572726464</v>
      </c>
      <c r="U99" s="21" t="n">
        <f aca="false">K99+L99+R99</f>
        <v>0.66875638031776</v>
      </c>
      <c r="V99" s="21" t="n">
        <f aca="false">IF(C99=5,0,Q99-H99-U99)</f>
        <v>3.72817612848224</v>
      </c>
      <c r="W99" s="21" t="n">
        <f aca="false">IF(C99=5,0,MAX(0,IF(P99&gt;=2,IF(Q99&gt;Exempt,V99*(Q99-Exempt)/Q99,0),V99)))</f>
        <v>1.15656682211994</v>
      </c>
      <c r="X99" s="10" t="n">
        <f aca="false">IF(P99&gt;=2,MIN(MaxDed,MIN(0.4,HoldRate*G99)+MIN(0.4,LiveRate*P99)),IF(G99&gt;=3,MIN(0.3,0.02*G99),0))</f>
        <v>0.4</v>
      </c>
      <c r="Y99" s="21" t="n">
        <f aca="false">MAX(0,W99*(1-X99)-InitDed)</f>
        <v>0.668940093271966</v>
      </c>
      <c r="Z99" s="29" t="n">
        <f aca="false">SUMPRODUCT((Y99&gt;CLo)*(Y99-CLo)*CD)*(1+LocalTax)</f>
        <v>0.113240184623799</v>
      </c>
      <c r="AA99" s="21" t="n">
        <f aca="false">K99+T99+Z99</f>
        <v>0.689311757350263</v>
      </c>
      <c r="AB99" s="29" t="n">
        <f aca="false">IF(C99=5,0,(Q99-H99)-K99-L99-R99-S99-T99-Z99)</f>
        <v>2.47505796620302</v>
      </c>
      <c r="AC99" s="21" t="n">
        <f aca="false">IF(C99=5,0,N99*((1+DepRate*(1-DepTax))^G99-1))</f>
        <v>1.11275425186472</v>
      </c>
      <c r="AD99" s="29" t="n">
        <f aca="false">IF(C99=5,0,AB99-AC99+I99*(((1+DepRate*(1-DepTax))^G99-1)-((1+DepRate*(1-DepTax))^O99-1)))</f>
        <v>2.26481112214718</v>
      </c>
      <c r="AE99" s="30" t="n">
        <f aca="false">IF(J99&gt;0,-PMT(Rm,LoanYears*12,J99)*10000,0)</f>
        <v>248.255953642039</v>
      </c>
      <c r="AF99" s="21" t="n">
        <f aca="false">IF(J99&gt;0,-PMT((Rate+Stress)/12,LoanYears*12,J99)*12/DSR,0)</f>
        <v>1.03787189247953</v>
      </c>
      <c r="AG99" s="20" t="n">
        <f aca="false">IF(N99&lt;=CapA,1,0)</f>
        <v>1</v>
      </c>
      <c r="AH99" s="20" t="n">
        <f aca="false">IF(N99&lt;=CapB,1,0)</f>
        <v>1</v>
      </c>
      <c r="AI99" s="20" t="n">
        <f aca="false">IF(N99&lt;=CapC,1,0)</f>
        <v>1</v>
      </c>
      <c r="AJ99" s="21" t="n">
        <f aca="false">IF(AG99=1,AD99,-999)</f>
        <v>2.26481112214718</v>
      </c>
      <c r="AK99" s="21" t="n">
        <f aca="false">IF(AH99=1,AD99,-999)</f>
        <v>2.26481112214718</v>
      </c>
      <c r="AL99" s="21" t="n">
        <f aca="false">IF(AI99=1,AD99,-999)</f>
        <v>2.26481112214718</v>
      </c>
      <c r="AM99" s="21" t="str">
        <f aca="false">C99&amp;"|"&amp;E99&amp;"|"&amp;G99&amp;"|"&amp;TEXT(AJ99,"0.00000")</f>
        <v>1|3|5|2.26481</v>
      </c>
      <c r="AN99" s="21" t="str">
        <f aca="false">C99&amp;"|"&amp;E99&amp;"|"&amp;G99&amp;"|"&amp;TEXT(AK99,"0.00000")</f>
        <v>1|3|5|2.26481</v>
      </c>
      <c r="AO99" s="21" t="str">
        <f aca="false">C99&amp;"|"&amp;E99&amp;"|"&amp;G99&amp;"|"&amp;TEXT(AL99,"0.00000")</f>
        <v>1|3|5|2.26481</v>
      </c>
    </row>
    <row r="100" customFormat="false" ht="15" hidden="false" customHeight="false" outlineLevel="0" collapsed="false">
      <c r="A100" s="20" t="n">
        <v>4</v>
      </c>
      <c r="B100" s="18" t="str">
        <f aca="false">INDEX(C_Name,A100)</f>
        <v>신길삼성래미안 84㎡</v>
      </c>
      <c r="C100" s="20" t="n">
        <v>1</v>
      </c>
      <c r="D100" s="21" t="str">
        <f aca="false">CHOOSE(C100,"1안 표준형(대출 최대)","2안 절충형(대출 50%)","3안 무대출형","4안 임대차 승계 후 입주","5안 매수 보류(전세 거주)")</f>
        <v>1안 표준형(대출 최대)</v>
      </c>
      <c r="E100" s="20" t="n">
        <v>3</v>
      </c>
      <c r="F100" s="10" t="n">
        <f aca="false">CHOOSE(E100,GrowLo,GrowMid,GrowHi)</f>
        <v>0.06</v>
      </c>
      <c r="G100" s="20" t="n">
        <v>10</v>
      </c>
      <c r="H100" s="18" t="n">
        <f aca="false">INDEX(C_Price,A100)</f>
        <v>13</v>
      </c>
      <c r="I100" s="18" t="n">
        <f aca="false">INDEX(C_Jeonse,A100)</f>
        <v>6.76</v>
      </c>
      <c r="J100" s="21" t="n">
        <f aca="false">IF(C100=5,0,IF(C100=1,INDEX(C_Loan,A100),IF(C100=2,INDEX(C_Loan,A100)*LoanShare2,IF(C100=3,0,MIN(INDEX(C_Loan,A100),I100)))))</f>
        <v>5.2</v>
      </c>
      <c r="K100" s="18" t="n">
        <f aca="false">IF(C100=5,0,INDEX(C_Acq,A100))</f>
        <v>0.429</v>
      </c>
      <c r="L100" s="18" t="n">
        <f aca="false">IF(C100=5,0,INDEX(C_Fee,A100))</f>
        <v>0.1058</v>
      </c>
      <c r="M100" s="21" t="n">
        <f aca="false">IF(C100=4,MAX(0,I100-J100),0)</f>
        <v>0</v>
      </c>
      <c r="N100" s="21" t="n">
        <f aca="false">IF(C100=5,I100,IF(C100=4,(H100-I100)+K100+L100+M100,H100-J100+K100+L100))</f>
        <v>8.3348</v>
      </c>
      <c r="O100" s="20" t="n">
        <f aca="false">IF(C100=4,RentYears,0)</f>
        <v>0</v>
      </c>
      <c r="P100" s="20" t="n">
        <f aca="false">IF(C100=5,0,MAX(0,G100-O100-NonRes))</f>
        <v>10</v>
      </c>
      <c r="Q100" s="21" t="n">
        <f aca="false">IF(C100=5,0,H100*(1+F100)^G100)</f>
        <v>23.2810200550571</v>
      </c>
      <c r="R100" s="21" t="n">
        <f aca="false">IF(C100=5,0,Q100*LOOKUP(Q100,FeeLo,FeeR)*(1+VAT))</f>
        <v>0.17926385442394</v>
      </c>
      <c r="S100" s="21" t="n">
        <f aca="false">IF(J100&gt;0,-CUMIPMT(Rm,LoanYears*12,J100,1,(G100-O100)*12,0),0)</f>
        <v>1.87583732270669</v>
      </c>
      <c r="T100" s="29" t="n">
        <f aca="false">IF(C100=5,0,SUMIFS(Sch_Total,Sch_Idx,A100,Sch_Scen,E100,Sch_Year,"&lt;="&amp;G100))</f>
        <v>0.388594062370387</v>
      </c>
      <c r="U100" s="21" t="n">
        <f aca="false">K100+L100+R100</f>
        <v>0.71406385442394</v>
      </c>
      <c r="V100" s="21" t="n">
        <f aca="false">IF(C100=5,0,Q100-H100-U100)</f>
        <v>9.56695620063317</v>
      </c>
      <c r="W100" s="21" t="n">
        <f aca="false">IF(C100=5,0,MAX(0,IF(P100&gt;=2,IF(Q100&gt;Exempt,V100*(Q100-Exempt)/Q100,0),V100)))</f>
        <v>4.63575154825539</v>
      </c>
      <c r="X100" s="10" t="n">
        <f aca="false">IF(P100&gt;=2,MIN(MaxDed,MIN(0.4,HoldRate*G100)+MIN(0.4,LiveRate*P100)),IF(G100&gt;=3,MIN(0.3,0.02*G100),0))</f>
        <v>0.8</v>
      </c>
      <c r="Y100" s="21" t="n">
        <f aca="false">MAX(0,W100*(1-X100)-InitDed)</f>
        <v>0.902150309651078</v>
      </c>
      <c r="Z100" s="29" t="n">
        <f aca="false">SUMPRODUCT((Y100&gt;CLo)*(Y100-CLo)*CD)*(1+LocalTax)</f>
        <v>0.177487869215665</v>
      </c>
      <c r="AA100" s="21" t="n">
        <f aca="false">K100+T100+Z100</f>
        <v>0.995081931586052</v>
      </c>
      <c r="AB100" s="29" t="n">
        <f aca="false">IF(C100=5,0,(Q100-H100)-K100-L100-R100-S100-T100-Z100)</f>
        <v>7.12503694634043</v>
      </c>
      <c r="AC100" s="21" t="n">
        <f aca="false">IF(C100=5,0,N100*((1+DepRate*(1-DepTax))^G100-1))</f>
        <v>2.37406900008725</v>
      </c>
      <c r="AD100" s="29" t="n">
        <f aca="false">IF(C100=5,0,AB100-AC100+I100*(((1+DepRate*(1-DepTax))^G100-1)-((1+DepRate*(1-DepTax))^O100-1)))</f>
        <v>6.67647383008841</v>
      </c>
      <c r="AE100" s="30" t="n">
        <f aca="false">IF(J100&gt;0,-PMT(Rm,LoanYears*12,J100)*10000,0)</f>
        <v>248.255953642039</v>
      </c>
      <c r="AF100" s="21" t="n">
        <f aca="false">IF(J100&gt;0,-PMT((Rate+Stress)/12,LoanYears*12,J100)*12/DSR,0)</f>
        <v>1.03787189247953</v>
      </c>
      <c r="AG100" s="20" t="n">
        <f aca="false">IF(N100&lt;=CapA,1,0)</f>
        <v>1</v>
      </c>
      <c r="AH100" s="20" t="n">
        <f aca="false">IF(N100&lt;=CapB,1,0)</f>
        <v>1</v>
      </c>
      <c r="AI100" s="20" t="n">
        <f aca="false">IF(N100&lt;=CapC,1,0)</f>
        <v>1</v>
      </c>
      <c r="AJ100" s="21" t="n">
        <f aca="false">IF(AG100=1,AD100,-999)</f>
        <v>6.67647383008841</v>
      </c>
      <c r="AK100" s="21" t="n">
        <f aca="false">IF(AH100=1,AD100,-999)</f>
        <v>6.67647383008841</v>
      </c>
      <c r="AL100" s="21" t="n">
        <f aca="false">IF(AI100=1,AD100,-999)</f>
        <v>6.67647383008841</v>
      </c>
      <c r="AM100" s="21" t="str">
        <f aca="false">C100&amp;"|"&amp;E100&amp;"|"&amp;G100&amp;"|"&amp;TEXT(AJ100,"0.00000")</f>
        <v>1|3|10|6.67647</v>
      </c>
      <c r="AN100" s="21" t="str">
        <f aca="false">C100&amp;"|"&amp;E100&amp;"|"&amp;G100&amp;"|"&amp;TEXT(AK100,"0.00000")</f>
        <v>1|3|10|6.67647</v>
      </c>
      <c r="AO100" s="21" t="str">
        <f aca="false">C100&amp;"|"&amp;E100&amp;"|"&amp;G100&amp;"|"&amp;TEXT(AL100,"0.00000")</f>
        <v>1|3|10|6.67647</v>
      </c>
    </row>
    <row r="101" customFormat="false" ht="15" hidden="false" customHeight="false" outlineLevel="0" collapsed="false">
      <c r="A101" s="20" t="n">
        <v>4</v>
      </c>
      <c r="B101" s="18" t="str">
        <f aca="false">INDEX(C_Name,A101)</f>
        <v>신길삼성래미안 84㎡</v>
      </c>
      <c r="C101" s="20" t="n">
        <v>2</v>
      </c>
      <c r="D101" s="21" t="str">
        <f aca="false">CHOOSE(C101,"1안 표준형(대출 최대)","2안 절충형(대출 50%)","3안 무대출형","4안 임대차 승계 후 입주","5안 매수 보류(전세 거주)")</f>
        <v>2안 절충형(대출 50%)</v>
      </c>
      <c r="E101" s="20" t="n">
        <v>1</v>
      </c>
      <c r="F101" s="10" t="n">
        <f aca="false">CHOOSE(E101,GrowLo,GrowMid,GrowHi)</f>
        <v>0.02</v>
      </c>
      <c r="G101" s="20" t="n">
        <v>5</v>
      </c>
      <c r="H101" s="18" t="n">
        <f aca="false">INDEX(C_Price,A101)</f>
        <v>13</v>
      </c>
      <c r="I101" s="18" t="n">
        <f aca="false">INDEX(C_Jeonse,A101)</f>
        <v>6.76</v>
      </c>
      <c r="J101" s="21" t="n">
        <f aca="false">IF(C101=5,0,IF(C101=1,INDEX(C_Loan,A101),IF(C101=2,INDEX(C_Loan,A101)*LoanShare2,IF(C101=3,0,MIN(INDEX(C_Loan,A101),I101)))))</f>
        <v>2.6</v>
      </c>
      <c r="K101" s="18" t="n">
        <f aca="false">IF(C101=5,0,INDEX(C_Acq,A101))</f>
        <v>0.429</v>
      </c>
      <c r="L101" s="18" t="n">
        <f aca="false">IF(C101=5,0,INDEX(C_Fee,A101))</f>
        <v>0.1058</v>
      </c>
      <c r="M101" s="21" t="n">
        <f aca="false">IF(C101=4,MAX(0,I101-J101),0)</f>
        <v>0</v>
      </c>
      <c r="N101" s="21" t="n">
        <f aca="false">IF(C101=5,I101,IF(C101=4,(H101-I101)+K101+L101+M101,H101-J101+K101+L101))</f>
        <v>10.9348</v>
      </c>
      <c r="O101" s="20" t="n">
        <f aca="false">IF(C101=4,RentYears,0)</f>
        <v>0</v>
      </c>
      <c r="P101" s="20" t="n">
        <f aca="false">IF(C101=5,0,MAX(0,G101-O101-NonRes))</f>
        <v>5</v>
      </c>
      <c r="Q101" s="21" t="n">
        <f aca="false">IF(C101=5,0,H101*(1+F101)^G101)</f>
        <v>14.3530504416</v>
      </c>
      <c r="R101" s="21" t="n">
        <f aca="false">IF(C101=5,0,Q101*LOOKUP(Q101,FeeLo,FeeR)*(1+VAT))</f>
        <v>0.09473013291456</v>
      </c>
      <c r="S101" s="21" t="n">
        <f aca="false">IF(J101&gt;0,-CUMIPMT(Rm,LoanYears*12,J101,1,(G101-O101)*12,0),0)</f>
        <v>0.496403202464481</v>
      </c>
      <c r="T101" s="29" t="n">
        <f aca="false">IF(C101=5,0,SUMIFS(Sch_Total,Sch_Idx,A101,Sch_Scen,E101,Sch_Year,"&lt;="&amp;G101))</f>
        <v>0.132621293674944</v>
      </c>
      <c r="U101" s="21" t="n">
        <f aca="false">K101+L101+R101</f>
        <v>0.62953013291456</v>
      </c>
      <c r="V101" s="21" t="n">
        <f aca="false">IF(C101=5,0,Q101-H101-U101)</f>
        <v>0.723520308685441</v>
      </c>
      <c r="W101" s="21" t="n">
        <f aca="false">IF(C101=5,0,MAX(0,IF(P101&gt;=2,IF(Q101&gt;Exempt,V101*(Q101-Exempt)/Q101,0),V101)))</f>
        <v>0.118614491657082</v>
      </c>
      <c r="X101" s="10" t="n">
        <f aca="false">IF(P101&gt;=2,MIN(MaxDed,MIN(0.4,HoldRate*G101)+MIN(0.4,LiveRate*P101)),IF(G101&gt;=3,MIN(0.3,0.02*G101),0))</f>
        <v>0.4</v>
      </c>
      <c r="Y101" s="21" t="n">
        <f aca="false">MAX(0,W101*(1-X101)-InitDed)</f>
        <v>0.0461686949942494</v>
      </c>
      <c r="Z101" s="29" t="n">
        <f aca="false">SUMPRODUCT((Y101&gt;CLo)*(Y101-CLo)*CD)*(1+LocalTax)</f>
        <v>0.00304713386962046</v>
      </c>
      <c r="AA101" s="21" t="n">
        <f aca="false">K101+T101+Z101</f>
        <v>0.564668427544565</v>
      </c>
      <c r="AB101" s="29" t="n">
        <f aca="false">IF(C101=5,0,(Q101-H101)-K101-L101-R101-S101-T101-Z101)</f>
        <v>0.091448678676395</v>
      </c>
      <c r="AC101" s="21" t="n">
        <f aca="false">IF(C101=5,0,N101*((1+DepRate*(1-DepTax))^G101-1))</f>
        <v>1.45987248563737</v>
      </c>
      <c r="AD101" s="29" t="n">
        <f aca="false">IF(C101=5,0,AB101-AC101+I101*(((1+DepRate*(1-DepTax))^G101-1)-((1+DepRate*(1-DepTax))^O101-1)))</f>
        <v>-0.465916399152089</v>
      </c>
      <c r="AE101" s="30" t="n">
        <f aca="false">IF(J101&gt;0,-PMT(Rm,LoanYears*12,J101)*10000,0)</f>
        <v>124.12797682102</v>
      </c>
      <c r="AF101" s="21" t="n">
        <f aca="false">IF(J101&gt;0,-PMT((Rate+Stress)/12,LoanYears*12,J101)*12/DSR,0)</f>
        <v>0.518935946239763</v>
      </c>
      <c r="AG101" s="20" t="n">
        <f aca="false">IF(N101&lt;=CapA,1,0)</f>
        <v>1</v>
      </c>
      <c r="AH101" s="20" t="n">
        <f aca="false">IF(N101&lt;=CapB,1,0)</f>
        <v>1</v>
      </c>
      <c r="AI101" s="20" t="n">
        <f aca="false">IF(N101&lt;=CapC,1,0)</f>
        <v>1</v>
      </c>
      <c r="AJ101" s="21" t="n">
        <f aca="false">IF(AG101=1,AD101,-999)</f>
        <v>-0.465916399152089</v>
      </c>
      <c r="AK101" s="21" t="n">
        <f aca="false">IF(AH101=1,AD101,-999)</f>
        <v>-0.465916399152089</v>
      </c>
      <c r="AL101" s="21" t="n">
        <f aca="false">IF(AI101=1,AD101,-999)</f>
        <v>-0.465916399152089</v>
      </c>
      <c r="AM101" s="21" t="str">
        <f aca="false">C101&amp;"|"&amp;E101&amp;"|"&amp;G101&amp;"|"&amp;TEXT(AJ101,"0.00000")</f>
        <v>2|1|5|-0.46592</v>
      </c>
      <c r="AN101" s="21" t="str">
        <f aca="false">C101&amp;"|"&amp;E101&amp;"|"&amp;G101&amp;"|"&amp;TEXT(AK101,"0.00000")</f>
        <v>2|1|5|-0.46592</v>
      </c>
      <c r="AO101" s="21" t="str">
        <f aca="false">C101&amp;"|"&amp;E101&amp;"|"&amp;G101&amp;"|"&amp;TEXT(AL101,"0.00000")</f>
        <v>2|1|5|-0.46592</v>
      </c>
    </row>
    <row r="102" customFormat="false" ht="15" hidden="false" customHeight="false" outlineLevel="0" collapsed="false">
      <c r="A102" s="20" t="n">
        <v>4</v>
      </c>
      <c r="B102" s="18" t="str">
        <f aca="false">INDEX(C_Name,A102)</f>
        <v>신길삼성래미안 84㎡</v>
      </c>
      <c r="C102" s="20" t="n">
        <v>2</v>
      </c>
      <c r="D102" s="21" t="str">
        <f aca="false">CHOOSE(C102,"1안 표준형(대출 최대)","2안 절충형(대출 50%)","3안 무대출형","4안 임대차 승계 후 입주","5안 매수 보류(전세 거주)")</f>
        <v>2안 절충형(대출 50%)</v>
      </c>
      <c r="E102" s="20" t="n">
        <v>1</v>
      </c>
      <c r="F102" s="10" t="n">
        <f aca="false">CHOOSE(E102,GrowLo,GrowMid,GrowHi)</f>
        <v>0.02</v>
      </c>
      <c r="G102" s="20" t="n">
        <v>10</v>
      </c>
      <c r="H102" s="18" t="n">
        <f aca="false">INDEX(C_Price,A102)</f>
        <v>13</v>
      </c>
      <c r="I102" s="18" t="n">
        <f aca="false">INDEX(C_Jeonse,A102)</f>
        <v>6.76</v>
      </c>
      <c r="J102" s="21" t="n">
        <f aca="false">IF(C102=5,0,IF(C102=1,INDEX(C_Loan,A102),IF(C102=2,INDEX(C_Loan,A102)*LoanShare2,IF(C102=3,0,MIN(INDEX(C_Loan,A102),I102)))))</f>
        <v>2.6</v>
      </c>
      <c r="K102" s="18" t="n">
        <f aca="false">IF(C102=5,0,INDEX(C_Acq,A102))</f>
        <v>0.429</v>
      </c>
      <c r="L102" s="18" t="n">
        <f aca="false">IF(C102=5,0,INDEX(C_Fee,A102))</f>
        <v>0.1058</v>
      </c>
      <c r="M102" s="21" t="n">
        <f aca="false">IF(C102=4,MAX(0,I102-J102),0)</f>
        <v>0</v>
      </c>
      <c r="N102" s="21" t="n">
        <f aca="false">IF(C102=5,I102,IF(C102=4,(H102-I102)+K102+L102+M102,H102-J102+K102+L102))</f>
        <v>10.9348</v>
      </c>
      <c r="O102" s="20" t="n">
        <f aca="false">IF(C102=4,RentYears,0)</f>
        <v>0</v>
      </c>
      <c r="P102" s="20" t="n">
        <f aca="false">IF(C102=5,0,MAX(0,G102-O102-NonRes))</f>
        <v>10</v>
      </c>
      <c r="Q102" s="21" t="n">
        <f aca="false">IF(C102=5,0,H102*(1+F102)^G102)</f>
        <v>15.8469274599318</v>
      </c>
      <c r="R102" s="21" t="n">
        <f aca="false">IF(C102=5,0,Q102*LOOKUP(Q102,FeeLo,FeeR)*(1+VAT))</f>
        <v>0.122021341441475</v>
      </c>
      <c r="S102" s="21" t="n">
        <f aca="false">IF(J102&gt;0,-CUMIPMT(Rm,LoanYears*12,J102,1,(G102-O102)*12,0),0)</f>
        <v>0.937918661353343</v>
      </c>
      <c r="T102" s="29" t="n">
        <f aca="false">IF(C102=5,0,SUMIFS(Sch_Total,Sch_Idx,A102,Sch_Scen,E102,Sch_Year,"&lt;="&amp;G102))</f>
        <v>0.286545470207653</v>
      </c>
      <c r="U102" s="21" t="n">
        <f aca="false">K102+L102+R102</f>
        <v>0.656821341441475</v>
      </c>
      <c r="V102" s="21" t="n">
        <f aca="false">IF(C102=5,0,Q102-H102-U102)</f>
        <v>2.19010611849037</v>
      </c>
      <c r="W102" s="21" t="n">
        <f aca="false">IF(C102=5,0,MAX(0,IF(P102&gt;=2,IF(Q102&gt;Exempt,V102*(Q102-Exempt)/Q102,0),V102)))</f>
        <v>0.531660120782908</v>
      </c>
      <c r="X102" s="10" t="n">
        <f aca="false">IF(P102&gt;=2,MIN(MaxDed,MIN(0.4,HoldRate*G102)+MIN(0.4,LiveRate*P102)),IF(G102&gt;=3,MIN(0.3,0.02*G102),0))</f>
        <v>0.8</v>
      </c>
      <c r="Y102" s="21" t="n">
        <f aca="false">MAX(0,W102*(1-X102)-InitDed)</f>
        <v>0.0813320241565816</v>
      </c>
      <c r="Z102" s="29" t="n">
        <f aca="false">SUMPRODUCT((Y102&gt;CLo)*(Y102-CLo)*CD)*(1+LocalTax)</f>
        <v>0.00536791359433439</v>
      </c>
      <c r="AA102" s="21" t="n">
        <f aca="false">K102+T102+Z102</f>
        <v>0.720913383801987</v>
      </c>
      <c r="AB102" s="29" t="n">
        <f aca="false">IF(C102=5,0,(Q102-H102)-K102-L102-R102-S102-T102-Z102)</f>
        <v>0.96027407333504</v>
      </c>
      <c r="AC102" s="21" t="n">
        <f aca="false">IF(C102=5,0,N102*((1+DepRate*(1-DepTax))^G102-1))</f>
        <v>3.11464818617772</v>
      </c>
      <c r="AD102" s="29" t="n">
        <f aca="false">IF(C102=5,0,AB102-AC102+I102*(((1+DepRate*(1-DepTax))^G102-1)-((1+DepRate*(1-DepTax))^O102-1)))</f>
        <v>-0.228868229007458</v>
      </c>
      <c r="AE102" s="30" t="n">
        <f aca="false">IF(J102&gt;0,-PMT(Rm,LoanYears*12,J102)*10000,0)</f>
        <v>124.12797682102</v>
      </c>
      <c r="AF102" s="21" t="n">
        <f aca="false">IF(J102&gt;0,-PMT((Rate+Stress)/12,LoanYears*12,J102)*12/DSR,0)</f>
        <v>0.518935946239763</v>
      </c>
      <c r="AG102" s="20" t="n">
        <f aca="false">IF(N102&lt;=CapA,1,0)</f>
        <v>1</v>
      </c>
      <c r="AH102" s="20" t="n">
        <f aca="false">IF(N102&lt;=CapB,1,0)</f>
        <v>1</v>
      </c>
      <c r="AI102" s="20" t="n">
        <f aca="false">IF(N102&lt;=CapC,1,0)</f>
        <v>1</v>
      </c>
      <c r="AJ102" s="21" t="n">
        <f aca="false">IF(AG102=1,AD102,-999)</f>
        <v>-0.228868229007458</v>
      </c>
      <c r="AK102" s="21" t="n">
        <f aca="false">IF(AH102=1,AD102,-999)</f>
        <v>-0.228868229007458</v>
      </c>
      <c r="AL102" s="21" t="n">
        <f aca="false">IF(AI102=1,AD102,-999)</f>
        <v>-0.228868229007458</v>
      </c>
      <c r="AM102" s="21" t="str">
        <f aca="false">C102&amp;"|"&amp;E102&amp;"|"&amp;G102&amp;"|"&amp;TEXT(AJ102,"0.00000")</f>
        <v>2|1|10|-0.22887</v>
      </c>
      <c r="AN102" s="21" t="str">
        <f aca="false">C102&amp;"|"&amp;E102&amp;"|"&amp;G102&amp;"|"&amp;TEXT(AK102,"0.00000")</f>
        <v>2|1|10|-0.22887</v>
      </c>
      <c r="AO102" s="21" t="str">
        <f aca="false">C102&amp;"|"&amp;E102&amp;"|"&amp;G102&amp;"|"&amp;TEXT(AL102,"0.00000")</f>
        <v>2|1|10|-0.22887</v>
      </c>
    </row>
    <row r="103" customFormat="false" ht="15" hidden="false" customHeight="false" outlineLevel="0" collapsed="false">
      <c r="A103" s="20" t="n">
        <v>4</v>
      </c>
      <c r="B103" s="18" t="str">
        <f aca="false">INDEX(C_Name,A103)</f>
        <v>신길삼성래미안 84㎡</v>
      </c>
      <c r="C103" s="20" t="n">
        <v>2</v>
      </c>
      <c r="D103" s="21" t="str">
        <f aca="false">CHOOSE(C103,"1안 표준형(대출 최대)","2안 절충형(대출 50%)","3안 무대출형","4안 임대차 승계 후 입주","5안 매수 보류(전세 거주)")</f>
        <v>2안 절충형(대출 50%)</v>
      </c>
      <c r="E103" s="20" t="n">
        <v>2</v>
      </c>
      <c r="F103" s="10" t="n">
        <f aca="false">CHOOSE(E103,GrowLo,GrowMid,GrowHi)</f>
        <v>0.04</v>
      </c>
      <c r="G103" s="20" t="n">
        <v>5</v>
      </c>
      <c r="H103" s="18" t="n">
        <f aca="false">INDEX(C_Price,A103)</f>
        <v>13</v>
      </c>
      <c r="I103" s="18" t="n">
        <f aca="false">INDEX(C_Jeonse,A103)</f>
        <v>6.76</v>
      </c>
      <c r="J103" s="21" t="n">
        <f aca="false">IF(C103=5,0,IF(C103=1,INDEX(C_Loan,A103),IF(C103=2,INDEX(C_Loan,A103)*LoanShare2,IF(C103=3,0,MIN(INDEX(C_Loan,A103),I103)))))</f>
        <v>2.6</v>
      </c>
      <c r="K103" s="18" t="n">
        <f aca="false">IF(C103=5,0,INDEX(C_Acq,A103))</f>
        <v>0.429</v>
      </c>
      <c r="L103" s="18" t="n">
        <f aca="false">IF(C103=5,0,INDEX(C_Fee,A103))</f>
        <v>0.1058</v>
      </c>
      <c r="M103" s="21" t="n">
        <f aca="false">IF(C103=4,MAX(0,I103-J103),0)</f>
        <v>0</v>
      </c>
      <c r="N103" s="21" t="n">
        <f aca="false">IF(C103=5,I103,IF(C103=4,(H103-I103)+K103+L103+M103,H103-J103+K103+L103))</f>
        <v>10.9348</v>
      </c>
      <c r="O103" s="20" t="n">
        <f aca="false">IF(C103=4,RentYears,0)</f>
        <v>0</v>
      </c>
      <c r="P103" s="20" t="n">
        <f aca="false">IF(C103=5,0,MAX(0,G103-O103-NonRes))</f>
        <v>5</v>
      </c>
      <c r="Q103" s="21" t="n">
        <f aca="false">IF(C103=5,0,H103*(1+F103)^G103)</f>
        <v>15.8164877312</v>
      </c>
      <c r="R103" s="21" t="n">
        <f aca="false">IF(C103=5,0,Q103*LOOKUP(Q103,FeeLo,FeeR)*(1+VAT))</f>
        <v>0.12178695553024</v>
      </c>
      <c r="S103" s="21" t="n">
        <f aca="false">IF(J103&gt;0,-CUMIPMT(Rm,LoanYears*12,J103,1,(G103-O103)*12,0),0)</f>
        <v>0.496403202464481</v>
      </c>
      <c r="T103" s="29" t="n">
        <f aca="false">IF(C103=5,0,SUMIFS(Sch_Total,Sch_Idx,A103,Sch_Scen,E103,Sch_Year,"&lt;="&amp;G103))</f>
        <v>0.139704817711104</v>
      </c>
      <c r="U103" s="21" t="n">
        <f aca="false">K103+L103+R103</f>
        <v>0.65658695553024</v>
      </c>
      <c r="V103" s="21" t="n">
        <f aca="false">IF(C103=5,0,Q103-H103-U103)</f>
        <v>2.15990077566976</v>
      </c>
      <c r="W103" s="21" t="n">
        <f aca="false">IF(C103=5,0,MAX(0,IF(P103&gt;=2,IF(Q103&gt;Exempt,V103*(Q103-Exempt)/Q103,0),V103)))</f>
        <v>0.521179856808045</v>
      </c>
      <c r="X103" s="10" t="n">
        <f aca="false">IF(P103&gt;=2,MIN(MaxDed,MIN(0.4,HoldRate*G103)+MIN(0.4,LiveRate*P103)),IF(G103&gt;=3,MIN(0.3,0.02*G103),0))</f>
        <v>0.4</v>
      </c>
      <c r="Y103" s="21" t="n">
        <f aca="false">MAX(0,W103*(1-X103)-InitDed)</f>
        <v>0.287707914084827</v>
      </c>
      <c r="Z103" s="29" t="n">
        <f aca="false">SUMPRODUCT((Y103&gt;CLo)*(Y103-CLo)*CD)*(1+LocalTax)</f>
        <v>0.0336118058239964</v>
      </c>
      <c r="AA103" s="21" t="n">
        <f aca="false">K103+T103+Z103</f>
        <v>0.602316623535101</v>
      </c>
      <c r="AB103" s="29" t="n">
        <f aca="false">IF(C103=5,0,(Q103-H103)-K103-L103-R103-S103-T103-Z103)</f>
        <v>1.49018094967018</v>
      </c>
      <c r="AC103" s="21" t="n">
        <f aca="false">IF(C103=5,0,N103*((1+DepRate*(1-DepTax))^G103-1))</f>
        <v>1.45987248563737</v>
      </c>
      <c r="AD103" s="29" t="n">
        <f aca="false">IF(C103=5,0,AB103-AC103+I103*(((1+DepRate*(1-DepTax))^G103-1)-((1+DepRate*(1-DepTax))^O103-1)))</f>
        <v>0.932815871841697</v>
      </c>
      <c r="AE103" s="30" t="n">
        <f aca="false">IF(J103&gt;0,-PMT(Rm,LoanYears*12,J103)*10000,0)</f>
        <v>124.12797682102</v>
      </c>
      <c r="AF103" s="21" t="n">
        <f aca="false">IF(J103&gt;0,-PMT((Rate+Stress)/12,LoanYears*12,J103)*12/DSR,0)</f>
        <v>0.518935946239763</v>
      </c>
      <c r="AG103" s="20" t="n">
        <f aca="false">IF(N103&lt;=CapA,1,0)</f>
        <v>1</v>
      </c>
      <c r="AH103" s="20" t="n">
        <f aca="false">IF(N103&lt;=CapB,1,0)</f>
        <v>1</v>
      </c>
      <c r="AI103" s="20" t="n">
        <f aca="false">IF(N103&lt;=CapC,1,0)</f>
        <v>1</v>
      </c>
      <c r="AJ103" s="21" t="n">
        <f aca="false">IF(AG103=1,AD103,-999)</f>
        <v>0.932815871841697</v>
      </c>
      <c r="AK103" s="21" t="n">
        <f aca="false">IF(AH103=1,AD103,-999)</f>
        <v>0.932815871841697</v>
      </c>
      <c r="AL103" s="21" t="n">
        <f aca="false">IF(AI103=1,AD103,-999)</f>
        <v>0.932815871841697</v>
      </c>
      <c r="AM103" s="21" t="str">
        <f aca="false">C103&amp;"|"&amp;E103&amp;"|"&amp;G103&amp;"|"&amp;TEXT(AJ103,"0.00000")</f>
        <v>2|2|5|0.93282</v>
      </c>
      <c r="AN103" s="21" t="str">
        <f aca="false">C103&amp;"|"&amp;E103&amp;"|"&amp;G103&amp;"|"&amp;TEXT(AK103,"0.00000")</f>
        <v>2|2|5|0.93282</v>
      </c>
      <c r="AO103" s="21" t="str">
        <f aca="false">C103&amp;"|"&amp;E103&amp;"|"&amp;G103&amp;"|"&amp;TEXT(AL103,"0.00000")</f>
        <v>2|2|5|0.93282</v>
      </c>
    </row>
    <row r="104" customFormat="false" ht="15" hidden="false" customHeight="false" outlineLevel="0" collapsed="false">
      <c r="A104" s="20" t="n">
        <v>4</v>
      </c>
      <c r="B104" s="18" t="str">
        <f aca="false">INDEX(C_Name,A104)</f>
        <v>신길삼성래미안 84㎡</v>
      </c>
      <c r="C104" s="20" t="n">
        <v>2</v>
      </c>
      <c r="D104" s="21" t="str">
        <f aca="false">CHOOSE(C104,"1안 표준형(대출 최대)","2안 절충형(대출 50%)","3안 무대출형","4안 임대차 승계 후 입주","5안 매수 보류(전세 거주)")</f>
        <v>2안 절충형(대출 50%)</v>
      </c>
      <c r="E104" s="20" t="n">
        <v>2</v>
      </c>
      <c r="F104" s="10" t="n">
        <f aca="false">CHOOSE(E104,GrowLo,GrowMid,GrowHi)</f>
        <v>0.04</v>
      </c>
      <c r="G104" s="20" t="n">
        <v>10</v>
      </c>
      <c r="H104" s="18" t="n">
        <f aca="false">INDEX(C_Price,A104)</f>
        <v>13</v>
      </c>
      <c r="I104" s="18" t="n">
        <f aca="false">INDEX(C_Jeonse,A104)</f>
        <v>6.76</v>
      </c>
      <c r="J104" s="21" t="n">
        <f aca="false">IF(C104=5,0,IF(C104=1,INDEX(C_Loan,A104),IF(C104=2,INDEX(C_Loan,A104)*LoanShare2,IF(C104=3,0,MIN(INDEX(C_Loan,A104),I104)))))</f>
        <v>2.6</v>
      </c>
      <c r="K104" s="18" t="n">
        <f aca="false">IF(C104=5,0,INDEX(C_Acq,A104))</f>
        <v>0.429</v>
      </c>
      <c r="L104" s="18" t="n">
        <f aca="false">IF(C104=5,0,INDEX(C_Fee,A104))</f>
        <v>0.1058</v>
      </c>
      <c r="M104" s="21" t="n">
        <f aca="false">IF(C104=4,MAX(0,I104-J104),0)</f>
        <v>0</v>
      </c>
      <c r="N104" s="21" t="n">
        <f aca="false">IF(C104=5,I104,IF(C104=4,(H104-I104)+K104+L104+M104,H104-J104+K104+L104))</f>
        <v>10.9348</v>
      </c>
      <c r="O104" s="20" t="n">
        <f aca="false">IF(C104=4,RentYears,0)</f>
        <v>0</v>
      </c>
      <c r="P104" s="20" t="n">
        <f aca="false">IF(C104=5,0,MAX(0,G104-O104-NonRes))</f>
        <v>10</v>
      </c>
      <c r="Q104" s="21" t="n">
        <f aca="false">IF(C104=5,0,H104*(1+F104)^G104)</f>
        <v>19.2431757039385</v>
      </c>
      <c r="R104" s="21" t="n">
        <f aca="false">IF(C104=5,0,Q104*LOOKUP(Q104,FeeLo,FeeR)*(1+VAT))</f>
        <v>0.148172452920326</v>
      </c>
      <c r="S104" s="21" t="n">
        <f aca="false">IF(J104&gt;0,-CUMIPMT(Rm,LoanYears*12,J104,1,(G104-O104)*12,0),0)</f>
        <v>0.937918661353343</v>
      </c>
      <c r="T104" s="29" t="n">
        <f aca="false">IF(C104=5,0,SUMIFS(Sch_Total,Sch_Idx,A104,Sch_Scen,E104,Sch_Year,"&lt;="&amp;G104))</f>
        <v>0.325550801744133</v>
      </c>
      <c r="U104" s="21" t="n">
        <f aca="false">K104+L104+R104</f>
        <v>0.682972452920326</v>
      </c>
      <c r="V104" s="21" t="n">
        <f aca="false">IF(C104=5,0,Q104-H104-U104)</f>
        <v>5.56020325101815</v>
      </c>
      <c r="W104" s="21" t="n">
        <f aca="false">IF(C104=5,0,MAX(0,IF(P104&gt;=2,IF(Q104&gt;Exempt,V104*(Q104-Exempt)/Q104,0),V104)))</f>
        <v>2.09287332383977</v>
      </c>
      <c r="X104" s="10" t="n">
        <f aca="false">IF(P104&gt;=2,MIN(MaxDed,MIN(0.4,HoldRate*G104)+MIN(0.4,LiveRate*P104)),IF(G104&gt;=3,MIN(0.3,0.02*G104),0))</f>
        <v>0.8</v>
      </c>
      <c r="Y104" s="21" t="n">
        <f aca="false">MAX(0,W104*(1-X104)-InitDed)</f>
        <v>0.393574664767954</v>
      </c>
      <c r="Z104" s="29" t="n">
        <f aca="false">SUMPRODUCT((Y104&gt;CLo)*(Y104-CLo)*CD)*(1+LocalTax)</f>
        <v>0.0510798196867123</v>
      </c>
      <c r="AA104" s="21" t="n">
        <f aca="false">K104+T104+Z104</f>
        <v>0.805630621430846</v>
      </c>
      <c r="AB104" s="29" t="n">
        <f aca="false">IF(C104=5,0,(Q104-H104)-K104-L104-R104-S104-T104-Z104)</f>
        <v>4.24565396823396</v>
      </c>
      <c r="AC104" s="21" t="n">
        <f aca="false">IF(C104=5,0,N104*((1+DepRate*(1-DepTax))^G104-1))</f>
        <v>3.11464818617772</v>
      </c>
      <c r="AD104" s="29" t="n">
        <f aca="false">IF(C104=5,0,AB104-AC104+I104*(((1+DepRate*(1-DepTax))^G104-1)-((1+DepRate*(1-DepTax))^O104-1)))</f>
        <v>3.05651166589147</v>
      </c>
      <c r="AE104" s="30" t="n">
        <f aca="false">IF(J104&gt;0,-PMT(Rm,LoanYears*12,J104)*10000,0)</f>
        <v>124.12797682102</v>
      </c>
      <c r="AF104" s="21" t="n">
        <f aca="false">IF(J104&gt;0,-PMT((Rate+Stress)/12,LoanYears*12,J104)*12/DSR,0)</f>
        <v>0.518935946239763</v>
      </c>
      <c r="AG104" s="20" t="n">
        <f aca="false">IF(N104&lt;=CapA,1,0)</f>
        <v>1</v>
      </c>
      <c r="AH104" s="20" t="n">
        <f aca="false">IF(N104&lt;=CapB,1,0)</f>
        <v>1</v>
      </c>
      <c r="AI104" s="20" t="n">
        <f aca="false">IF(N104&lt;=CapC,1,0)</f>
        <v>1</v>
      </c>
      <c r="AJ104" s="21" t="n">
        <f aca="false">IF(AG104=1,AD104,-999)</f>
        <v>3.05651166589147</v>
      </c>
      <c r="AK104" s="21" t="n">
        <f aca="false">IF(AH104=1,AD104,-999)</f>
        <v>3.05651166589147</v>
      </c>
      <c r="AL104" s="21" t="n">
        <f aca="false">IF(AI104=1,AD104,-999)</f>
        <v>3.05651166589147</v>
      </c>
      <c r="AM104" s="21" t="str">
        <f aca="false">C104&amp;"|"&amp;E104&amp;"|"&amp;G104&amp;"|"&amp;TEXT(AJ104,"0.00000")</f>
        <v>2|2|10|3.05651</v>
      </c>
      <c r="AN104" s="21" t="str">
        <f aca="false">C104&amp;"|"&amp;E104&amp;"|"&amp;G104&amp;"|"&amp;TEXT(AK104,"0.00000")</f>
        <v>2|2|10|3.05651</v>
      </c>
      <c r="AO104" s="21" t="str">
        <f aca="false">C104&amp;"|"&amp;E104&amp;"|"&amp;G104&amp;"|"&amp;TEXT(AL104,"0.00000")</f>
        <v>2|2|10|3.05651</v>
      </c>
    </row>
    <row r="105" customFormat="false" ht="15" hidden="false" customHeight="false" outlineLevel="0" collapsed="false">
      <c r="A105" s="20" t="n">
        <v>4</v>
      </c>
      <c r="B105" s="18" t="str">
        <f aca="false">INDEX(C_Name,A105)</f>
        <v>신길삼성래미안 84㎡</v>
      </c>
      <c r="C105" s="20" t="n">
        <v>2</v>
      </c>
      <c r="D105" s="21" t="str">
        <f aca="false">CHOOSE(C105,"1안 표준형(대출 최대)","2안 절충형(대출 50%)","3안 무대출형","4안 임대차 승계 후 입주","5안 매수 보류(전세 거주)")</f>
        <v>2안 절충형(대출 50%)</v>
      </c>
      <c r="E105" s="20" t="n">
        <v>3</v>
      </c>
      <c r="F105" s="10" t="n">
        <f aca="false">CHOOSE(E105,GrowLo,GrowMid,GrowHi)</f>
        <v>0.06</v>
      </c>
      <c r="G105" s="20" t="n">
        <v>5</v>
      </c>
      <c r="H105" s="18" t="n">
        <f aca="false">INDEX(C_Price,A105)</f>
        <v>13</v>
      </c>
      <c r="I105" s="18" t="n">
        <f aca="false">INDEX(C_Jeonse,A105)</f>
        <v>6.76</v>
      </c>
      <c r="J105" s="21" t="n">
        <f aca="false">IF(C105=5,0,IF(C105=1,INDEX(C_Loan,A105),IF(C105=2,INDEX(C_Loan,A105)*LoanShare2,IF(C105=3,0,MIN(INDEX(C_Loan,A105),I105)))))</f>
        <v>2.6</v>
      </c>
      <c r="K105" s="18" t="n">
        <f aca="false">IF(C105=5,0,INDEX(C_Acq,A105))</f>
        <v>0.429</v>
      </c>
      <c r="L105" s="18" t="n">
        <f aca="false">IF(C105=5,0,INDEX(C_Fee,A105))</f>
        <v>0.1058</v>
      </c>
      <c r="M105" s="21" t="n">
        <f aca="false">IF(C105=4,MAX(0,I105-J105),0)</f>
        <v>0</v>
      </c>
      <c r="N105" s="21" t="n">
        <f aca="false">IF(C105=5,I105,IF(C105=4,(H105-I105)+K105+L105+M105,H105-J105+K105+L105))</f>
        <v>10.9348</v>
      </c>
      <c r="O105" s="20" t="n">
        <f aca="false">IF(C105=4,RentYears,0)</f>
        <v>0</v>
      </c>
      <c r="P105" s="20" t="n">
        <f aca="false">IF(C105=5,0,MAX(0,G105-O105-NonRes))</f>
        <v>5</v>
      </c>
      <c r="Q105" s="21" t="n">
        <f aca="false">IF(C105=5,0,H105*(1+F105)^G105)</f>
        <v>17.3969325088</v>
      </c>
      <c r="R105" s="21" t="n">
        <f aca="false">IF(C105=5,0,Q105*LOOKUP(Q105,FeeLo,FeeR)*(1+VAT))</f>
        <v>0.13395638031776</v>
      </c>
      <c r="S105" s="21" t="n">
        <f aca="false">IF(J105&gt;0,-CUMIPMT(Rm,LoanYears*12,J105,1,(G105-O105)*12,0),0)</f>
        <v>0.496403202464481</v>
      </c>
      <c r="T105" s="29" t="n">
        <f aca="false">IF(C105=5,0,SUMIFS(Sch_Total,Sch_Idx,A105,Sch_Scen,E105,Sch_Year,"&lt;="&amp;G105))</f>
        <v>0.147071572726464</v>
      </c>
      <c r="U105" s="21" t="n">
        <f aca="false">K105+L105+R105</f>
        <v>0.66875638031776</v>
      </c>
      <c r="V105" s="21" t="n">
        <f aca="false">IF(C105=5,0,Q105-H105-U105)</f>
        <v>3.72817612848224</v>
      </c>
      <c r="W105" s="21" t="n">
        <f aca="false">IF(C105=5,0,MAX(0,IF(P105&gt;=2,IF(Q105&gt;Exempt,V105*(Q105-Exempt)/Q105,0),V105)))</f>
        <v>1.15656682211994</v>
      </c>
      <c r="X105" s="10" t="n">
        <f aca="false">IF(P105&gt;=2,MIN(MaxDed,MIN(0.4,HoldRate*G105)+MIN(0.4,LiveRate*P105)),IF(G105&gt;=3,MIN(0.3,0.02*G105),0))</f>
        <v>0.4</v>
      </c>
      <c r="Y105" s="21" t="n">
        <f aca="false">MAX(0,W105*(1-X105)-InitDed)</f>
        <v>0.668940093271966</v>
      </c>
      <c r="Z105" s="29" t="n">
        <f aca="false">SUMPRODUCT((Y105&gt;CLo)*(Y105-CLo)*CD)*(1+LocalTax)</f>
        <v>0.113240184623799</v>
      </c>
      <c r="AA105" s="21" t="n">
        <f aca="false">K105+T105+Z105</f>
        <v>0.689311757350263</v>
      </c>
      <c r="AB105" s="29" t="n">
        <f aca="false">IF(C105=5,0,(Q105-H105)-K105-L105-R105-S105-T105-Z105)</f>
        <v>2.9714611686675</v>
      </c>
      <c r="AC105" s="21" t="n">
        <f aca="false">IF(C105=5,0,N105*((1+DepRate*(1-DepTax))^G105-1))</f>
        <v>1.45987248563737</v>
      </c>
      <c r="AD105" s="29" t="n">
        <f aca="false">IF(C105=5,0,AB105-AC105+I105*(((1+DepRate*(1-DepTax))^G105-1)-((1+DepRate*(1-DepTax))^O105-1)))</f>
        <v>2.41409609083901</v>
      </c>
      <c r="AE105" s="30" t="n">
        <f aca="false">IF(J105&gt;0,-PMT(Rm,LoanYears*12,J105)*10000,0)</f>
        <v>124.12797682102</v>
      </c>
      <c r="AF105" s="21" t="n">
        <f aca="false">IF(J105&gt;0,-PMT((Rate+Stress)/12,LoanYears*12,J105)*12/DSR,0)</f>
        <v>0.518935946239763</v>
      </c>
      <c r="AG105" s="20" t="n">
        <f aca="false">IF(N105&lt;=CapA,1,0)</f>
        <v>1</v>
      </c>
      <c r="AH105" s="20" t="n">
        <f aca="false">IF(N105&lt;=CapB,1,0)</f>
        <v>1</v>
      </c>
      <c r="AI105" s="20" t="n">
        <f aca="false">IF(N105&lt;=CapC,1,0)</f>
        <v>1</v>
      </c>
      <c r="AJ105" s="21" t="n">
        <f aca="false">IF(AG105=1,AD105,-999)</f>
        <v>2.41409609083901</v>
      </c>
      <c r="AK105" s="21" t="n">
        <f aca="false">IF(AH105=1,AD105,-999)</f>
        <v>2.41409609083901</v>
      </c>
      <c r="AL105" s="21" t="n">
        <f aca="false">IF(AI105=1,AD105,-999)</f>
        <v>2.41409609083901</v>
      </c>
      <c r="AM105" s="21" t="str">
        <f aca="false">C105&amp;"|"&amp;E105&amp;"|"&amp;G105&amp;"|"&amp;TEXT(AJ105,"0.00000")</f>
        <v>2|3|5|2.41410</v>
      </c>
      <c r="AN105" s="21" t="str">
        <f aca="false">C105&amp;"|"&amp;E105&amp;"|"&amp;G105&amp;"|"&amp;TEXT(AK105,"0.00000")</f>
        <v>2|3|5|2.41410</v>
      </c>
      <c r="AO105" s="21" t="str">
        <f aca="false">C105&amp;"|"&amp;E105&amp;"|"&amp;G105&amp;"|"&amp;TEXT(AL105,"0.00000")</f>
        <v>2|3|5|2.41410</v>
      </c>
    </row>
    <row r="106" customFormat="false" ht="15" hidden="false" customHeight="false" outlineLevel="0" collapsed="false">
      <c r="A106" s="20" t="n">
        <v>4</v>
      </c>
      <c r="B106" s="18" t="str">
        <f aca="false">INDEX(C_Name,A106)</f>
        <v>신길삼성래미안 84㎡</v>
      </c>
      <c r="C106" s="20" t="n">
        <v>2</v>
      </c>
      <c r="D106" s="21" t="str">
        <f aca="false">CHOOSE(C106,"1안 표준형(대출 최대)","2안 절충형(대출 50%)","3안 무대출형","4안 임대차 승계 후 입주","5안 매수 보류(전세 거주)")</f>
        <v>2안 절충형(대출 50%)</v>
      </c>
      <c r="E106" s="20" t="n">
        <v>3</v>
      </c>
      <c r="F106" s="10" t="n">
        <f aca="false">CHOOSE(E106,GrowLo,GrowMid,GrowHi)</f>
        <v>0.06</v>
      </c>
      <c r="G106" s="20" t="n">
        <v>10</v>
      </c>
      <c r="H106" s="18" t="n">
        <f aca="false">INDEX(C_Price,A106)</f>
        <v>13</v>
      </c>
      <c r="I106" s="18" t="n">
        <f aca="false">INDEX(C_Jeonse,A106)</f>
        <v>6.76</v>
      </c>
      <c r="J106" s="21" t="n">
        <f aca="false">IF(C106=5,0,IF(C106=1,INDEX(C_Loan,A106),IF(C106=2,INDEX(C_Loan,A106)*LoanShare2,IF(C106=3,0,MIN(INDEX(C_Loan,A106),I106)))))</f>
        <v>2.6</v>
      </c>
      <c r="K106" s="18" t="n">
        <f aca="false">IF(C106=5,0,INDEX(C_Acq,A106))</f>
        <v>0.429</v>
      </c>
      <c r="L106" s="18" t="n">
        <f aca="false">IF(C106=5,0,INDEX(C_Fee,A106))</f>
        <v>0.1058</v>
      </c>
      <c r="M106" s="21" t="n">
        <f aca="false">IF(C106=4,MAX(0,I106-J106),0)</f>
        <v>0</v>
      </c>
      <c r="N106" s="21" t="n">
        <f aca="false">IF(C106=5,I106,IF(C106=4,(H106-I106)+K106+L106+M106,H106-J106+K106+L106))</f>
        <v>10.9348</v>
      </c>
      <c r="O106" s="20" t="n">
        <f aca="false">IF(C106=4,RentYears,0)</f>
        <v>0</v>
      </c>
      <c r="P106" s="20" t="n">
        <f aca="false">IF(C106=5,0,MAX(0,G106-O106-NonRes))</f>
        <v>10</v>
      </c>
      <c r="Q106" s="21" t="n">
        <f aca="false">IF(C106=5,0,H106*(1+F106)^G106)</f>
        <v>23.2810200550571</v>
      </c>
      <c r="R106" s="21" t="n">
        <f aca="false">IF(C106=5,0,Q106*LOOKUP(Q106,FeeLo,FeeR)*(1+VAT))</f>
        <v>0.17926385442394</v>
      </c>
      <c r="S106" s="21" t="n">
        <f aca="false">IF(J106&gt;0,-CUMIPMT(Rm,LoanYears*12,J106,1,(G106-O106)*12,0),0)</f>
        <v>0.937918661353343</v>
      </c>
      <c r="T106" s="29" t="n">
        <f aca="false">IF(C106=5,0,SUMIFS(Sch_Total,Sch_Idx,A106,Sch_Scen,E106,Sch_Year,"&lt;="&amp;G106))</f>
        <v>0.388594062370387</v>
      </c>
      <c r="U106" s="21" t="n">
        <f aca="false">K106+L106+R106</f>
        <v>0.71406385442394</v>
      </c>
      <c r="V106" s="21" t="n">
        <f aca="false">IF(C106=5,0,Q106-H106-U106)</f>
        <v>9.56695620063317</v>
      </c>
      <c r="W106" s="21" t="n">
        <f aca="false">IF(C106=5,0,MAX(0,IF(P106&gt;=2,IF(Q106&gt;Exempt,V106*(Q106-Exempt)/Q106,0),V106)))</f>
        <v>4.63575154825539</v>
      </c>
      <c r="X106" s="10" t="n">
        <f aca="false">IF(P106&gt;=2,MIN(MaxDed,MIN(0.4,HoldRate*G106)+MIN(0.4,LiveRate*P106)),IF(G106&gt;=3,MIN(0.3,0.02*G106),0))</f>
        <v>0.8</v>
      </c>
      <c r="Y106" s="21" t="n">
        <f aca="false">MAX(0,W106*(1-X106)-InitDed)</f>
        <v>0.902150309651078</v>
      </c>
      <c r="Z106" s="29" t="n">
        <f aca="false">SUMPRODUCT((Y106&gt;CLo)*(Y106-CLo)*CD)*(1+LocalTax)</f>
        <v>0.177487869215665</v>
      </c>
      <c r="AA106" s="21" t="n">
        <f aca="false">K106+T106+Z106</f>
        <v>0.995081931586052</v>
      </c>
      <c r="AB106" s="29" t="n">
        <f aca="false">IF(C106=5,0,(Q106-H106)-K106-L106-R106-S106-T106-Z106)</f>
        <v>8.06295560769378</v>
      </c>
      <c r="AC106" s="21" t="n">
        <f aca="false">IF(C106=5,0,N106*((1+DepRate*(1-DepTax))^G106-1))</f>
        <v>3.11464818617772</v>
      </c>
      <c r="AD106" s="29" t="n">
        <f aca="false">IF(C106=5,0,AB106-AC106+I106*(((1+DepRate*(1-DepTax))^G106-1)-((1+DepRate*(1-DepTax))^O106-1)))</f>
        <v>6.87381330535128</v>
      </c>
      <c r="AE106" s="30" t="n">
        <f aca="false">IF(J106&gt;0,-PMT(Rm,LoanYears*12,J106)*10000,0)</f>
        <v>124.12797682102</v>
      </c>
      <c r="AF106" s="21" t="n">
        <f aca="false">IF(J106&gt;0,-PMT((Rate+Stress)/12,LoanYears*12,J106)*12/DSR,0)</f>
        <v>0.518935946239763</v>
      </c>
      <c r="AG106" s="20" t="n">
        <f aca="false">IF(N106&lt;=CapA,1,0)</f>
        <v>1</v>
      </c>
      <c r="AH106" s="20" t="n">
        <f aca="false">IF(N106&lt;=CapB,1,0)</f>
        <v>1</v>
      </c>
      <c r="AI106" s="20" t="n">
        <f aca="false">IF(N106&lt;=CapC,1,0)</f>
        <v>1</v>
      </c>
      <c r="AJ106" s="21" t="n">
        <f aca="false">IF(AG106=1,AD106,-999)</f>
        <v>6.87381330535128</v>
      </c>
      <c r="AK106" s="21" t="n">
        <f aca="false">IF(AH106=1,AD106,-999)</f>
        <v>6.87381330535128</v>
      </c>
      <c r="AL106" s="21" t="n">
        <f aca="false">IF(AI106=1,AD106,-999)</f>
        <v>6.87381330535128</v>
      </c>
      <c r="AM106" s="21" t="str">
        <f aca="false">C106&amp;"|"&amp;E106&amp;"|"&amp;G106&amp;"|"&amp;TEXT(AJ106,"0.00000")</f>
        <v>2|3|10|6.87381</v>
      </c>
      <c r="AN106" s="21" t="str">
        <f aca="false">C106&amp;"|"&amp;E106&amp;"|"&amp;G106&amp;"|"&amp;TEXT(AK106,"0.00000")</f>
        <v>2|3|10|6.87381</v>
      </c>
      <c r="AO106" s="21" t="str">
        <f aca="false">C106&amp;"|"&amp;E106&amp;"|"&amp;G106&amp;"|"&amp;TEXT(AL106,"0.00000")</f>
        <v>2|3|10|6.87381</v>
      </c>
    </row>
    <row r="107" customFormat="false" ht="15" hidden="false" customHeight="false" outlineLevel="0" collapsed="false">
      <c r="A107" s="20" t="n">
        <v>4</v>
      </c>
      <c r="B107" s="18" t="str">
        <f aca="false">INDEX(C_Name,A107)</f>
        <v>신길삼성래미안 84㎡</v>
      </c>
      <c r="C107" s="20" t="n">
        <v>3</v>
      </c>
      <c r="D107" s="21" t="str">
        <f aca="false">CHOOSE(C107,"1안 표준형(대출 최대)","2안 절충형(대출 50%)","3안 무대출형","4안 임대차 승계 후 입주","5안 매수 보류(전세 거주)")</f>
        <v>3안 무대출형</v>
      </c>
      <c r="E107" s="20" t="n">
        <v>1</v>
      </c>
      <c r="F107" s="10" t="n">
        <f aca="false">CHOOSE(E107,GrowLo,GrowMid,GrowHi)</f>
        <v>0.02</v>
      </c>
      <c r="G107" s="20" t="n">
        <v>5</v>
      </c>
      <c r="H107" s="18" t="n">
        <f aca="false">INDEX(C_Price,A107)</f>
        <v>13</v>
      </c>
      <c r="I107" s="18" t="n">
        <f aca="false">INDEX(C_Jeonse,A107)</f>
        <v>6.76</v>
      </c>
      <c r="J107" s="21" t="n">
        <f aca="false">IF(C107=5,0,IF(C107=1,INDEX(C_Loan,A107),IF(C107=2,INDEX(C_Loan,A107)*LoanShare2,IF(C107=3,0,MIN(INDEX(C_Loan,A107),I107)))))</f>
        <v>0</v>
      </c>
      <c r="K107" s="18" t="n">
        <f aca="false">IF(C107=5,0,INDEX(C_Acq,A107))</f>
        <v>0.429</v>
      </c>
      <c r="L107" s="18" t="n">
        <f aca="false">IF(C107=5,0,INDEX(C_Fee,A107))</f>
        <v>0.1058</v>
      </c>
      <c r="M107" s="21" t="n">
        <f aca="false">IF(C107=4,MAX(0,I107-J107),0)</f>
        <v>0</v>
      </c>
      <c r="N107" s="21" t="n">
        <f aca="false">IF(C107=5,I107,IF(C107=4,(H107-I107)+K107+L107+M107,H107-J107+K107+L107))</f>
        <v>13.5348</v>
      </c>
      <c r="O107" s="20" t="n">
        <f aca="false">IF(C107=4,RentYears,0)</f>
        <v>0</v>
      </c>
      <c r="P107" s="20" t="n">
        <f aca="false">IF(C107=5,0,MAX(0,G107-O107-NonRes))</f>
        <v>5</v>
      </c>
      <c r="Q107" s="21" t="n">
        <f aca="false">IF(C107=5,0,H107*(1+F107)^G107)</f>
        <v>14.3530504416</v>
      </c>
      <c r="R107" s="21" t="n">
        <f aca="false">IF(C107=5,0,Q107*LOOKUP(Q107,FeeLo,FeeR)*(1+VAT))</f>
        <v>0.09473013291456</v>
      </c>
      <c r="S107" s="21" t="n">
        <f aca="false">IF(J107&gt;0,-CUMIPMT(Rm,LoanYears*12,J107,1,(G107-O107)*12,0),0)</f>
        <v>0</v>
      </c>
      <c r="T107" s="29" t="n">
        <f aca="false">IF(C107=5,0,SUMIFS(Sch_Total,Sch_Idx,A107,Sch_Scen,E107,Sch_Year,"&lt;="&amp;G107))</f>
        <v>0.132621293674944</v>
      </c>
      <c r="U107" s="21" t="n">
        <f aca="false">K107+L107+R107</f>
        <v>0.62953013291456</v>
      </c>
      <c r="V107" s="21" t="n">
        <f aca="false">IF(C107=5,0,Q107-H107-U107)</f>
        <v>0.723520308685441</v>
      </c>
      <c r="W107" s="21" t="n">
        <f aca="false">IF(C107=5,0,MAX(0,IF(P107&gt;=2,IF(Q107&gt;Exempt,V107*(Q107-Exempt)/Q107,0),V107)))</f>
        <v>0.118614491657082</v>
      </c>
      <c r="X107" s="10" t="n">
        <f aca="false">IF(P107&gt;=2,MIN(MaxDed,MIN(0.4,HoldRate*G107)+MIN(0.4,LiveRate*P107)),IF(G107&gt;=3,MIN(0.3,0.02*G107),0))</f>
        <v>0.4</v>
      </c>
      <c r="Y107" s="21" t="n">
        <f aca="false">MAX(0,W107*(1-X107)-InitDed)</f>
        <v>0.0461686949942494</v>
      </c>
      <c r="Z107" s="29" t="n">
        <f aca="false">SUMPRODUCT((Y107&gt;CLo)*(Y107-CLo)*CD)*(1+LocalTax)</f>
        <v>0.00304713386962046</v>
      </c>
      <c r="AA107" s="21" t="n">
        <f aca="false">K107+T107+Z107</f>
        <v>0.564668427544565</v>
      </c>
      <c r="AB107" s="29" t="n">
        <f aca="false">IF(C107=5,0,(Q107-H107)-K107-L107-R107-S107-T107-Z107)</f>
        <v>0.587851881140876</v>
      </c>
      <c r="AC107" s="21" t="n">
        <f aca="false">IF(C107=5,0,N107*((1+DepRate*(1-DepTax))^G107-1))</f>
        <v>1.80699071941002</v>
      </c>
      <c r="AD107" s="29" t="n">
        <f aca="false">IF(C107=5,0,AB107-AC107+I107*(((1+DepRate*(1-DepTax))^G107-1)-((1+DepRate*(1-DepTax))^O107-1)))</f>
        <v>-0.316631430460257</v>
      </c>
      <c r="AE107" s="30" t="n">
        <f aca="false">IF(J107&gt;0,-PMT(Rm,LoanYears*12,J107)*10000,0)</f>
        <v>0</v>
      </c>
      <c r="AF107" s="21" t="n">
        <f aca="false">IF(J107&gt;0,-PMT((Rate+Stress)/12,LoanYears*12,J107)*12/DSR,0)</f>
        <v>0</v>
      </c>
      <c r="AG107" s="20" t="n">
        <f aca="false">IF(N107&lt;=CapA,1,0)</f>
        <v>0</v>
      </c>
      <c r="AH107" s="20" t="n">
        <f aca="false">IF(N107&lt;=CapB,1,0)</f>
        <v>1</v>
      </c>
      <c r="AI107" s="20" t="n">
        <f aca="false">IF(N107&lt;=CapC,1,0)</f>
        <v>1</v>
      </c>
      <c r="AJ107" s="21" t="n">
        <f aca="false">IF(AG107=1,AD107,-999)</f>
        <v>-999</v>
      </c>
      <c r="AK107" s="21" t="n">
        <f aca="false">IF(AH107=1,AD107,-999)</f>
        <v>-0.316631430460257</v>
      </c>
      <c r="AL107" s="21" t="n">
        <f aca="false">IF(AI107=1,AD107,-999)</f>
        <v>-0.316631430460257</v>
      </c>
      <c r="AM107" s="21" t="str">
        <f aca="false">C107&amp;"|"&amp;E107&amp;"|"&amp;G107&amp;"|"&amp;TEXT(AJ107,"0.00000")</f>
        <v>3|1|5|-999.00000</v>
      </c>
      <c r="AN107" s="21" t="str">
        <f aca="false">C107&amp;"|"&amp;E107&amp;"|"&amp;G107&amp;"|"&amp;TEXT(AK107,"0.00000")</f>
        <v>3|1|5|-0.31663</v>
      </c>
      <c r="AO107" s="21" t="str">
        <f aca="false">C107&amp;"|"&amp;E107&amp;"|"&amp;G107&amp;"|"&amp;TEXT(AL107,"0.00000")</f>
        <v>3|1|5|-0.31663</v>
      </c>
    </row>
    <row r="108" customFormat="false" ht="15" hidden="false" customHeight="false" outlineLevel="0" collapsed="false">
      <c r="A108" s="20" t="n">
        <v>4</v>
      </c>
      <c r="B108" s="18" t="str">
        <f aca="false">INDEX(C_Name,A108)</f>
        <v>신길삼성래미안 84㎡</v>
      </c>
      <c r="C108" s="20" t="n">
        <v>3</v>
      </c>
      <c r="D108" s="21" t="str">
        <f aca="false">CHOOSE(C108,"1안 표준형(대출 최대)","2안 절충형(대출 50%)","3안 무대출형","4안 임대차 승계 후 입주","5안 매수 보류(전세 거주)")</f>
        <v>3안 무대출형</v>
      </c>
      <c r="E108" s="20" t="n">
        <v>1</v>
      </c>
      <c r="F108" s="10" t="n">
        <f aca="false">CHOOSE(E108,GrowLo,GrowMid,GrowHi)</f>
        <v>0.02</v>
      </c>
      <c r="G108" s="20" t="n">
        <v>10</v>
      </c>
      <c r="H108" s="18" t="n">
        <f aca="false">INDEX(C_Price,A108)</f>
        <v>13</v>
      </c>
      <c r="I108" s="18" t="n">
        <f aca="false">INDEX(C_Jeonse,A108)</f>
        <v>6.76</v>
      </c>
      <c r="J108" s="21" t="n">
        <f aca="false">IF(C108=5,0,IF(C108=1,INDEX(C_Loan,A108),IF(C108=2,INDEX(C_Loan,A108)*LoanShare2,IF(C108=3,0,MIN(INDEX(C_Loan,A108),I108)))))</f>
        <v>0</v>
      </c>
      <c r="K108" s="18" t="n">
        <f aca="false">IF(C108=5,0,INDEX(C_Acq,A108))</f>
        <v>0.429</v>
      </c>
      <c r="L108" s="18" t="n">
        <f aca="false">IF(C108=5,0,INDEX(C_Fee,A108))</f>
        <v>0.1058</v>
      </c>
      <c r="M108" s="21" t="n">
        <f aca="false">IF(C108=4,MAX(0,I108-J108),0)</f>
        <v>0</v>
      </c>
      <c r="N108" s="21" t="n">
        <f aca="false">IF(C108=5,I108,IF(C108=4,(H108-I108)+K108+L108+M108,H108-J108+K108+L108))</f>
        <v>13.5348</v>
      </c>
      <c r="O108" s="20" t="n">
        <f aca="false">IF(C108=4,RentYears,0)</f>
        <v>0</v>
      </c>
      <c r="P108" s="20" t="n">
        <f aca="false">IF(C108=5,0,MAX(0,G108-O108-NonRes))</f>
        <v>10</v>
      </c>
      <c r="Q108" s="21" t="n">
        <f aca="false">IF(C108=5,0,H108*(1+F108)^G108)</f>
        <v>15.8469274599318</v>
      </c>
      <c r="R108" s="21" t="n">
        <f aca="false">IF(C108=5,0,Q108*LOOKUP(Q108,FeeLo,FeeR)*(1+VAT))</f>
        <v>0.122021341441475</v>
      </c>
      <c r="S108" s="21" t="n">
        <f aca="false">IF(J108&gt;0,-CUMIPMT(Rm,LoanYears*12,J108,1,(G108-O108)*12,0),0)</f>
        <v>0</v>
      </c>
      <c r="T108" s="29" t="n">
        <f aca="false">IF(C108=5,0,SUMIFS(Sch_Total,Sch_Idx,A108,Sch_Scen,E108,Sch_Year,"&lt;="&amp;G108))</f>
        <v>0.286545470207653</v>
      </c>
      <c r="U108" s="21" t="n">
        <f aca="false">K108+L108+R108</f>
        <v>0.656821341441475</v>
      </c>
      <c r="V108" s="21" t="n">
        <f aca="false">IF(C108=5,0,Q108-H108-U108)</f>
        <v>2.19010611849037</v>
      </c>
      <c r="W108" s="21" t="n">
        <f aca="false">IF(C108=5,0,MAX(0,IF(P108&gt;=2,IF(Q108&gt;Exempt,V108*(Q108-Exempt)/Q108,0),V108)))</f>
        <v>0.531660120782908</v>
      </c>
      <c r="X108" s="10" t="n">
        <f aca="false">IF(P108&gt;=2,MIN(MaxDed,MIN(0.4,HoldRate*G108)+MIN(0.4,LiveRate*P108)),IF(G108&gt;=3,MIN(0.3,0.02*G108),0))</f>
        <v>0.8</v>
      </c>
      <c r="Y108" s="21" t="n">
        <f aca="false">MAX(0,W108*(1-X108)-InitDed)</f>
        <v>0.0813320241565816</v>
      </c>
      <c r="Z108" s="29" t="n">
        <f aca="false">SUMPRODUCT((Y108&gt;CLo)*(Y108-CLo)*CD)*(1+LocalTax)</f>
        <v>0.00536791359433439</v>
      </c>
      <c r="AA108" s="21" t="n">
        <f aca="false">K108+T108+Z108</f>
        <v>0.720913383801987</v>
      </c>
      <c r="AB108" s="29" t="n">
        <f aca="false">IF(C108=5,0,(Q108-H108)-K108-L108-R108-S108-T108-Z108)</f>
        <v>1.89819273468838</v>
      </c>
      <c r="AC108" s="21" t="n">
        <f aca="false">IF(C108=5,0,N108*((1+DepRate*(1-DepTax))^G108-1))</f>
        <v>3.85522737226819</v>
      </c>
      <c r="AD108" s="29" t="n">
        <f aca="false">IF(C108=5,0,AB108-AC108+I108*(((1+DepRate*(1-DepTax))^G108-1)-((1+DepRate*(1-DepTax))^O108-1)))</f>
        <v>-0.0315287537445848</v>
      </c>
      <c r="AE108" s="30" t="n">
        <f aca="false">IF(J108&gt;0,-PMT(Rm,LoanYears*12,J108)*10000,0)</f>
        <v>0</v>
      </c>
      <c r="AF108" s="21" t="n">
        <f aca="false">IF(J108&gt;0,-PMT((Rate+Stress)/12,LoanYears*12,J108)*12/DSR,0)</f>
        <v>0</v>
      </c>
      <c r="AG108" s="20" t="n">
        <f aca="false">IF(N108&lt;=CapA,1,0)</f>
        <v>0</v>
      </c>
      <c r="AH108" s="20" t="n">
        <f aca="false">IF(N108&lt;=CapB,1,0)</f>
        <v>1</v>
      </c>
      <c r="AI108" s="20" t="n">
        <f aca="false">IF(N108&lt;=CapC,1,0)</f>
        <v>1</v>
      </c>
      <c r="AJ108" s="21" t="n">
        <f aca="false">IF(AG108=1,AD108,-999)</f>
        <v>-999</v>
      </c>
      <c r="AK108" s="21" t="n">
        <f aca="false">IF(AH108=1,AD108,-999)</f>
        <v>-0.0315287537445848</v>
      </c>
      <c r="AL108" s="21" t="n">
        <f aca="false">IF(AI108=1,AD108,-999)</f>
        <v>-0.0315287537445848</v>
      </c>
      <c r="AM108" s="21" t="str">
        <f aca="false">C108&amp;"|"&amp;E108&amp;"|"&amp;G108&amp;"|"&amp;TEXT(AJ108,"0.00000")</f>
        <v>3|1|10|-999.00000</v>
      </c>
      <c r="AN108" s="21" t="str">
        <f aca="false">C108&amp;"|"&amp;E108&amp;"|"&amp;G108&amp;"|"&amp;TEXT(AK108,"0.00000")</f>
        <v>3|1|10|-0.03153</v>
      </c>
      <c r="AO108" s="21" t="str">
        <f aca="false">C108&amp;"|"&amp;E108&amp;"|"&amp;G108&amp;"|"&amp;TEXT(AL108,"0.00000")</f>
        <v>3|1|10|-0.03153</v>
      </c>
    </row>
    <row r="109" customFormat="false" ht="15" hidden="false" customHeight="false" outlineLevel="0" collapsed="false">
      <c r="A109" s="20" t="n">
        <v>4</v>
      </c>
      <c r="B109" s="18" t="str">
        <f aca="false">INDEX(C_Name,A109)</f>
        <v>신길삼성래미안 84㎡</v>
      </c>
      <c r="C109" s="20" t="n">
        <v>3</v>
      </c>
      <c r="D109" s="21" t="str">
        <f aca="false">CHOOSE(C109,"1안 표준형(대출 최대)","2안 절충형(대출 50%)","3안 무대출형","4안 임대차 승계 후 입주","5안 매수 보류(전세 거주)")</f>
        <v>3안 무대출형</v>
      </c>
      <c r="E109" s="20" t="n">
        <v>2</v>
      </c>
      <c r="F109" s="10" t="n">
        <f aca="false">CHOOSE(E109,GrowLo,GrowMid,GrowHi)</f>
        <v>0.04</v>
      </c>
      <c r="G109" s="20" t="n">
        <v>5</v>
      </c>
      <c r="H109" s="18" t="n">
        <f aca="false">INDEX(C_Price,A109)</f>
        <v>13</v>
      </c>
      <c r="I109" s="18" t="n">
        <f aca="false">INDEX(C_Jeonse,A109)</f>
        <v>6.76</v>
      </c>
      <c r="J109" s="21" t="n">
        <f aca="false">IF(C109=5,0,IF(C109=1,INDEX(C_Loan,A109),IF(C109=2,INDEX(C_Loan,A109)*LoanShare2,IF(C109=3,0,MIN(INDEX(C_Loan,A109),I109)))))</f>
        <v>0</v>
      </c>
      <c r="K109" s="18" t="n">
        <f aca="false">IF(C109=5,0,INDEX(C_Acq,A109))</f>
        <v>0.429</v>
      </c>
      <c r="L109" s="18" t="n">
        <f aca="false">IF(C109=5,0,INDEX(C_Fee,A109))</f>
        <v>0.1058</v>
      </c>
      <c r="M109" s="21" t="n">
        <f aca="false">IF(C109=4,MAX(0,I109-J109),0)</f>
        <v>0</v>
      </c>
      <c r="N109" s="21" t="n">
        <f aca="false">IF(C109=5,I109,IF(C109=4,(H109-I109)+K109+L109+M109,H109-J109+K109+L109))</f>
        <v>13.5348</v>
      </c>
      <c r="O109" s="20" t="n">
        <f aca="false">IF(C109=4,RentYears,0)</f>
        <v>0</v>
      </c>
      <c r="P109" s="20" t="n">
        <f aca="false">IF(C109=5,0,MAX(0,G109-O109-NonRes))</f>
        <v>5</v>
      </c>
      <c r="Q109" s="21" t="n">
        <f aca="false">IF(C109=5,0,H109*(1+F109)^G109)</f>
        <v>15.8164877312</v>
      </c>
      <c r="R109" s="21" t="n">
        <f aca="false">IF(C109=5,0,Q109*LOOKUP(Q109,FeeLo,FeeR)*(1+VAT))</f>
        <v>0.12178695553024</v>
      </c>
      <c r="S109" s="21" t="n">
        <f aca="false">IF(J109&gt;0,-CUMIPMT(Rm,LoanYears*12,J109,1,(G109-O109)*12,0),0)</f>
        <v>0</v>
      </c>
      <c r="T109" s="29" t="n">
        <f aca="false">IF(C109=5,0,SUMIFS(Sch_Total,Sch_Idx,A109,Sch_Scen,E109,Sch_Year,"&lt;="&amp;G109))</f>
        <v>0.139704817711104</v>
      </c>
      <c r="U109" s="21" t="n">
        <f aca="false">K109+L109+R109</f>
        <v>0.65658695553024</v>
      </c>
      <c r="V109" s="21" t="n">
        <f aca="false">IF(C109=5,0,Q109-H109-U109)</f>
        <v>2.15990077566976</v>
      </c>
      <c r="W109" s="21" t="n">
        <f aca="false">IF(C109=5,0,MAX(0,IF(P109&gt;=2,IF(Q109&gt;Exempt,V109*(Q109-Exempt)/Q109,0),V109)))</f>
        <v>0.521179856808045</v>
      </c>
      <c r="X109" s="10" t="n">
        <f aca="false">IF(P109&gt;=2,MIN(MaxDed,MIN(0.4,HoldRate*G109)+MIN(0.4,LiveRate*P109)),IF(G109&gt;=3,MIN(0.3,0.02*G109),0))</f>
        <v>0.4</v>
      </c>
      <c r="Y109" s="21" t="n">
        <f aca="false">MAX(0,W109*(1-X109)-InitDed)</f>
        <v>0.287707914084827</v>
      </c>
      <c r="Z109" s="29" t="n">
        <f aca="false">SUMPRODUCT((Y109&gt;CLo)*(Y109-CLo)*CD)*(1+LocalTax)</f>
        <v>0.0336118058239964</v>
      </c>
      <c r="AA109" s="21" t="n">
        <f aca="false">K109+T109+Z109</f>
        <v>0.602316623535101</v>
      </c>
      <c r="AB109" s="29" t="n">
        <f aca="false">IF(C109=5,0,(Q109-H109)-K109-L109-R109-S109-T109-Z109)</f>
        <v>1.98658415213466</v>
      </c>
      <c r="AC109" s="21" t="n">
        <f aca="false">IF(C109=5,0,N109*((1+DepRate*(1-DepTax))^G109-1))</f>
        <v>1.80699071941002</v>
      </c>
      <c r="AD109" s="29" t="n">
        <f aca="false">IF(C109=5,0,AB109-AC109+I109*(((1+DepRate*(1-DepTax))^G109-1)-((1+DepRate*(1-DepTax))^O109-1)))</f>
        <v>1.08210084053353</v>
      </c>
      <c r="AE109" s="30" t="n">
        <f aca="false">IF(J109&gt;0,-PMT(Rm,LoanYears*12,J109)*10000,0)</f>
        <v>0</v>
      </c>
      <c r="AF109" s="21" t="n">
        <f aca="false">IF(J109&gt;0,-PMT((Rate+Stress)/12,LoanYears*12,J109)*12/DSR,0)</f>
        <v>0</v>
      </c>
      <c r="AG109" s="20" t="n">
        <f aca="false">IF(N109&lt;=CapA,1,0)</f>
        <v>0</v>
      </c>
      <c r="AH109" s="20" t="n">
        <f aca="false">IF(N109&lt;=CapB,1,0)</f>
        <v>1</v>
      </c>
      <c r="AI109" s="20" t="n">
        <f aca="false">IF(N109&lt;=CapC,1,0)</f>
        <v>1</v>
      </c>
      <c r="AJ109" s="21" t="n">
        <f aca="false">IF(AG109=1,AD109,-999)</f>
        <v>-999</v>
      </c>
      <c r="AK109" s="21" t="n">
        <f aca="false">IF(AH109=1,AD109,-999)</f>
        <v>1.08210084053353</v>
      </c>
      <c r="AL109" s="21" t="n">
        <f aca="false">IF(AI109=1,AD109,-999)</f>
        <v>1.08210084053353</v>
      </c>
      <c r="AM109" s="21" t="str">
        <f aca="false">C109&amp;"|"&amp;E109&amp;"|"&amp;G109&amp;"|"&amp;TEXT(AJ109,"0.00000")</f>
        <v>3|2|5|-999.00000</v>
      </c>
      <c r="AN109" s="21" t="str">
        <f aca="false">C109&amp;"|"&amp;E109&amp;"|"&amp;G109&amp;"|"&amp;TEXT(AK109,"0.00000")</f>
        <v>3|2|5|1.08210</v>
      </c>
      <c r="AO109" s="21" t="str">
        <f aca="false">C109&amp;"|"&amp;E109&amp;"|"&amp;G109&amp;"|"&amp;TEXT(AL109,"0.00000")</f>
        <v>3|2|5|1.08210</v>
      </c>
    </row>
    <row r="110" customFormat="false" ht="15" hidden="false" customHeight="false" outlineLevel="0" collapsed="false">
      <c r="A110" s="20" t="n">
        <v>4</v>
      </c>
      <c r="B110" s="18" t="str">
        <f aca="false">INDEX(C_Name,A110)</f>
        <v>신길삼성래미안 84㎡</v>
      </c>
      <c r="C110" s="20" t="n">
        <v>3</v>
      </c>
      <c r="D110" s="21" t="str">
        <f aca="false">CHOOSE(C110,"1안 표준형(대출 최대)","2안 절충형(대출 50%)","3안 무대출형","4안 임대차 승계 후 입주","5안 매수 보류(전세 거주)")</f>
        <v>3안 무대출형</v>
      </c>
      <c r="E110" s="20" t="n">
        <v>2</v>
      </c>
      <c r="F110" s="10" t="n">
        <f aca="false">CHOOSE(E110,GrowLo,GrowMid,GrowHi)</f>
        <v>0.04</v>
      </c>
      <c r="G110" s="20" t="n">
        <v>10</v>
      </c>
      <c r="H110" s="18" t="n">
        <f aca="false">INDEX(C_Price,A110)</f>
        <v>13</v>
      </c>
      <c r="I110" s="18" t="n">
        <f aca="false">INDEX(C_Jeonse,A110)</f>
        <v>6.76</v>
      </c>
      <c r="J110" s="21" t="n">
        <f aca="false">IF(C110=5,0,IF(C110=1,INDEX(C_Loan,A110),IF(C110=2,INDEX(C_Loan,A110)*LoanShare2,IF(C110=3,0,MIN(INDEX(C_Loan,A110),I110)))))</f>
        <v>0</v>
      </c>
      <c r="K110" s="18" t="n">
        <f aca="false">IF(C110=5,0,INDEX(C_Acq,A110))</f>
        <v>0.429</v>
      </c>
      <c r="L110" s="18" t="n">
        <f aca="false">IF(C110=5,0,INDEX(C_Fee,A110))</f>
        <v>0.1058</v>
      </c>
      <c r="M110" s="21" t="n">
        <f aca="false">IF(C110=4,MAX(0,I110-J110),0)</f>
        <v>0</v>
      </c>
      <c r="N110" s="21" t="n">
        <f aca="false">IF(C110=5,I110,IF(C110=4,(H110-I110)+K110+L110+M110,H110-J110+K110+L110))</f>
        <v>13.5348</v>
      </c>
      <c r="O110" s="20" t="n">
        <f aca="false">IF(C110=4,RentYears,0)</f>
        <v>0</v>
      </c>
      <c r="P110" s="20" t="n">
        <f aca="false">IF(C110=5,0,MAX(0,G110-O110-NonRes))</f>
        <v>10</v>
      </c>
      <c r="Q110" s="21" t="n">
        <f aca="false">IF(C110=5,0,H110*(1+F110)^G110)</f>
        <v>19.2431757039385</v>
      </c>
      <c r="R110" s="21" t="n">
        <f aca="false">IF(C110=5,0,Q110*LOOKUP(Q110,FeeLo,FeeR)*(1+VAT))</f>
        <v>0.148172452920326</v>
      </c>
      <c r="S110" s="21" t="n">
        <f aca="false">IF(J110&gt;0,-CUMIPMT(Rm,LoanYears*12,J110,1,(G110-O110)*12,0),0)</f>
        <v>0</v>
      </c>
      <c r="T110" s="29" t="n">
        <f aca="false">IF(C110=5,0,SUMIFS(Sch_Total,Sch_Idx,A110,Sch_Scen,E110,Sch_Year,"&lt;="&amp;G110))</f>
        <v>0.325550801744133</v>
      </c>
      <c r="U110" s="21" t="n">
        <f aca="false">K110+L110+R110</f>
        <v>0.682972452920326</v>
      </c>
      <c r="V110" s="21" t="n">
        <f aca="false">IF(C110=5,0,Q110-H110-U110)</f>
        <v>5.56020325101815</v>
      </c>
      <c r="W110" s="21" t="n">
        <f aca="false">IF(C110=5,0,MAX(0,IF(P110&gt;=2,IF(Q110&gt;Exempt,V110*(Q110-Exempt)/Q110,0),V110)))</f>
        <v>2.09287332383977</v>
      </c>
      <c r="X110" s="10" t="n">
        <f aca="false">IF(P110&gt;=2,MIN(MaxDed,MIN(0.4,HoldRate*G110)+MIN(0.4,LiveRate*P110)),IF(G110&gt;=3,MIN(0.3,0.02*G110),0))</f>
        <v>0.8</v>
      </c>
      <c r="Y110" s="21" t="n">
        <f aca="false">MAX(0,W110*(1-X110)-InitDed)</f>
        <v>0.393574664767954</v>
      </c>
      <c r="Z110" s="29" t="n">
        <f aca="false">SUMPRODUCT((Y110&gt;CLo)*(Y110-CLo)*CD)*(1+LocalTax)</f>
        <v>0.0510798196867123</v>
      </c>
      <c r="AA110" s="21" t="n">
        <f aca="false">K110+T110+Z110</f>
        <v>0.805630621430846</v>
      </c>
      <c r="AB110" s="29" t="n">
        <f aca="false">IF(C110=5,0,(Q110-H110)-K110-L110-R110-S110-T110-Z110)</f>
        <v>5.18357262958731</v>
      </c>
      <c r="AC110" s="21" t="n">
        <f aca="false">IF(C110=5,0,N110*((1+DepRate*(1-DepTax))^G110-1))</f>
        <v>3.85522737226819</v>
      </c>
      <c r="AD110" s="29" t="n">
        <f aca="false">IF(C110=5,0,AB110-AC110+I110*(((1+DepRate*(1-DepTax))^G110-1)-((1+DepRate*(1-DepTax))^O110-1)))</f>
        <v>3.25385114115434</v>
      </c>
      <c r="AE110" s="30" t="n">
        <f aca="false">IF(J110&gt;0,-PMT(Rm,LoanYears*12,J110)*10000,0)</f>
        <v>0</v>
      </c>
      <c r="AF110" s="21" t="n">
        <f aca="false">IF(J110&gt;0,-PMT((Rate+Stress)/12,LoanYears*12,J110)*12/DSR,0)</f>
        <v>0</v>
      </c>
      <c r="AG110" s="20" t="n">
        <f aca="false">IF(N110&lt;=CapA,1,0)</f>
        <v>0</v>
      </c>
      <c r="AH110" s="20" t="n">
        <f aca="false">IF(N110&lt;=CapB,1,0)</f>
        <v>1</v>
      </c>
      <c r="AI110" s="20" t="n">
        <f aca="false">IF(N110&lt;=CapC,1,0)</f>
        <v>1</v>
      </c>
      <c r="AJ110" s="21" t="n">
        <f aca="false">IF(AG110=1,AD110,-999)</f>
        <v>-999</v>
      </c>
      <c r="AK110" s="21" t="n">
        <f aca="false">IF(AH110=1,AD110,-999)</f>
        <v>3.25385114115434</v>
      </c>
      <c r="AL110" s="21" t="n">
        <f aca="false">IF(AI110=1,AD110,-999)</f>
        <v>3.25385114115434</v>
      </c>
      <c r="AM110" s="21" t="str">
        <f aca="false">C110&amp;"|"&amp;E110&amp;"|"&amp;G110&amp;"|"&amp;TEXT(AJ110,"0.00000")</f>
        <v>3|2|10|-999.00000</v>
      </c>
      <c r="AN110" s="21" t="str">
        <f aca="false">C110&amp;"|"&amp;E110&amp;"|"&amp;G110&amp;"|"&amp;TEXT(AK110,"0.00000")</f>
        <v>3|2|10|3.25385</v>
      </c>
      <c r="AO110" s="21" t="str">
        <f aca="false">C110&amp;"|"&amp;E110&amp;"|"&amp;G110&amp;"|"&amp;TEXT(AL110,"0.00000")</f>
        <v>3|2|10|3.25385</v>
      </c>
    </row>
    <row r="111" customFormat="false" ht="15" hidden="false" customHeight="false" outlineLevel="0" collapsed="false">
      <c r="A111" s="20" t="n">
        <v>4</v>
      </c>
      <c r="B111" s="18" t="str">
        <f aca="false">INDEX(C_Name,A111)</f>
        <v>신길삼성래미안 84㎡</v>
      </c>
      <c r="C111" s="20" t="n">
        <v>3</v>
      </c>
      <c r="D111" s="21" t="str">
        <f aca="false">CHOOSE(C111,"1안 표준형(대출 최대)","2안 절충형(대출 50%)","3안 무대출형","4안 임대차 승계 후 입주","5안 매수 보류(전세 거주)")</f>
        <v>3안 무대출형</v>
      </c>
      <c r="E111" s="20" t="n">
        <v>3</v>
      </c>
      <c r="F111" s="10" t="n">
        <f aca="false">CHOOSE(E111,GrowLo,GrowMid,GrowHi)</f>
        <v>0.06</v>
      </c>
      <c r="G111" s="20" t="n">
        <v>5</v>
      </c>
      <c r="H111" s="18" t="n">
        <f aca="false">INDEX(C_Price,A111)</f>
        <v>13</v>
      </c>
      <c r="I111" s="18" t="n">
        <f aca="false">INDEX(C_Jeonse,A111)</f>
        <v>6.76</v>
      </c>
      <c r="J111" s="21" t="n">
        <f aca="false">IF(C111=5,0,IF(C111=1,INDEX(C_Loan,A111),IF(C111=2,INDEX(C_Loan,A111)*LoanShare2,IF(C111=3,0,MIN(INDEX(C_Loan,A111),I111)))))</f>
        <v>0</v>
      </c>
      <c r="K111" s="18" t="n">
        <f aca="false">IF(C111=5,0,INDEX(C_Acq,A111))</f>
        <v>0.429</v>
      </c>
      <c r="L111" s="18" t="n">
        <f aca="false">IF(C111=5,0,INDEX(C_Fee,A111))</f>
        <v>0.1058</v>
      </c>
      <c r="M111" s="21" t="n">
        <f aca="false">IF(C111=4,MAX(0,I111-J111),0)</f>
        <v>0</v>
      </c>
      <c r="N111" s="21" t="n">
        <f aca="false">IF(C111=5,I111,IF(C111=4,(H111-I111)+K111+L111+M111,H111-J111+K111+L111))</f>
        <v>13.5348</v>
      </c>
      <c r="O111" s="20" t="n">
        <f aca="false">IF(C111=4,RentYears,0)</f>
        <v>0</v>
      </c>
      <c r="P111" s="20" t="n">
        <f aca="false">IF(C111=5,0,MAX(0,G111-O111-NonRes))</f>
        <v>5</v>
      </c>
      <c r="Q111" s="21" t="n">
        <f aca="false">IF(C111=5,0,H111*(1+F111)^G111)</f>
        <v>17.3969325088</v>
      </c>
      <c r="R111" s="21" t="n">
        <f aca="false">IF(C111=5,0,Q111*LOOKUP(Q111,FeeLo,FeeR)*(1+VAT))</f>
        <v>0.13395638031776</v>
      </c>
      <c r="S111" s="21" t="n">
        <f aca="false">IF(J111&gt;0,-CUMIPMT(Rm,LoanYears*12,J111,1,(G111-O111)*12,0),0)</f>
        <v>0</v>
      </c>
      <c r="T111" s="29" t="n">
        <f aca="false">IF(C111=5,0,SUMIFS(Sch_Total,Sch_Idx,A111,Sch_Scen,E111,Sch_Year,"&lt;="&amp;G111))</f>
        <v>0.147071572726464</v>
      </c>
      <c r="U111" s="21" t="n">
        <f aca="false">K111+L111+R111</f>
        <v>0.66875638031776</v>
      </c>
      <c r="V111" s="21" t="n">
        <f aca="false">IF(C111=5,0,Q111-H111-U111)</f>
        <v>3.72817612848224</v>
      </c>
      <c r="W111" s="21" t="n">
        <f aca="false">IF(C111=5,0,MAX(0,IF(P111&gt;=2,IF(Q111&gt;Exempt,V111*(Q111-Exempt)/Q111,0),V111)))</f>
        <v>1.15656682211994</v>
      </c>
      <c r="X111" s="10" t="n">
        <f aca="false">IF(P111&gt;=2,MIN(MaxDed,MIN(0.4,HoldRate*G111)+MIN(0.4,LiveRate*P111)),IF(G111&gt;=3,MIN(0.3,0.02*G111),0))</f>
        <v>0.4</v>
      </c>
      <c r="Y111" s="21" t="n">
        <f aca="false">MAX(0,W111*(1-X111)-InitDed)</f>
        <v>0.668940093271966</v>
      </c>
      <c r="Z111" s="29" t="n">
        <f aca="false">SUMPRODUCT((Y111&gt;CLo)*(Y111-CLo)*CD)*(1+LocalTax)</f>
        <v>0.113240184623799</v>
      </c>
      <c r="AA111" s="21" t="n">
        <f aca="false">K111+T111+Z111</f>
        <v>0.689311757350263</v>
      </c>
      <c r="AB111" s="29" t="n">
        <f aca="false">IF(C111=5,0,(Q111-H111)-K111-L111-R111-S111-T111-Z111)</f>
        <v>3.46786437113198</v>
      </c>
      <c r="AC111" s="21" t="n">
        <f aca="false">IF(C111=5,0,N111*((1+DepRate*(1-DepTax))^G111-1))</f>
        <v>1.80699071941002</v>
      </c>
      <c r="AD111" s="29" t="n">
        <f aca="false">IF(C111=5,0,AB111-AC111+I111*(((1+DepRate*(1-DepTax))^G111-1)-((1+DepRate*(1-DepTax))^O111-1)))</f>
        <v>2.56338105953085</v>
      </c>
      <c r="AE111" s="30" t="n">
        <f aca="false">IF(J111&gt;0,-PMT(Rm,LoanYears*12,J111)*10000,0)</f>
        <v>0</v>
      </c>
      <c r="AF111" s="21" t="n">
        <f aca="false">IF(J111&gt;0,-PMT((Rate+Stress)/12,LoanYears*12,J111)*12/DSR,0)</f>
        <v>0</v>
      </c>
      <c r="AG111" s="20" t="n">
        <f aca="false">IF(N111&lt;=CapA,1,0)</f>
        <v>0</v>
      </c>
      <c r="AH111" s="20" t="n">
        <f aca="false">IF(N111&lt;=CapB,1,0)</f>
        <v>1</v>
      </c>
      <c r="AI111" s="20" t="n">
        <f aca="false">IF(N111&lt;=CapC,1,0)</f>
        <v>1</v>
      </c>
      <c r="AJ111" s="21" t="n">
        <f aca="false">IF(AG111=1,AD111,-999)</f>
        <v>-999</v>
      </c>
      <c r="AK111" s="21" t="n">
        <f aca="false">IF(AH111=1,AD111,-999)</f>
        <v>2.56338105953085</v>
      </c>
      <c r="AL111" s="21" t="n">
        <f aca="false">IF(AI111=1,AD111,-999)</f>
        <v>2.56338105953085</v>
      </c>
      <c r="AM111" s="21" t="str">
        <f aca="false">C111&amp;"|"&amp;E111&amp;"|"&amp;G111&amp;"|"&amp;TEXT(AJ111,"0.00000")</f>
        <v>3|3|5|-999.00000</v>
      </c>
      <c r="AN111" s="21" t="str">
        <f aca="false">C111&amp;"|"&amp;E111&amp;"|"&amp;G111&amp;"|"&amp;TEXT(AK111,"0.00000")</f>
        <v>3|3|5|2.56338</v>
      </c>
      <c r="AO111" s="21" t="str">
        <f aca="false">C111&amp;"|"&amp;E111&amp;"|"&amp;G111&amp;"|"&amp;TEXT(AL111,"0.00000")</f>
        <v>3|3|5|2.56338</v>
      </c>
    </row>
    <row r="112" customFormat="false" ht="15" hidden="false" customHeight="false" outlineLevel="0" collapsed="false">
      <c r="A112" s="20" t="n">
        <v>4</v>
      </c>
      <c r="B112" s="18" t="str">
        <f aca="false">INDEX(C_Name,A112)</f>
        <v>신길삼성래미안 84㎡</v>
      </c>
      <c r="C112" s="20" t="n">
        <v>3</v>
      </c>
      <c r="D112" s="21" t="str">
        <f aca="false">CHOOSE(C112,"1안 표준형(대출 최대)","2안 절충형(대출 50%)","3안 무대출형","4안 임대차 승계 후 입주","5안 매수 보류(전세 거주)")</f>
        <v>3안 무대출형</v>
      </c>
      <c r="E112" s="20" t="n">
        <v>3</v>
      </c>
      <c r="F112" s="10" t="n">
        <f aca="false">CHOOSE(E112,GrowLo,GrowMid,GrowHi)</f>
        <v>0.06</v>
      </c>
      <c r="G112" s="20" t="n">
        <v>10</v>
      </c>
      <c r="H112" s="18" t="n">
        <f aca="false">INDEX(C_Price,A112)</f>
        <v>13</v>
      </c>
      <c r="I112" s="18" t="n">
        <f aca="false">INDEX(C_Jeonse,A112)</f>
        <v>6.76</v>
      </c>
      <c r="J112" s="21" t="n">
        <f aca="false">IF(C112=5,0,IF(C112=1,INDEX(C_Loan,A112),IF(C112=2,INDEX(C_Loan,A112)*LoanShare2,IF(C112=3,0,MIN(INDEX(C_Loan,A112),I112)))))</f>
        <v>0</v>
      </c>
      <c r="K112" s="18" t="n">
        <f aca="false">IF(C112=5,0,INDEX(C_Acq,A112))</f>
        <v>0.429</v>
      </c>
      <c r="L112" s="18" t="n">
        <f aca="false">IF(C112=5,0,INDEX(C_Fee,A112))</f>
        <v>0.1058</v>
      </c>
      <c r="M112" s="21" t="n">
        <f aca="false">IF(C112=4,MAX(0,I112-J112),0)</f>
        <v>0</v>
      </c>
      <c r="N112" s="21" t="n">
        <f aca="false">IF(C112=5,I112,IF(C112=4,(H112-I112)+K112+L112+M112,H112-J112+K112+L112))</f>
        <v>13.5348</v>
      </c>
      <c r="O112" s="20" t="n">
        <f aca="false">IF(C112=4,RentYears,0)</f>
        <v>0</v>
      </c>
      <c r="P112" s="20" t="n">
        <f aca="false">IF(C112=5,0,MAX(0,G112-O112-NonRes))</f>
        <v>10</v>
      </c>
      <c r="Q112" s="21" t="n">
        <f aca="false">IF(C112=5,0,H112*(1+F112)^G112)</f>
        <v>23.2810200550571</v>
      </c>
      <c r="R112" s="21" t="n">
        <f aca="false">IF(C112=5,0,Q112*LOOKUP(Q112,FeeLo,FeeR)*(1+VAT))</f>
        <v>0.17926385442394</v>
      </c>
      <c r="S112" s="21" t="n">
        <f aca="false">IF(J112&gt;0,-CUMIPMT(Rm,LoanYears*12,J112,1,(G112-O112)*12,0),0)</f>
        <v>0</v>
      </c>
      <c r="T112" s="29" t="n">
        <f aca="false">IF(C112=5,0,SUMIFS(Sch_Total,Sch_Idx,A112,Sch_Scen,E112,Sch_Year,"&lt;="&amp;G112))</f>
        <v>0.388594062370387</v>
      </c>
      <c r="U112" s="21" t="n">
        <f aca="false">K112+L112+R112</f>
        <v>0.71406385442394</v>
      </c>
      <c r="V112" s="21" t="n">
        <f aca="false">IF(C112=5,0,Q112-H112-U112)</f>
        <v>9.56695620063317</v>
      </c>
      <c r="W112" s="21" t="n">
        <f aca="false">IF(C112=5,0,MAX(0,IF(P112&gt;=2,IF(Q112&gt;Exempt,V112*(Q112-Exempt)/Q112,0),V112)))</f>
        <v>4.63575154825539</v>
      </c>
      <c r="X112" s="10" t="n">
        <f aca="false">IF(P112&gt;=2,MIN(MaxDed,MIN(0.4,HoldRate*G112)+MIN(0.4,LiveRate*P112)),IF(G112&gt;=3,MIN(0.3,0.02*G112),0))</f>
        <v>0.8</v>
      </c>
      <c r="Y112" s="21" t="n">
        <f aca="false">MAX(0,W112*(1-X112)-InitDed)</f>
        <v>0.902150309651078</v>
      </c>
      <c r="Z112" s="29" t="n">
        <f aca="false">SUMPRODUCT((Y112&gt;CLo)*(Y112-CLo)*CD)*(1+LocalTax)</f>
        <v>0.177487869215665</v>
      </c>
      <c r="AA112" s="21" t="n">
        <f aca="false">K112+T112+Z112</f>
        <v>0.995081931586052</v>
      </c>
      <c r="AB112" s="29" t="n">
        <f aca="false">IF(C112=5,0,(Q112-H112)-K112-L112-R112-S112-T112-Z112)</f>
        <v>9.00087426904712</v>
      </c>
      <c r="AC112" s="21" t="n">
        <f aca="false">IF(C112=5,0,N112*((1+DepRate*(1-DepTax))^G112-1))</f>
        <v>3.85522737226819</v>
      </c>
      <c r="AD112" s="29" t="n">
        <f aca="false">IF(C112=5,0,AB112-AC112+I112*(((1+DepRate*(1-DepTax))^G112-1)-((1+DepRate*(1-DepTax))^O112-1)))</f>
        <v>7.07115278061415</v>
      </c>
      <c r="AE112" s="30" t="n">
        <f aca="false">IF(J112&gt;0,-PMT(Rm,LoanYears*12,J112)*10000,0)</f>
        <v>0</v>
      </c>
      <c r="AF112" s="21" t="n">
        <f aca="false">IF(J112&gt;0,-PMT((Rate+Stress)/12,LoanYears*12,J112)*12/DSR,0)</f>
        <v>0</v>
      </c>
      <c r="AG112" s="20" t="n">
        <f aca="false">IF(N112&lt;=CapA,1,0)</f>
        <v>0</v>
      </c>
      <c r="AH112" s="20" t="n">
        <f aca="false">IF(N112&lt;=CapB,1,0)</f>
        <v>1</v>
      </c>
      <c r="AI112" s="20" t="n">
        <f aca="false">IF(N112&lt;=CapC,1,0)</f>
        <v>1</v>
      </c>
      <c r="AJ112" s="21" t="n">
        <f aca="false">IF(AG112=1,AD112,-999)</f>
        <v>-999</v>
      </c>
      <c r="AK112" s="21" t="n">
        <f aca="false">IF(AH112=1,AD112,-999)</f>
        <v>7.07115278061415</v>
      </c>
      <c r="AL112" s="21" t="n">
        <f aca="false">IF(AI112=1,AD112,-999)</f>
        <v>7.07115278061415</v>
      </c>
      <c r="AM112" s="21" t="str">
        <f aca="false">C112&amp;"|"&amp;E112&amp;"|"&amp;G112&amp;"|"&amp;TEXT(AJ112,"0.00000")</f>
        <v>3|3|10|-999.00000</v>
      </c>
      <c r="AN112" s="21" t="str">
        <f aca="false">C112&amp;"|"&amp;E112&amp;"|"&amp;G112&amp;"|"&amp;TEXT(AK112,"0.00000")</f>
        <v>3|3|10|7.07115</v>
      </c>
      <c r="AO112" s="21" t="str">
        <f aca="false">C112&amp;"|"&amp;E112&amp;"|"&amp;G112&amp;"|"&amp;TEXT(AL112,"0.00000")</f>
        <v>3|3|10|7.07115</v>
      </c>
    </row>
    <row r="113" customFormat="false" ht="15" hidden="false" customHeight="false" outlineLevel="0" collapsed="false">
      <c r="A113" s="20" t="n">
        <v>4</v>
      </c>
      <c r="B113" s="18" t="str">
        <f aca="false">INDEX(C_Name,A113)</f>
        <v>신길삼성래미안 84㎡</v>
      </c>
      <c r="C113" s="20" t="n">
        <v>4</v>
      </c>
      <c r="D113" s="21" t="str">
        <f aca="false">CHOOSE(C113,"1안 표준형(대출 최대)","2안 절충형(대출 50%)","3안 무대출형","4안 임대차 승계 후 입주","5안 매수 보류(전세 거주)")</f>
        <v>4안 임대차 승계 후 입주</v>
      </c>
      <c r="E113" s="20" t="n">
        <v>1</v>
      </c>
      <c r="F113" s="10" t="n">
        <f aca="false">CHOOSE(E113,GrowLo,GrowMid,GrowHi)</f>
        <v>0.02</v>
      </c>
      <c r="G113" s="20" t="n">
        <v>5</v>
      </c>
      <c r="H113" s="18" t="n">
        <f aca="false">INDEX(C_Price,A113)</f>
        <v>13</v>
      </c>
      <c r="I113" s="18" t="n">
        <f aca="false">INDEX(C_Jeonse,A113)</f>
        <v>6.76</v>
      </c>
      <c r="J113" s="21" t="n">
        <f aca="false">IF(C113=5,0,IF(C113=1,INDEX(C_Loan,A113),IF(C113=2,INDEX(C_Loan,A113)*LoanShare2,IF(C113=3,0,MIN(INDEX(C_Loan,A113),I113)))))</f>
        <v>5.2</v>
      </c>
      <c r="K113" s="18" t="n">
        <f aca="false">IF(C113=5,0,INDEX(C_Acq,A113))</f>
        <v>0.429</v>
      </c>
      <c r="L113" s="18" t="n">
        <f aca="false">IF(C113=5,0,INDEX(C_Fee,A113))</f>
        <v>0.1058</v>
      </c>
      <c r="M113" s="21" t="n">
        <f aca="false">IF(C113=4,MAX(0,I113-J113),0)</f>
        <v>1.56</v>
      </c>
      <c r="N113" s="21" t="n">
        <f aca="false">IF(C113=5,I113,IF(C113=4,(H113-I113)+K113+L113+M113,H113-J113+K113+L113))</f>
        <v>8.3348</v>
      </c>
      <c r="O113" s="20" t="n">
        <f aca="false">IF(C113=4,RentYears,0)</f>
        <v>2</v>
      </c>
      <c r="P113" s="20" t="n">
        <f aca="false">IF(C113=5,0,MAX(0,G113-O113-NonRes))</f>
        <v>3</v>
      </c>
      <c r="Q113" s="21" t="n">
        <f aca="false">IF(C113=5,0,H113*(1+F113)^G113)</f>
        <v>14.3530504416</v>
      </c>
      <c r="R113" s="21" t="n">
        <f aca="false">IF(C113=5,0,Q113*LOOKUP(Q113,FeeLo,FeeR)*(1+VAT))</f>
        <v>0.09473013291456</v>
      </c>
      <c r="S113" s="21" t="n">
        <f aca="false">IF(J113&gt;0,-CUMIPMT(Rm,LoanYears*12,J113,1,(G113-O113)*12,0),0)</f>
        <v>0.607655163196859</v>
      </c>
      <c r="T113" s="29" t="n">
        <f aca="false">IF(C113=5,0,SUMIFS(Sch_Total,Sch_Idx,A113,Sch_Scen,E113,Sch_Year,"&lt;="&amp;G113))</f>
        <v>0.132621293674944</v>
      </c>
      <c r="U113" s="21" t="n">
        <f aca="false">K113+L113+R113</f>
        <v>0.62953013291456</v>
      </c>
      <c r="V113" s="21" t="n">
        <f aca="false">IF(C113=5,0,Q113-H113-U113)</f>
        <v>0.723520308685441</v>
      </c>
      <c r="W113" s="21" t="n">
        <f aca="false">IF(C113=5,0,MAX(0,IF(P113&gt;=2,IF(Q113&gt;Exempt,V113*(Q113-Exempt)/Q113,0),V113)))</f>
        <v>0.118614491657082</v>
      </c>
      <c r="X113" s="10" t="n">
        <f aca="false">IF(P113&gt;=2,MIN(MaxDed,MIN(0.4,HoldRate*G113)+MIN(0.4,LiveRate*P113)),IF(G113&gt;=3,MIN(0.3,0.02*G113),0))</f>
        <v>0.32</v>
      </c>
      <c r="Y113" s="21" t="n">
        <f aca="false">MAX(0,W113*(1-X113)-InitDed)</f>
        <v>0.055657854326816</v>
      </c>
      <c r="Z113" s="29" t="n">
        <f aca="false">SUMPRODUCT((Y113&gt;CLo)*(Y113-CLo)*CD)*(1+LocalTax)</f>
        <v>0.00367341838556985</v>
      </c>
      <c r="AA113" s="21" t="n">
        <f aca="false">K113+T113+Z113</f>
        <v>0.565294712060514</v>
      </c>
      <c r="AB113" s="29" t="n">
        <f aca="false">IF(C113=5,0,(Q113-H113)-K113-L113-R113-S113-T113-Z113)</f>
        <v>-0.0204295665719323</v>
      </c>
      <c r="AC113" s="21" t="n">
        <f aca="false">IF(C113=5,0,N113*((1+DepRate*(1-DepTax))^G113-1))</f>
        <v>1.11275425186472</v>
      </c>
      <c r="AD113" s="29" t="n">
        <f aca="false">IF(C113=5,0,AB113-AC113+I113*(((1+DepRate*(1-DepTax))^G113-1)-((1+DepRate*(1-DepTax))^O113-1)))</f>
        <v>-0.578168426771766</v>
      </c>
      <c r="AE113" s="30" t="n">
        <f aca="false">IF(J113&gt;0,-PMT(Rm,LoanYears*12,J113)*10000,0)</f>
        <v>248.255953642039</v>
      </c>
      <c r="AF113" s="21" t="n">
        <f aca="false">IF(J113&gt;0,-PMT((Rate+Stress)/12,LoanYears*12,J113)*12/DSR,0)</f>
        <v>1.03787189247953</v>
      </c>
      <c r="AG113" s="20" t="n">
        <f aca="false">IF(N113&lt;=CapA,1,0)</f>
        <v>1</v>
      </c>
      <c r="AH113" s="20" t="n">
        <f aca="false">IF(N113&lt;=CapB,1,0)</f>
        <v>1</v>
      </c>
      <c r="AI113" s="20" t="n">
        <f aca="false">IF(N113&lt;=CapC,1,0)</f>
        <v>1</v>
      </c>
      <c r="AJ113" s="21" t="n">
        <f aca="false">IF(AG113=1,AD113,-999)</f>
        <v>-0.578168426771766</v>
      </c>
      <c r="AK113" s="21" t="n">
        <f aca="false">IF(AH113=1,AD113,-999)</f>
        <v>-0.578168426771766</v>
      </c>
      <c r="AL113" s="21" t="n">
        <f aca="false">IF(AI113=1,AD113,-999)</f>
        <v>-0.578168426771766</v>
      </c>
      <c r="AM113" s="21" t="str">
        <f aca="false">C113&amp;"|"&amp;E113&amp;"|"&amp;G113&amp;"|"&amp;TEXT(AJ113,"0.00000")</f>
        <v>4|1|5|-0.57817</v>
      </c>
      <c r="AN113" s="21" t="str">
        <f aca="false">C113&amp;"|"&amp;E113&amp;"|"&amp;G113&amp;"|"&amp;TEXT(AK113,"0.00000")</f>
        <v>4|1|5|-0.57817</v>
      </c>
      <c r="AO113" s="21" t="str">
        <f aca="false">C113&amp;"|"&amp;E113&amp;"|"&amp;G113&amp;"|"&amp;TEXT(AL113,"0.00000")</f>
        <v>4|1|5|-0.57817</v>
      </c>
    </row>
    <row r="114" customFormat="false" ht="15" hidden="false" customHeight="false" outlineLevel="0" collapsed="false">
      <c r="A114" s="20" t="n">
        <v>4</v>
      </c>
      <c r="B114" s="18" t="str">
        <f aca="false">INDEX(C_Name,A114)</f>
        <v>신길삼성래미안 84㎡</v>
      </c>
      <c r="C114" s="20" t="n">
        <v>4</v>
      </c>
      <c r="D114" s="21" t="str">
        <f aca="false">CHOOSE(C114,"1안 표준형(대출 최대)","2안 절충형(대출 50%)","3안 무대출형","4안 임대차 승계 후 입주","5안 매수 보류(전세 거주)")</f>
        <v>4안 임대차 승계 후 입주</v>
      </c>
      <c r="E114" s="20" t="n">
        <v>1</v>
      </c>
      <c r="F114" s="10" t="n">
        <f aca="false">CHOOSE(E114,GrowLo,GrowMid,GrowHi)</f>
        <v>0.02</v>
      </c>
      <c r="G114" s="20" t="n">
        <v>10</v>
      </c>
      <c r="H114" s="18" t="n">
        <f aca="false">INDEX(C_Price,A114)</f>
        <v>13</v>
      </c>
      <c r="I114" s="18" t="n">
        <f aca="false">INDEX(C_Jeonse,A114)</f>
        <v>6.76</v>
      </c>
      <c r="J114" s="21" t="n">
        <f aca="false">IF(C114=5,0,IF(C114=1,INDEX(C_Loan,A114),IF(C114=2,INDEX(C_Loan,A114)*LoanShare2,IF(C114=3,0,MIN(INDEX(C_Loan,A114),I114)))))</f>
        <v>5.2</v>
      </c>
      <c r="K114" s="18" t="n">
        <f aca="false">IF(C114=5,0,INDEX(C_Acq,A114))</f>
        <v>0.429</v>
      </c>
      <c r="L114" s="18" t="n">
        <f aca="false">IF(C114=5,0,INDEX(C_Fee,A114))</f>
        <v>0.1058</v>
      </c>
      <c r="M114" s="21" t="n">
        <f aca="false">IF(C114=4,MAX(0,I114-J114),0)</f>
        <v>1.56</v>
      </c>
      <c r="N114" s="21" t="n">
        <f aca="false">IF(C114=5,I114,IF(C114=4,(H114-I114)+K114+L114+M114,H114-J114+K114+L114))</f>
        <v>8.3348</v>
      </c>
      <c r="O114" s="20" t="n">
        <f aca="false">IF(C114=4,RentYears,0)</f>
        <v>2</v>
      </c>
      <c r="P114" s="20" t="n">
        <f aca="false">IF(C114=5,0,MAX(0,G114-O114-NonRes))</f>
        <v>8</v>
      </c>
      <c r="Q114" s="21" t="n">
        <f aca="false">IF(C114=5,0,H114*(1+F114)^G114)</f>
        <v>15.8469274599318</v>
      </c>
      <c r="R114" s="21" t="n">
        <f aca="false">IF(C114=5,0,Q114*LOOKUP(Q114,FeeLo,FeeR)*(1+VAT))</f>
        <v>0.122021341441475</v>
      </c>
      <c r="S114" s="21" t="n">
        <f aca="false">IF(J114&gt;0,-CUMIPMT(Rm,LoanYears*12,J114,1,(G114-O114)*12,0),0)</f>
        <v>1.53724189683299</v>
      </c>
      <c r="T114" s="29" t="n">
        <f aca="false">IF(C114=5,0,SUMIFS(Sch_Total,Sch_Idx,A114,Sch_Scen,E114,Sch_Year,"&lt;="&amp;G114))</f>
        <v>0.286545470207653</v>
      </c>
      <c r="U114" s="21" t="n">
        <f aca="false">K114+L114+R114</f>
        <v>0.656821341441475</v>
      </c>
      <c r="V114" s="21" t="n">
        <f aca="false">IF(C114=5,0,Q114-H114-U114)</f>
        <v>2.19010611849037</v>
      </c>
      <c r="W114" s="21" t="n">
        <f aca="false">IF(C114=5,0,MAX(0,IF(P114&gt;=2,IF(Q114&gt;Exempt,V114*(Q114-Exempt)/Q114,0),V114)))</f>
        <v>0.531660120782908</v>
      </c>
      <c r="X114" s="10" t="n">
        <f aca="false">IF(P114&gt;=2,MIN(MaxDed,MIN(0.4,HoldRate*G114)+MIN(0.4,LiveRate*P114)),IF(G114&gt;=3,MIN(0.3,0.02*G114),0))</f>
        <v>0.72</v>
      </c>
      <c r="Y114" s="21" t="n">
        <f aca="false">MAX(0,W114*(1-X114)-InitDed)</f>
        <v>0.123864833819214</v>
      </c>
      <c r="Z114" s="29" t="n">
        <f aca="false">SUMPRODUCT((Y114&gt;CLo)*(Y114-CLo)*CD)*(1+LocalTax)</f>
        <v>0.00817507903206814</v>
      </c>
      <c r="AA114" s="21" t="n">
        <f aca="false">K114+T114+Z114</f>
        <v>0.723720549239721</v>
      </c>
      <c r="AB114" s="29" t="n">
        <f aca="false">IF(C114=5,0,(Q114-H114)-K114-L114-R114-S114-T114-Z114)</f>
        <v>0.358143672417655</v>
      </c>
      <c r="AC114" s="21" t="n">
        <f aca="false">IF(C114=5,0,N114*((1+DepRate*(1-DepTax))^G114-1))</f>
        <v>2.37406900008725</v>
      </c>
      <c r="AD114" s="29" t="n">
        <f aca="false">IF(C114=5,0,AB114-AC114+I114*(((1+DepRate*(1-DepTax))^G114-1)-((1+DepRate*(1-DepTax))^O114-1)))</f>
        <v>-0.437911459978372</v>
      </c>
      <c r="AE114" s="30" t="n">
        <f aca="false">IF(J114&gt;0,-PMT(Rm,LoanYears*12,J114)*10000,0)</f>
        <v>248.255953642039</v>
      </c>
      <c r="AF114" s="21" t="n">
        <f aca="false">IF(J114&gt;0,-PMT((Rate+Stress)/12,LoanYears*12,J114)*12/DSR,0)</f>
        <v>1.03787189247953</v>
      </c>
      <c r="AG114" s="20" t="n">
        <f aca="false">IF(N114&lt;=CapA,1,0)</f>
        <v>1</v>
      </c>
      <c r="AH114" s="20" t="n">
        <f aca="false">IF(N114&lt;=CapB,1,0)</f>
        <v>1</v>
      </c>
      <c r="AI114" s="20" t="n">
        <f aca="false">IF(N114&lt;=CapC,1,0)</f>
        <v>1</v>
      </c>
      <c r="AJ114" s="21" t="n">
        <f aca="false">IF(AG114=1,AD114,-999)</f>
        <v>-0.437911459978372</v>
      </c>
      <c r="AK114" s="21" t="n">
        <f aca="false">IF(AH114=1,AD114,-999)</f>
        <v>-0.437911459978372</v>
      </c>
      <c r="AL114" s="21" t="n">
        <f aca="false">IF(AI114=1,AD114,-999)</f>
        <v>-0.437911459978372</v>
      </c>
      <c r="AM114" s="21" t="str">
        <f aca="false">C114&amp;"|"&amp;E114&amp;"|"&amp;G114&amp;"|"&amp;TEXT(AJ114,"0.00000")</f>
        <v>4|1|10|-0.43791</v>
      </c>
      <c r="AN114" s="21" t="str">
        <f aca="false">C114&amp;"|"&amp;E114&amp;"|"&amp;G114&amp;"|"&amp;TEXT(AK114,"0.00000")</f>
        <v>4|1|10|-0.43791</v>
      </c>
      <c r="AO114" s="21" t="str">
        <f aca="false">C114&amp;"|"&amp;E114&amp;"|"&amp;G114&amp;"|"&amp;TEXT(AL114,"0.00000")</f>
        <v>4|1|10|-0.43791</v>
      </c>
    </row>
    <row r="115" customFormat="false" ht="15" hidden="false" customHeight="false" outlineLevel="0" collapsed="false">
      <c r="A115" s="20" t="n">
        <v>4</v>
      </c>
      <c r="B115" s="18" t="str">
        <f aca="false">INDEX(C_Name,A115)</f>
        <v>신길삼성래미안 84㎡</v>
      </c>
      <c r="C115" s="20" t="n">
        <v>4</v>
      </c>
      <c r="D115" s="21" t="str">
        <f aca="false">CHOOSE(C115,"1안 표준형(대출 최대)","2안 절충형(대출 50%)","3안 무대출형","4안 임대차 승계 후 입주","5안 매수 보류(전세 거주)")</f>
        <v>4안 임대차 승계 후 입주</v>
      </c>
      <c r="E115" s="20" t="n">
        <v>2</v>
      </c>
      <c r="F115" s="10" t="n">
        <f aca="false">CHOOSE(E115,GrowLo,GrowMid,GrowHi)</f>
        <v>0.04</v>
      </c>
      <c r="G115" s="20" t="n">
        <v>5</v>
      </c>
      <c r="H115" s="18" t="n">
        <f aca="false">INDEX(C_Price,A115)</f>
        <v>13</v>
      </c>
      <c r="I115" s="18" t="n">
        <f aca="false">INDEX(C_Jeonse,A115)</f>
        <v>6.76</v>
      </c>
      <c r="J115" s="21" t="n">
        <f aca="false">IF(C115=5,0,IF(C115=1,INDEX(C_Loan,A115),IF(C115=2,INDEX(C_Loan,A115)*LoanShare2,IF(C115=3,0,MIN(INDEX(C_Loan,A115),I115)))))</f>
        <v>5.2</v>
      </c>
      <c r="K115" s="18" t="n">
        <f aca="false">IF(C115=5,0,INDEX(C_Acq,A115))</f>
        <v>0.429</v>
      </c>
      <c r="L115" s="18" t="n">
        <f aca="false">IF(C115=5,0,INDEX(C_Fee,A115))</f>
        <v>0.1058</v>
      </c>
      <c r="M115" s="21" t="n">
        <f aca="false">IF(C115=4,MAX(0,I115-J115),0)</f>
        <v>1.56</v>
      </c>
      <c r="N115" s="21" t="n">
        <f aca="false">IF(C115=5,I115,IF(C115=4,(H115-I115)+K115+L115+M115,H115-J115+K115+L115))</f>
        <v>8.3348</v>
      </c>
      <c r="O115" s="20" t="n">
        <f aca="false">IF(C115=4,RentYears,0)</f>
        <v>2</v>
      </c>
      <c r="P115" s="20" t="n">
        <f aca="false">IF(C115=5,0,MAX(0,G115-O115-NonRes))</f>
        <v>3</v>
      </c>
      <c r="Q115" s="21" t="n">
        <f aca="false">IF(C115=5,0,H115*(1+F115)^G115)</f>
        <v>15.8164877312</v>
      </c>
      <c r="R115" s="21" t="n">
        <f aca="false">IF(C115=5,0,Q115*LOOKUP(Q115,FeeLo,FeeR)*(1+VAT))</f>
        <v>0.12178695553024</v>
      </c>
      <c r="S115" s="21" t="n">
        <f aca="false">IF(J115&gt;0,-CUMIPMT(Rm,LoanYears*12,J115,1,(G115-O115)*12,0),0)</f>
        <v>0.607655163196859</v>
      </c>
      <c r="T115" s="29" t="n">
        <f aca="false">IF(C115=5,0,SUMIFS(Sch_Total,Sch_Idx,A115,Sch_Scen,E115,Sch_Year,"&lt;="&amp;G115))</f>
        <v>0.139704817711104</v>
      </c>
      <c r="U115" s="21" t="n">
        <f aca="false">K115+L115+R115</f>
        <v>0.65658695553024</v>
      </c>
      <c r="V115" s="21" t="n">
        <f aca="false">IF(C115=5,0,Q115-H115-U115)</f>
        <v>2.15990077566976</v>
      </c>
      <c r="W115" s="21" t="n">
        <f aca="false">IF(C115=5,0,MAX(0,IF(P115&gt;=2,IF(Q115&gt;Exempt,V115*(Q115-Exempt)/Q115,0),V115)))</f>
        <v>0.521179856808045</v>
      </c>
      <c r="X115" s="10" t="n">
        <f aca="false">IF(P115&gt;=2,MIN(MaxDed,MIN(0.4,HoldRate*G115)+MIN(0.4,LiveRate*P115)),IF(G115&gt;=3,MIN(0.3,0.02*G115),0))</f>
        <v>0.32</v>
      </c>
      <c r="Y115" s="21" t="n">
        <f aca="false">MAX(0,W115*(1-X115)-InitDed)</f>
        <v>0.32940230262947</v>
      </c>
      <c r="Z115" s="29" t="n">
        <f aca="false">SUMPRODUCT((Y115&gt;CLo)*(Y115-CLo)*CD)*(1+LocalTax)</f>
        <v>0.0404913799338626</v>
      </c>
      <c r="AA115" s="21" t="n">
        <f aca="false">K115+T115+Z115</f>
        <v>0.609196197644967</v>
      </c>
      <c r="AB115" s="29" t="n">
        <f aca="false">IF(C115=5,0,(Q115-H115)-K115-L115-R115-S115-T115-Z115)</f>
        <v>1.37204941482794</v>
      </c>
      <c r="AC115" s="21" t="n">
        <f aca="false">IF(C115=5,0,N115*((1+DepRate*(1-DepTax))^G115-1))</f>
        <v>1.11275425186472</v>
      </c>
      <c r="AD115" s="29" t="n">
        <f aca="false">IF(C115=5,0,AB115-AC115+I115*(((1+DepRate*(1-DepTax))^G115-1)-((1+DepRate*(1-DepTax))^O115-1)))</f>
        <v>0.814310554628102</v>
      </c>
      <c r="AE115" s="30" t="n">
        <f aca="false">IF(J115&gt;0,-PMT(Rm,LoanYears*12,J115)*10000,0)</f>
        <v>248.255953642039</v>
      </c>
      <c r="AF115" s="21" t="n">
        <f aca="false">IF(J115&gt;0,-PMT((Rate+Stress)/12,LoanYears*12,J115)*12/DSR,0)</f>
        <v>1.03787189247953</v>
      </c>
      <c r="AG115" s="20" t="n">
        <f aca="false">IF(N115&lt;=CapA,1,0)</f>
        <v>1</v>
      </c>
      <c r="AH115" s="20" t="n">
        <f aca="false">IF(N115&lt;=CapB,1,0)</f>
        <v>1</v>
      </c>
      <c r="AI115" s="20" t="n">
        <f aca="false">IF(N115&lt;=CapC,1,0)</f>
        <v>1</v>
      </c>
      <c r="AJ115" s="21" t="n">
        <f aca="false">IF(AG115=1,AD115,-999)</f>
        <v>0.814310554628102</v>
      </c>
      <c r="AK115" s="21" t="n">
        <f aca="false">IF(AH115=1,AD115,-999)</f>
        <v>0.814310554628102</v>
      </c>
      <c r="AL115" s="21" t="n">
        <f aca="false">IF(AI115=1,AD115,-999)</f>
        <v>0.814310554628102</v>
      </c>
      <c r="AM115" s="21" t="str">
        <f aca="false">C115&amp;"|"&amp;E115&amp;"|"&amp;G115&amp;"|"&amp;TEXT(AJ115,"0.00000")</f>
        <v>4|2|5|0.81431</v>
      </c>
      <c r="AN115" s="21" t="str">
        <f aca="false">C115&amp;"|"&amp;E115&amp;"|"&amp;G115&amp;"|"&amp;TEXT(AK115,"0.00000")</f>
        <v>4|2|5|0.81431</v>
      </c>
      <c r="AO115" s="21" t="str">
        <f aca="false">C115&amp;"|"&amp;E115&amp;"|"&amp;G115&amp;"|"&amp;TEXT(AL115,"0.00000")</f>
        <v>4|2|5|0.81431</v>
      </c>
    </row>
    <row r="116" customFormat="false" ht="15" hidden="false" customHeight="false" outlineLevel="0" collapsed="false">
      <c r="A116" s="20" t="n">
        <v>4</v>
      </c>
      <c r="B116" s="18" t="str">
        <f aca="false">INDEX(C_Name,A116)</f>
        <v>신길삼성래미안 84㎡</v>
      </c>
      <c r="C116" s="20" t="n">
        <v>4</v>
      </c>
      <c r="D116" s="21" t="str">
        <f aca="false">CHOOSE(C116,"1안 표준형(대출 최대)","2안 절충형(대출 50%)","3안 무대출형","4안 임대차 승계 후 입주","5안 매수 보류(전세 거주)")</f>
        <v>4안 임대차 승계 후 입주</v>
      </c>
      <c r="E116" s="20" t="n">
        <v>2</v>
      </c>
      <c r="F116" s="10" t="n">
        <f aca="false">CHOOSE(E116,GrowLo,GrowMid,GrowHi)</f>
        <v>0.04</v>
      </c>
      <c r="G116" s="20" t="n">
        <v>10</v>
      </c>
      <c r="H116" s="18" t="n">
        <f aca="false">INDEX(C_Price,A116)</f>
        <v>13</v>
      </c>
      <c r="I116" s="18" t="n">
        <f aca="false">INDEX(C_Jeonse,A116)</f>
        <v>6.76</v>
      </c>
      <c r="J116" s="21" t="n">
        <f aca="false">IF(C116=5,0,IF(C116=1,INDEX(C_Loan,A116),IF(C116=2,INDEX(C_Loan,A116)*LoanShare2,IF(C116=3,0,MIN(INDEX(C_Loan,A116),I116)))))</f>
        <v>5.2</v>
      </c>
      <c r="K116" s="18" t="n">
        <f aca="false">IF(C116=5,0,INDEX(C_Acq,A116))</f>
        <v>0.429</v>
      </c>
      <c r="L116" s="18" t="n">
        <f aca="false">IF(C116=5,0,INDEX(C_Fee,A116))</f>
        <v>0.1058</v>
      </c>
      <c r="M116" s="21" t="n">
        <f aca="false">IF(C116=4,MAX(0,I116-J116),0)</f>
        <v>1.56</v>
      </c>
      <c r="N116" s="21" t="n">
        <f aca="false">IF(C116=5,I116,IF(C116=4,(H116-I116)+K116+L116+M116,H116-J116+K116+L116))</f>
        <v>8.3348</v>
      </c>
      <c r="O116" s="20" t="n">
        <f aca="false">IF(C116=4,RentYears,0)</f>
        <v>2</v>
      </c>
      <c r="P116" s="20" t="n">
        <f aca="false">IF(C116=5,0,MAX(0,G116-O116-NonRes))</f>
        <v>8</v>
      </c>
      <c r="Q116" s="21" t="n">
        <f aca="false">IF(C116=5,0,H116*(1+F116)^G116)</f>
        <v>19.2431757039385</v>
      </c>
      <c r="R116" s="21" t="n">
        <f aca="false">IF(C116=5,0,Q116*LOOKUP(Q116,FeeLo,FeeR)*(1+VAT))</f>
        <v>0.148172452920326</v>
      </c>
      <c r="S116" s="21" t="n">
        <f aca="false">IF(J116&gt;0,-CUMIPMT(Rm,LoanYears*12,J116,1,(G116-O116)*12,0),0)</f>
        <v>1.53724189683299</v>
      </c>
      <c r="T116" s="29" t="n">
        <f aca="false">IF(C116=5,0,SUMIFS(Sch_Total,Sch_Idx,A116,Sch_Scen,E116,Sch_Year,"&lt;="&amp;G116))</f>
        <v>0.325550801744133</v>
      </c>
      <c r="U116" s="21" t="n">
        <f aca="false">K116+L116+R116</f>
        <v>0.682972452920326</v>
      </c>
      <c r="V116" s="21" t="n">
        <f aca="false">IF(C116=5,0,Q116-H116-U116)</f>
        <v>5.56020325101815</v>
      </c>
      <c r="W116" s="21" t="n">
        <f aca="false">IF(C116=5,0,MAX(0,IF(P116&gt;=2,IF(Q116&gt;Exempt,V116*(Q116-Exempt)/Q116,0),V116)))</f>
        <v>2.09287332383977</v>
      </c>
      <c r="X116" s="10" t="n">
        <f aca="false">IF(P116&gt;=2,MIN(MaxDed,MIN(0.4,HoldRate*G116)+MIN(0.4,LiveRate*P116)),IF(G116&gt;=3,MIN(0.3,0.02*G116),0))</f>
        <v>0.72</v>
      </c>
      <c r="Y116" s="21" t="n">
        <f aca="false">MAX(0,W116*(1-X116)-InitDed)</f>
        <v>0.561004530675135</v>
      </c>
      <c r="Z116" s="29" t="n">
        <f aca="false">SUMPRODUCT((Y116&gt;CLo)*(Y116-CLo)*CD)*(1+LocalTax)</f>
        <v>0.0847451960982357</v>
      </c>
      <c r="AA116" s="21" t="n">
        <f aca="false">K116+T116+Z116</f>
        <v>0.839295997842369</v>
      </c>
      <c r="AB116" s="29" t="n">
        <f aca="false">IF(C116=5,0,(Q116-H116)-K116-L116-R116-S116-T116-Z116)</f>
        <v>3.61266535634279</v>
      </c>
      <c r="AC116" s="21" t="n">
        <f aca="false">IF(C116=5,0,N116*((1+DepRate*(1-DepTax))^G116-1))</f>
        <v>2.37406900008725</v>
      </c>
      <c r="AD116" s="29" t="n">
        <f aca="false">IF(C116=5,0,AB116-AC116+I116*(((1+DepRate*(1-DepTax))^G116-1)-((1+DepRate*(1-DepTax))^O116-1)))</f>
        <v>2.81661022394676</v>
      </c>
      <c r="AE116" s="30" t="n">
        <f aca="false">IF(J116&gt;0,-PMT(Rm,LoanYears*12,J116)*10000,0)</f>
        <v>248.255953642039</v>
      </c>
      <c r="AF116" s="21" t="n">
        <f aca="false">IF(J116&gt;0,-PMT((Rate+Stress)/12,LoanYears*12,J116)*12/DSR,0)</f>
        <v>1.03787189247953</v>
      </c>
      <c r="AG116" s="20" t="n">
        <f aca="false">IF(N116&lt;=CapA,1,0)</f>
        <v>1</v>
      </c>
      <c r="AH116" s="20" t="n">
        <f aca="false">IF(N116&lt;=CapB,1,0)</f>
        <v>1</v>
      </c>
      <c r="AI116" s="20" t="n">
        <f aca="false">IF(N116&lt;=CapC,1,0)</f>
        <v>1</v>
      </c>
      <c r="AJ116" s="21" t="n">
        <f aca="false">IF(AG116=1,AD116,-999)</f>
        <v>2.81661022394676</v>
      </c>
      <c r="AK116" s="21" t="n">
        <f aca="false">IF(AH116=1,AD116,-999)</f>
        <v>2.81661022394676</v>
      </c>
      <c r="AL116" s="21" t="n">
        <f aca="false">IF(AI116=1,AD116,-999)</f>
        <v>2.81661022394676</v>
      </c>
      <c r="AM116" s="21" t="str">
        <f aca="false">C116&amp;"|"&amp;E116&amp;"|"&amp;G116&amp;"|"&amp;TEXT(AJ116,"0.00000")</f>
        <v>4|2|10|2.81661</v>
      </c>
      <c r="AN116" s="21" t="str">
        <f aca="false">C116&amp;"|"&amp;E116&amp;"|"&amp;G116&amp;"|"&amp;TEXT(AK116,"0.00000")</f>
        <v>4|2|10|2.81661</v>
      </c>
      <c r="AO116" s="21" t="str">
        <f aca="false">C116&amp;"|"&amp;E116&amp;"|"&amp;G116&amp;"|"&amp;TEXT(AL116,"0.00000")</f>
        <v>4|2|10|2.81661</v>
      </c>
    </row>
    <row r="117" customFormat="false" ht="15" hidden="false" customHeight="false" outlineLevel="0" collapsed="false">
      <c r="A117" s="20" t="n">
        <v>4</v>
      </c>
      <c r="B117" s="18" t="str">
        <f aca="false">INDEX(C_Name,A117)</f>
        <v>신길삼성래미안 84㎡</v>
      </c>
      <c r="C117" s="20" t="n">
        <v>4</v>
      </c>
      <c r="D117" s="21" t="str">
        <f aca="false">CHOOSE(C117,"1안 표준형(대출 최대)","2안 절충형(대출 50%)","3안 무대출형","4안 임대차 승계 후 입주","5안 매수 보류(전세 거주)")</f>
        <v>4안 임대차 승계 후 입주</v>
      </c>
      <c r="E117" s="20" t="n">
        <v>3</v>
      </c>
      <c r="F117" s="10" t="n">
        <f aca="false">CHOOSE(E117,GrowLo,GrowMid,GrowHi)</f>
        <v>0.06</v>
      </c>
      <c r="G117" s="20" t="n">
        <v>5</v>
      </c>
      <c r="H117" s="18" t="n">
        <f aca="false">INDEX(C_Price,A117)</f>
        <v>13</v>
      </c>
      <c r="I117" s="18" t="n">
        <f aca="false">INDEX(C_Jeonse,A117)</f>
        <v>6.76</v>
      </c>
      <c r="J117" s="21" t="n">
        <f aca="false">IF(C117=5,0,IF(C117=1,INDEX(C_Loan,A117),IF(C117=2,INDEX(C_Loan,A117)*LoanShare2,IF(C117=3,0,MIN(INDEX(C_Loan,A117),I117)))))</f>
        <v>5.2</v>
      </c>
      <c r="K117" s="18" t="n">
        <f aca="false">IF(C117=5,0,INDEX(C_Acq,A117))</f>
        <v>0.429</v>
      </c>
      <c r="L117" s="18" t="n">
        <f aca="false">IF(C117=5,0,INDEX(C_Fee,A117))</f>
        <v>0.1058</v>
      </c>
      <c r="M117" s="21" t="n">
        <f aca="false">IF(C117=4,MAX(0,I117-J117),0)</f>
        <v>1.56</v>
      </c>
      <c r="N117" s="21" t="n">
        <f aca="false">IF(C117=5,I117,IF(C117=4,(H117-I117)+K117+L117+M117,H117-J117+K117+L117))</f>
        <v>8.3348</v>
      </c>
      <c r="O117" s="20" t="n">
        <f aca="false">IF(C117=4,RentYears,0)</f>
        <v>2</v>
      </c>
      <c r="P117" s="20" t="n">
        <f aca="false">IF(C117=5,0,MAX(0,G117-O117-NonRes))</f>
        <v>3</v>
      </c>
      <c r="Q117" s="21" t="n">
        <f aca="false">IF(C117=5,0,H117*(1+F117)^G117)</f>
        <v>17.3969325088</v>
      </c>
      <c r="R117" s="21" t="n">
        <f aca="false">IF(C117=5,0,Q117*LOOKUP(Q117,FeeLo,FeeR)*(1+VAT))</f>
        <v>0.13395638031776</v>
      </c>
      <c r="S117" s="21" t="n">
        <f aca="false">IF(J117&gt;0,-CUMIPMT(Rm,LoanYears*12,J117,1,(G117-O117)*12,0),0)</f>
        <v>0.607655163196859</v>
      </c>
      <c r="T117" s="29" t="n">
        <f aca="false">IF(C117=5,0,SUMIFS(Sch_Total,Sch_Idx,A117,Sch_Scen,E117,Sch_Year,"&lt;="&amp;G117))</f>
        <v>0.147071572726464</v>
      </c>
      <c r="U117" s="21" t="n">
        <f aca="false">K117+L117+R117</f>
        <v>0.66875638031776</v>
      </c>
      <c r="V117" s="21" t="n">
        <f aca="false">IF(C117=5,0,Q117-H117-U117)</f>
        <v>3.72817612848224</v>
      </c>
      <c r="W117" s="21" t="n">
        <f aca="false">IF(C117=5,0,MAX(0,IF(P117&gt;=2,IF(Q117&gt;Exempt,V117*(Q117-Exempt)/Q117,0),V117)))</f>
        <v>1.15656682211994</v>
      </c>
      <c r="X117" s="10" t="n">
        <f aca="false">IF(P117&gt;=2,MIN(MaxDed,MIN(0.4,HoldRate*G117)+MIN(0.4,LiveRate*P117)),IF(G117&gt;=3,MIN(0.3,0.02*G117),0))</f>
        <v>0.32</v>
      </c>
      <c r="Y117" s="21" t="n">
        <f aca="false">MAX(0,W117*(1-X117)-InitDed)</f>
        <v>0.761465439041561</v>
      </c>
      <c r="Z117" s="29" t="n">
        <f aca="false">SUMPRODUCT((Y117&gt;CLo)*(Y117-CLo)*CD)*(1+LocalTax)</f>
        <v>0.137666875906972</v>
      </c>
      <c r="AA117" s="21" t="n">
        <f aca="false">K117+T117+Z117</f>
        <v>0.713738448633436</v>
      </c>
      <c r="AB117" s="29" t="n">
        <f aca="false">IF(C117=5,0,(Q117-H117)-K117-L117-R117-S117-T117-Z117)</f>
        <v>2.83578251665195</v>
      </c>
      <c r="AC117" s="21" t="n">
        <f aca="false">IF(C117=5,0,N117*((1+DepRate*(1-DepTax))^G117-1))</f>
        <v>1.11275425186472</v>
      </c>
      <c r="AD117" s="29" t="n">
        <f aca="false">IF(C117=5,0,AB117-AC117+I117*(((1+DepRate*(1-DepTax))^G117-1)-((1+DepRate*(1-DepTax))^O117-1)))</f>
        <v>2.27804365645211</v>
      </c>
      <c r="AE117" s="30" t="n">
        <f aca="false">IF(J117&gt;0,-PMT(Rm,LoanYears*12,J117)*10000,0)</f>
        <v>248.255953642039</v>
      </c>
      <c r="AF117" s="21" t="n">
        <f aca="false">IF(J117&gt;0,-PMT((Rate+Stress)/12,LoanYears*12,J117)*12/DSR,0)</f>
        <v>1.03787189247953</v>
      </c>
      <c r="AG117" s="20" t="n">
        <f aca="false">IF(N117&lt;=CapA,1,0)</f>
        <v>1</v>
      </c>
      <c r="AH117" s="20" t="n">
        <f aca="false">IF(N117&lt;=CapB,1,0)</f>
        <v>1</v>
      </c>
      <c r="AI117" s="20" t="n">
        <f aca="false">IF(N117&lt;=CapC,1,0)</f>
        <v>1</v>
      </c>
      <c r="AJ117" s="21" t="n">
        <f aca="false">IF(AG117=1,AD117,-999)</f>
        <v>2.27804365645211</v>
      </c>
      <c r="AK117" s="21" t="n">
        <f aca="false">IF(AH117=1,AD117,-999)</f>
        <v>2.27804365645211</v>
      </c>
      <c r="AL117" s="21" t="n">
        <f aca="false">IF(AI117=1,AD117,-999)</f>
        <v>2.27804365645211</v>
      </c>
      <c r="AM117" s="21" t="str">
        <f aca="false">C117&amp;"|"&amp;E117&amp;"|"&amp;G117&amp;"|"&amp;TEXT(AJ117,"0.00000")</f>
        <v>4|3|5|2.27804</v>
      </c>
      <c r="AN117" s="21" t="str">
        <f aca="false">C117&amp;"|"&amp;E117&amp;"|"&amp;G117&amp;"|"&amp;TEXT(AK117,"0.00000")</f>
        <v>4|3|5|2.27804</v>
      </c>
      <c r="AO117" s="21" t="str">
        <f aca="false">C117&amp;"|"&amp;E117&amp;"|"&amp;G117&amp;"|"&amp;TEXT(AL117,"0.00000")</f>
        <v>4|3|5|2.27804</v>
      </c>
    </row>
    <row r="118" customFormat="false" ht="15" hidden="false" customHeight="false" outlineLevel="0" collapsed="false">
      <c r="A118" s="20" t="n">
        <v>4</v>
      </c>
      <c r="B118" s="18" t="str">
        <f aca="false">INDEX(C_Name,A118)</f>
        <v>신길삼성래미안 84㎡</v>
      </c>
      <c r="C118" s="20" t="n">
        <v>4</v>
      </c>
      <c r="D118" s="21" t="str">
        <f aca="false">CHOOSE(C118,"1안 표준형(대출 최대)","2안 절충형(대출 50%)","3안 무대출형","4안 임대차 승계 후 입주","5안 매수 보류(전세 거주)")</f>
        <v>4안 임대차 승계 후 입주</v>
      </c>
      <c r="E118" s="20" t="n">
        <v>3</v>
      </c>
      <c r="F118" s="10" t="n">
        <f aca="false">CHOOSE(E118,GrowLo,GrowMid,GrowHi)</f>
        <v>0.06</v>
      </c>
      <c r="G118" s="20" t="n">
        <v>10</v>
      </c>
      <c r="H118" s="18" t="n">
        <f aca="false">INDEX(C_Price,A118)</f>
        <v>13</v>
      </c>
      <c r="I118" s="18" t="n">
        <f aca="false">INDEX(C_Jeonse,A118)</f>
        <v>6.76</v>
      </c>
      <c r="J118" s="21" t="n">
        <f aca="false">IF(C118=5,0,IF(C118=1,INDEX(C_Loan,A118),IF(C118=2,INDEX(C_Loan,A118)*LoanShare2,IF(C118=3,0,MIN(INDEX(C_Loan,A118),I118)))))</f>
        <v>5.2</v>
      </c>
      <c r="K118" s="18" t="n">
        <f aca="false">IF(C118=5,0,INDEX(C_Acq,A118))</f>
        <v>0.429</v>
      </c>
      <c r="L118" s="18" t="n">
        <f aca="false">IF(C118=5,0,INDEX(C_Fee,A118))</f>
        <v>0.1058</v>
      </c>
      <c r="M118" s="21" t="n">
        <f aca="false">IF(C118=4,MAX(0,I118-J118),0)</f>
        <v>1.56</v>
      </c>
      <c r="N118" s="21" t="n">
        <f aca="false">IF(C118=5,I118,IF(C118=4,(H118-I118)+K118+L118+M118,H118-J118+K118+L118))</f>
        <v>8.3348</v>
      </c>
      <c r="O118" s="20" t="n">
        <f aca="false">IF(C118=4,RentYears,0)</f>
        <v>2</v>
      </c>
      <c r="P118" s="20" t="n">
        <f aca="false">IF(C118=5,0,MAX(0,G118-O118-NonRes))</f>
        <v>8</v>
      </c>
      <c r="Q118" s="21" t="n">
        <f aca="false">IF(C118=5,0,H118*(1+F118)^G118)</f>
        <v>23.2810200550571</v>
      </c>
      <c r="R118" s="21" t="n">
        <f aca="false">IF(C118=5,0,Q118*LOOKUP(Q118,FeeLo,FeeR)*(1+VAT))</f>
        <v>0.17926385442394</v>
      </c>
      <c r="S118" s="21" t="n">
        <f aca="false">IF(J118&gt;0,-CUMIPMT(Rm,LoanYears*12,J118,1,(G118-O118)*12,0),0)</f>
        <v>1.53724189683299</v>
      </c>
      <c r="T118" s="29" t="n">
        <f aca="false">IF(C118=5,0,SUMIFS(Sch_Total,Sch_Idx,A118,Sch_Scen,E118,Sch_Year,"&lt;="&amp;G118))</f>
        <v>0.388594062370387</v>
      </c>
      <c r="U118" s="21" t="n">
        <f aca="false">K118+L118+R118</f>
        <v>0.71406385442394</v>
      </c>
      <c r="V118" s="21" t="n">
        <f aca="false">IF(C118=5,0,Q118-H118-U118)</f>
        <v>9.56695620063317</v>
      </c>
      <c r="W118" s="21" t="n">
        <f aca="false">IF(C118=5,0,MAX(0,IF(P118&gt;=2,IF(Q118&gt;Exempt,V118*(Q118-Exempt)/Q118,0),V118)))</f>
        <v>4.63575154825539</v>
      </c>
      <c r="X118" s="10" t="n">
        <f aca="false">IF(P118&gt;=2,MIN(MaxDed,MIN(0.4,HoldRate*G118)+MIN(0.4,LiveRate*P118)),IF(G118&gt;=3,MIN(0.3,0.02*G118),0))</f>
        <v>0.72</v>
      </c>
      <c r="Y118" s="21" t="n">
        <f aca="false">MAX(0,W118*(1-X118)-InitDed)</f>
        <v>1.27301043351151</v>
      </c>
      <c r="Z118" s="29" t="n">
        <f aca="false">SUMPRODUCT((Y118&gt;CLo)*(Y118-CLo)*CD)*(1+LocalTax)</f>
        <v>0.320269016901931</v>
      </c>
      <c r="AA118" s="21" t="n">
        <f aca="false">K118+T118+Z118</f>
        <v>1.13786307927232</v>
      </c>
      <c r="AB118" s="29" t="n">
        <f aca="false">IF(C118=5,0,(Q118-H118)-K118-L118-R118-S118-T118-Z118)</f>
        <v>7.32085122452786</v>
      </c>
      <c r="AC118" s="21" t="n">
        <f aca="false">IF(C118=5,0,N118*((1+DepRate*(1-DepTax))^G118-1))</f>
        <v>2.37406900008725</v>
      </c>
      <c r="AD118" s="29" t="n">
        <f aca="false">IF(C118=5,0,AB118-AC118+I118*(((1+DepRate*(1-DepTax))^G118-1)-((1+DepRate*(1-DepTax))^O118-1)))</f>
        <v>6.52479609213183</v>
      </c>
      <c r="AE118" s="30" t="n">
        <f aca="false">IF(J118&gt;0,-PMT(Rm,LoanYears*12,J118)*10000,0)</f>
        <v>248.255953642039</v>
      </c>
      <c r="AF118" s="21" t="n">
        <f aca="false">IF(J118&gt;0,-PMT((Rate+Stress)/12,LoanYears*12,J118)*12/DSR,0)</f>
        <v>1.03787189247953</v>
      </c>
      <c r="AG118" s="20" t="n">
        <f aca="false">IF(N118&lt;=CapA,1,0)</f>
        <v>1</v>
      </c>
      <c r="AH118" s="20" t="n">
        <f aca="false">IF(N118&lt;=CapB,1,0)</f>
        <v>1</v>
      </c>
      <c r="AI118" s="20" t="n">
        <f aca="false">IF(N118&lt;=CapC,1,0)</f>
        <v>1</v>
      </c>
      <c r="AJ118" s="21" t="n">
        <f aca="false">IF(AG118=1,AD118,-999)</f>
        <v>6.52479609213183</v>
      </c>
      <c r="AK118" s="21" t="n">
        <f aca="false">IF(AH118=1,AD118,-999)</f>
        <v>6.52479609213183</v>
      </c>
      <c r="AL118" s="21" t="n">
        <f aca="false">IF(AI118=1,AD118,-999)</f>
        <v>6.52479609213183</v>
      </c>
      <c r="AM118" s="21" t="str">
        <f aca="false">C118&amp;"|"&amp;E118&amp;"|"&amp;G118&amp;"|"&amp;TEXT(AJ118,"0.00000")</f>
        <v>4|3|10|6.52480</v>
      </c>
      <c r="AN118" s="21" t="str">
        <f aca="false">C118&amp;"|"&amp;E118&amp;"|"&amp;G118&amp;"|"&amp;TEXT(AK118,"0.00000")</f>
        <v>4|3|10|6.52480</v>
      </c>
      <c r="AO118" s="21" t="str">
        <f aca="false">C118&amp;"|"&amp;E118&amp;"|"&amp;G118&amp;"|"&amp;TEXT(AL118,"0.00000")</f>
        <v>4|3|10|6.52480</v>
      </c>
    </row>
    <row r="119" customFormat="false" ht="15" hidden="false" customHeight="false" outlineLevel="0" collapsed="false">
      <c r="A119" s="20" t="n">
        <v>4</v>
      </c>
      <c r="B119" s="18" t="str">
        <f aca="false">INDEX(C_Name,A119)</f>
        <v>신길삼성래미안 84㎡</v>
      </c>
      <c r="C119" s="20" t="n">
        <v>5</v>
      </c>
      <c r="D119" s="21" t="str">
        <f aca="false">CHOOSE(C119,"1안 표준형(대출 최대)","2안 절충형(대출 50%)","3안 무대출형","4안 임대차 승계 후 입주","5안 매수 보류(전세 거주)")</f>
        <v>5안 매수 보류(전세 거주)</v>
      </c>
      <c r="E119" s="20" t="n">
        <v>1</v>
      </c>
      <c r="F119" s="10" t="n">
        <f aca="false">CHOOSE(E119,GrowLo,GrowMid,GrowHi)</f>
        <v>0.02</v>
      </c>
      <c r="G119" s="20" t="n">
        <v>5</v>
      </c>
      <c r="H119" s="18" t="n">
        <f aca="false">INDEX(C_Price,A119)</f>
        <v>13</v>
      </c>
      <c r="I119" s="18" t="n">
        <f aca="false">INDEX(C_Jeonse,A119)</f>
        <v>6.76</v>
      </c>
      <c r="J119" s="21" t="n">
        <f aca="false">IF(C119=5,0,IF(C119=1,INDEX(C_Loan,A119),IF(C119=2,INDEX(C_Loan,A119)*LoanShare2,IF(C119=3,0,MIN(INDEX(C_Loan,A119),I119)))))</f>
        <v>0</v>
      </c>
      <c r="K119" s="18" t="n">
        <f aca="false">IF(C119=5,0,INDEX(C_Acq,A119))</f>
        <v>0</v>
      </c>
      <c r="L119" s="18" t="n">
        <f aca="false">IF(C119=5,0,INDEX(C_Fee,A119))</f>
        <v>0</v>
      </c>
      <c r="M119" s="21" t="n">
        <f aca="false">IF(C119=4,MAX(0,I119-J119),0)</f>
        <v>0</v>
      </c>
      <c r="N119" s="21" t="n">
        <f aca="false">IF(C119=5,I119,IF(C119=4,(H119-I119)+K119+L119+M119,H119-J119+K119+L119))</f>
        <v>6.76</v>
      </c>
      <c r="O119" s="20" t="n">
        <f aca="false">IF(C119=4,RentYears,0)</f>
        <v>0</v>
      </c>
      <c r="P119" s="20" t="n">
        <f aca="false">IF(C119=5,0,MAX(0,G119-O119-NonRes))</f>
        <v>0</v>
      </c>
      <c r="Q119" s="21" t="n">
        <f aca="false">IF(C119=5,0,H119*(1+F119)^G119)</f>
        <v>0</v>
      </c>
      <c r="R119" s="21" t="n">
        <f aca="false">IF(C119=5,0,Q119*LOOKUP(Q119,FeeLo,FeeR)*(1+VAT))</f>
        <v>0</v>
      </c>
      <c r="S119" s="21" t="n">
        <f aca="false">IF(J119&gt;0,-CUMIPMT(Rm,LoanYears*12,J119,1,(G119-O119)*12,0),0)</f>
        <v>0</v>
      </c>
      <c r="T119" s="29" t="n">
        <f aca="false">IF(C119=5,0,SUMIFS(Sch_Total,Sch_Idx,A119,Sch_Scen,E119,Sch_Year,"&lt;="&amp;G119))</f>
        <v>0</v>
      </c>
      <c r="U119" s="21" t="n">
        <f aca="false">K119+L119+R119</f>
        <v>0</v>
      </c>
      <c r="V119" s="21" t="n">
        <f aca="false">IF(C119=5,0,Q119-H119-U119)</f>
        <v>0</v>
      </c>
      <c r="W119" s="21" t="n">
        <f aca="false">IF(C119=5,0,MAX(0,IF(P119&gt;=2,IF(Q119&gt;Exempt,V119*(Q119-Exempt)/Q119,0),V119)))</f>
        <v>0</v>
      </c>
      <c r="X119" s="10" t="n">
        <f aca="false">IF(P119&gt;=2,MIN(MaxDed,MIN(0.4,HoldRate*G119)+MIN(0.4,LiveRate*P119)),IF(G119&gt;=3,MIN(0.3,0.02*G119),0))</f>
        <v>0.1</v>
      </c>
      <c r="Y119" s="21" t="n">
        <f aca="false">MAX(0,W119*(1-X119)-InitDed)</f>
        <v>0</v>
      </c>
      <c r="Z119" s="29" t="n">
        <f aca="false">SUMPRODUCT((Y119&gt;CLo)*(Y119-CLo)*CD)*(1+LocalTax)</f>
        <v>0</v>
      </c>
      <c r="AA119" s="21" t="n">
        <f aca="false">K119+T119+Z119</f>
        <v>0</v>
      </c>
      <c r="AB119" s="29" t="n">
        <f aca="false">IF(C119=5,0,(Q119-H119)-K119-L119-R119-S119-T119-Z119)</f>
        <v>0</v>
      </c>
      <c r="AC119" s="21" t="n">
        <f aca="false">IF(C119=5,0,N119*((1+DepRate*(1-DepTax))^G119-1))</f>
        <v>0</v>
      </c>
      <c r="AD119" s="29" t="n">
        <f aca="false">IF(C119=5,0,AB119-AC119+I119*(((1+DepRate*(1-DepTax))^G119-1)-((1+DepRate*(1-DepTax))^O119-1)))</f>
        <v>0</v>
      </c>
      <c r="AE119" s="30" t="n">
        <f aca="false">IF(J119&gt;0,-PMT(Rm,LoanYears*12,J119)*10000,0)</f>
        <v>0</v>
      </c>
      <c r="AF119" s="21" t="n">
        <f aca="false">IF(J119&gt;0,-PMT((Rate+Stress)/12,LoanYears*12,J119)*12/DSR,0)</f>
        <v>0</v>
      </c>
      <c r="AG119" s="20" t="n">
        <f aca="false">IF(N119&lt;=CapA,1,0)</f>
        <v>1</v>
      </c>
      <c r="AH119" s="20" t="n">
        <f aca="false">IF(N119&lt;=CapB,1,0)</f>
        <v>1</v>
      </c>
      <c r="AI119" s="20" t="n">
        <f aca="false">IF(N119&lt;=CapC,1,0)</f>
        <v>1</v>
      </c>
      <c r="AJ119" s="21" t="n">
        <f aca="false">IF(AG119=1,AD119,-999)</f>
        <v>0</v>
      </c>
      <c r="AK119" s="21" t="n">
        <f aca="false">IF(AH119=1,AD119,-999)</f>
        <v>0</v>
      </c>
      <c r="AL119" s="21" t="n">
        <f aca="false">IF(AI119=1,AD119,-999)</f>
        <v>0</v>
      </c>
      <c r="AM119" s="21" t="str">
        <f aca="false">C119&amp;"|"&amp;E119&amp;"|"&amp;G119&amp;"|"&amp;TEXT(AJ119,"0.00000")</f>
        <v>5|1|5|0.00000</v>
      </c>
      <c r="AN119" s="21" t="str">
        <f aca="false">C119&amp;"|"&amp;E119&amp;"|"&amp;G119&amp;"|"&amp;TEXT(AK119,"0.00000")</f>
        <v>5|1|5|0.00000</v>
      </c>
      <c r="AO119" s="21" t="str">
        <f aca="false">C119&amp;"|"&amp;E119&amp;"|"&amp;G119&amp;"|"&amp;TEXT(AL119,"0.00000")</f>
        <v>5|1|5|0.00000</v>
      </c>
    </row>
    <row r="120" customFormat="false" ht="15" hidden="false" customHeight="false" outlineLevel="0" collapsed="false">
      <c r="A120" s="20" t="n">
        <v>4</v>
      </c>
      <c r="B120" s="18" t="str">
        <f aca="false">INDEX(C_Name,A120)</f>
        <v>신길삼성래미안 84㎡</v>
      </c>
      <c r="C120" s="20" t="n">
        <v>5</v>
      </c>
      <c r="D120" s="21" t="str">
        <f aca="false">CHOOSE(C120,"1안 표준형(대출 최대)","2안 절충형(대출 50%)","3안 무대출형","4안 임대차 승계 후 입주","5안 매수 보류(전세 거주)")</f>
        <v>5안 매수 보류(전세 거주)</v>
      </c>
      <c r="E120" s="20" t="n">
        <v>1</v>
      </c>
      <c r="F120" s="10" t="n">
        <f aca="false">CHOOSE(E120,GrowLo,GrowMid,GrowHi)</f>
        <v>0.02</v>
      </c>
      <c r="G120" s="20" t="n">
        <v>10</v>
      </c>
      <c r="H120" s="18" t="n">
        <f aca="false">INDEX(C_Price,A120)</f>
        <v>13</v>
      </c>
      <c r="I120" s="18" t="n">
        <f aca="false">INDEX(C_Jeonse,A120)</f>
        <v>6.76</v>
      </c>
      <c r="J120" s="21" t="n">
        <f aca="false">IF(C120=5,0,IF(C120=1,INDEX(C_Loan,A120),IF(C120=2,INDEX(C_Loan,A120)*LoanShare2,IF(C120=3,0,MIN(INDEX(C_Loan,A120),I120)))))</f>
        <v>0</v>
      </c>
      <c r="K120" s="18" t="n">
        <f aca="false">IF(C120=5,0,INDEX(C_Acq,A120))</f>
        <v>0</v>
      </c>
      <c r="L120" s="18" t="n">
        <f aca="false">IF(C120=5,0,INDEX(C_Fee,A120))</f>
        <v>0</v>
      </c>
      <c r="M120" s="21" t="n">
        <f aca="false">IF(C120=4,MAX(0,I120-J120),0)</f>
        <v>0</v>
      </c>
      <c r="N120" s="21" t="n">
        <f aca="false">IF(C120=5,I120,IF(C120=4,(H120-I120)+K120+L120+M120,H120-J120+K120+L120))</f>
        <v>6.76</v>
      </c>
      <c r="O120" s="20" t="n">
        <f aca="false">IF(C120=4,RentYears,0)</f>
        <v>0</v>
      </c>
      <c r="P120" s="20" t="n">
        <f aca="false">IF(C120=5,0,MAX(0,G120-O120-NonRes))</f>
        <v>0</v>
      </c>
      <c r="Q120" s="21" t="n">
        <f aca="false">IF(C120=5,0,H120*(1+F120)^G120)</f>
        <v>0</v>
      </c>
      <c r="R120" s="21" t="n">
        <f aca="false">IF(C120=5,0,Q120*LOOKUP(Q120,FeeLo,FeeR)*(1+VAT))</f>
        <v>0</v>
      </c>
      <c r="S120" s="21" t="n">
        <f aca="false">IF(J120&gt;0,-CUMIPMT(Rm,LoanYears*12,J120,1,(G120-O120)*12,0),0)</f>
        <v>0</v>
      </c>
      <c r="T120" s="29" t="n">
        <f aca="false">IF(C120=5,0,SUMIFS(Sch_Total,Sch_Idx,A120,Sch_Scen,E120,Sch_Year,"&lt;="&amp;G120))</f>
        <v>0</v>
      </c>
      <c r="U120" s="21" t="n">
        <f aca="false">K120+L120+R120</f>
        <v>0</v>
      </c>
      <c r="V120" s="21" t="n">
        <f aca="false">IF(C120=5,0,Q120-H120-U120)</f>
        <v>0</v>
      </c>
      <c r="W120" s="21" t="n">
        <f aca="false">IF(C120=5,0,MAX(0,IF(P120&gt;=2,IF(Q120&gt;Exempt,V120*(Q120-Exempt)/Q120,0),V120)))</f>
        <v>0</v>
      </c>
      <c r="X120" s="10" t="n">
        <f aca="false">IF(P120&gt;=2,MIN(MaxDed,MIN(0.4,HoldRate*G120)+MIN(0.4,LiveRate*P120)),IF(G120&gt;=3,MIN(0.3,0.02*G120),0))</f>
        <v>0.2</v>
      </c>
      <c r="Y120" s="21" t="n">
        <f aca="false">MAX(0,W120*(1-X120)-InitDed)</f>
        <v>0</v>
      </c>
      <c r="Z120" s="29" t="n">
        <f aca="false">SUMPRODUCT((Y120&gt;CLo)*(Y120-CLo)*CD)*(1+LocalTax)</f>
        <v>0</v>
      </c>
      <c r="AA120" s="21" t="n">
        <f aca="false">K120+T120+Z120</f>
        <v>0</v>
      </c>
      <c r="AB120" s="29" t="n">
        <f aca="false">IF(C120=5,0,(Q120-H120)-K120-L120-R120-S120-T120-Z120)</f>
        <v>0</v>
      </c>
      <c r="AC120" s="21" t="n">
        <f aca="false">IF(C120=5,0,N120*((1+DepRate*(1-DepTax))^G120-1))</f>
        <v>0</v>
      </c>
      <c r="AD120" s="29" t="n">
        <f aca="false">IF(C120=5,0,AB120-AC120+I120*(((1+DepRate*(1-DepTax))^G120-1)-((1+DepRate*(1-DepTax))^O120-1)))</f>
        <v>0</v>
      </c>
      <c r="AE120" s="30" t="n">
        <f aca="false">IF(J120&gt;0,-PMT(Rm,LoanYears*12,J120)*10000,0)</f>
        <v>0</v>
      </c>
      <c r="AF120" s="21" t="n">
        <f aca="false">IF(J120&gt;0,-PMT((Rate+Stress)/12,LoanYears*12,J120)*12/DSR,0)</f>
        <v>0</v>
      </c>
      <c r="AG120" s="20" t="n">
        <f aca="false">IF(N120&lt;=CapA,1,0)</f>
        <v>1</v>
      </c>
      <c r="AH120" s="20" t="n">
        <f aca="false">IF(N120&lt;=CapB,1,0)</f>
        <v>1</v>
      </c>
      <c r="AI120" s="20" t="n">
        <f aca="false">IF(N120&lt;=CapC,1,0)</f>
        <v>1</v>
      </c>
      <c r="AJ120" s="21" t="n">
        <f aca="false">IF(AG120=1,AD120,-999)</f>
        <v>0</v>
      </c>
      <c r="AK120" s="21" t="n">
        <f aca="false">IF(AH120=1,AD120,-999)</f>
        <v>0</v>
      </c>
      <c r="AL120" s="21" t="n">
        <f aca="false">IF(AI120=1,AD120,-999)</f>
        <v>0</v>
      </c>
      <c r="AM120" s="21" t="str">
        <f aca="false">C120&amp;"|"&amp;E120&amp;"|"&amp;G120&amp;"|"&amp;TEXT(AJ120,"0.00000")</f>
        <v>5|1|10|0.00000</v>
      </c>
      <c r="AN120" s="21" t="str">
        <f aca="false">C120&amp;"|"&amp;E120&amp;"|"&amp;G120&amp;"|"&amp;TEXT(AK120,"0.00000")</f>
        <v>5|1|10|0.00000</v>
      </c>
      <c r="AO120" s="21" t="str">
        <f aca="false">C120&amp;"|"&amp;E120&amp;"|"&amp;G120&amp;"|"&amp;TEXT(AL120,"0.00000")</f>
        <v>5|1|10|0.00000</v>
      </c>
    </row>
    <row r="121" customFormat="false" ht="15" hidden="false" customHeight="false" outlineLevel="0" collapsed="false">
      <c r="A121" s="20" t="n">
        <v>4</v>
      </c>
      <c r="B121" s="18" t="str">
        <f aca="false">INDEX(C_Name,A121)</f>
        <v>신길삼성래미안 84㎡</v>
      </c>
      <c r="C121" s="20" t="n">
        <v>5</v>
      </c>
      <c r="D121" s="21" t="str">
        <f aca="false">CHOOSE(C121,"1안 표준형(대출 최대)","2안 절충형(대출 50%)","3안 무대출형","4안 임대차 승계 후 입주","5안 매수 보류(전세 거주)")</f>
        <v>5안 매수 보류(전세 거주)</v>
      </c>
      <c r="E121" s="20" t="n">
        <v>2</v>
      </c>
      <c r="F121" s="10" t="n">
        <f aca="false">CHOOSE(E121,GrowLo,GrowMid,GrowHi)</f>
        <v>0.04</v>
      </c>
      <c r="G121" s="20" t="n">
        <v>5</v>
      </c>
      <c r="H121" s="18" t="n">
        <f aca="false">INDEX(C_Price,A121)</f>
        <v>13</v>
      </c>
      <c r="I121" s="18" t="n">
        <f aca="false">INDEX(C_Jeonse,A121)</f>
        <v>6.76</v>
      </c>
      <c r="J121" s="21" t="n">
        <f aca="false">IF(C121=5,0,IF(C121=1,INDEX(C_Loan,A121),IF(C121=2,INDEX(C_Loan,A121)*LoanShare2,IF(C121=3,0,MIN(INDEX(C_Loan,A121),I121)))))</f>
        <v>0</v>
      </c>
      <c r="K121" s="18" t="n">
        <f aca="false">IF(C121=5,0,INDEX(C_Acq,A121))</f>
        <v>0</v>
      </c>
      <c r="L121" s="18" t="n">
        <f aca="false">IF(C121=5,0,INDEX(C_Fee,A121))</f>
        <v>0</v>
      </c>
      <c r="M121" s="21" t="n">
        <f aca="false">IF(C121=4,MAX(0,I121-J121),0)</f>
        <v>0</v>
      </c>
      <c r="N121" s="21" t="n">
        <f aca="false">IF(C121=5,I121,IF(C121=4,(H121-I121)+K121+L121+M121,H121-J121+K121+L121))</f>
        <v>6.76</v>
      </c>
      <c r="O121" s="20" t="n">
        <f aca="false">IF(C121=4,RentYears,0)</f>
        <v>0</v>
      </c>
      <c r="P121" s="20" t="n">
        <f aca="false">IF(C121=5,0,MAX(0,G121-O121-NonRes))</f>
        <v>0</v>
      </c>
      <c r="Q121" s="21" t="n">
        <f aca="false">IF(C121=5,0,H121*(1+F121)^G121)</f>
        <v>0</v>
      </c>
      <c r="R121" s="21" t="n">
        <f aca="false">IF(C121=5,0,Q121*LOOKUP(Q121,FeeLo,FeeR)*(1+VAT))</f>
        <v>0</v>
      </c>
      <c r="S121" s="21" t="n">
        <f aca="false">IF(J121&gt;0,-CUMIPMT(Rm,LoanYears*12,J121,1,(G121-O121)*12,0),0)</f>
        <v>0</v>
      </c>
      <c r="T121" s="29" t="n">
        <f aca="false">IF(C121=5,0,SUMIFS(Sch_Total,Sch_Idx,A121,Sch_Scen,E121,Sch_Year,"&lt;="&amp;G121))</f>
        <v>0</v>
      </c>
      <c r="U121" s="21" t="n">
        <f aca="false">K121+L121+R121</f>
        <v>0</v>
      </c>
      <c r="V121" s="21" t="n">
        <f aca="false">IF(C121=5,0,Q121-H121-U121)</f>
        <v>0</v>
      </c>
      <c r="W121" s="21" t="n">
        <f aca="false">IF(C121=5,0,MAX(0,IF(P121&gt;=2,IF(Q121&gt;Exempt,V121*(Q121-Exempt)/Q121,0),V121)))</f>
        <v>0</v>
      </c>
      <c r="X121" s="10" t="n">
        <f aca="false">IF(P121&gt;=2,MIN(MaxDed,MIN(0.4,HoldRate*G121)+MIN(0.4,LiveRate*P121)),IF(G121&gt;=3,MIN(0.3,0.02*G121),0))</f>
        <v>0.1</v>
      </c>
      <c r="Y121" s="21" t="n">
        <f aca="false">MAX(0,W121*(1-X121)-InitDed)</f>
        <v>0</v>
      </c>
      <c r="Z121" s="29" t="n">
        <f aca="false">SUMPRODUCT((Y121&gt;CLo)*(Y121-CLo)*CD)*(1+LocalTax)</f>
        <v>0</v>
      </c>
      <c r="AA121" s="21" t="n">
        <f aca="false">K121+T121+Z121</f>
        <v>0</v>
      </c>
      <c r="AB121" s="29" t="n">
        <f aca="false">IF(C121=5,0,(Q121-H121)-K121-L121-R121-S121-T121-Z121)</f>
        <v>0</v>
      </c>
      <c r="AC121" s="21" t="n">
        <f aca="false">IF(C121=5,0,N121*((1+DepRate*(1-DepTax))^G121-1))</f>
        <v>0</v>
      </c>
      <c r="AD121" s="29" t="n">
        <f aca="false">IF(C121=5,0,AB121-AC121+I121*(((1+DepRate*(1-DepTax))^G121-1)-((1+DepRate*(1-DepTax))^O121-1)))</f>
        <v>0</v>
      </c>
      <c r="AE121" s="30" t="n">
        <f aca="false">IF(J121&gt;0,-PMT(Rm,LoanYears*12,J121)*10000,0)</f>
        <v>0</v>
      </c>
      <c r="AF121" s="21" t="n">
        <f aca="false">IF(J121&gt;0,-PMT((Rate+Stress)/12,LoanYears*12,J121)*12/DSR,0)</f>
        <v>0</v>
      </c>
      <c r="AG121" s="20" t="n">
        <f aca="false">IF(N121&lt;=CapA,1,0)</f>
        <v>1</v>
      </c>
      <c r="AH121" s="20" t="n">
        <f aca="false">IF(N121&lt;=CapB,1,0)</f>
        <v>1</v>
      </c>
      <c r="AI121" s="20" t="n">
        <f aca="false">IF(N121&lt;=CapC,1,0)</f>
        <v>1</v>
      </c>
      <c r="AJ121" s="21" t="n">
        <f aca="false">IF(AG121=1,AD121,-999)</f>
        <v>0</v>
      </c>
      <c r="AK121" s="21" t="n">
        <f aca="false">IF(AH121=1,AD121,-999)</f>
        <v>0</v>
      </c>
      <c r="AL121" s="21" t="n">
        <f aca="false">IF(AI121=1,AD121,-999)</f>
        <v>0</v>
      </c>
      <c r="AM121" s="21" t="str">
        <f aca="false">C121&amp;"|"&amp;E121&amp;"|"&amp;G121&amp;"|"&amp;TEXT(AJ121,"0.00000")</f>
        <v>5|2|5|0.00000</v>
      </c>
      <c r="AN121" s="21" t="str">
        <f aca="false">C121&amp;"|"&amp;E121&amp;"|"&amp;G121&amp;"|"&amp;TEXT(AK121,"0.00000")</f>
        <v>5|2|5|0.00000</v>
      </c>
      <c r="AO121" s="21" t="str">
        <f aca="false">C121&amp;"|"&amp;E121&amp;"|"&amp;G121&amp;"|"&amp;TEXT(AL121,"0.00000")</f>
        <v>5|2|5|0.00000</v>
      </c>
    </row>
    <row r="122" customFormat="false" ht="15" hidden="false" customHeight="false" outlineLevel="0" collapsed="false">
      <c r="A122" s="20" t="n">
        <v>4</v>
      </c>
      <c r="B122" s="18" t="str">
        <f aca="false">INDEX(C_Name,A122)</f>
        <v>신길삼성래미안 84㎡</v>
      </c>
      <c r="C122" s="20" t="n">
        <v>5</v>
      </c>
      <c r="D122" s="21" t="str">
        <f aca="false">CHOOSE(C122,"1안 표준형(대출 최대)","2안 절충형(대출 50%)","3안 무대출형","4안 임대차 승계 후 입주","5안 매수 보류(전세 거주)")</f>
        <v>5안 매수 보류(전세 거주)</v>
      </c>
      <c r="E122" s="20" t="n">
        <v>2</v>
      </c>
      <c r="F122" s="10" t="n">
        <f aca="false">CHOOSE(E122,GrowLo,GrowMid,GrowHi)</f>
        <v>0.04</v>
      </c>
      <c r="G122" s="20" t="n">
        <v>10</v>
      </c>
      <c r="H122" s="18" t="n">
        <f aca="false">INDEX(C_Price,A122)</f>
        <v>13</v>
      </c>
      <c r="I122" s="18" t="n">
        <f aca="false">INDEX(C_Jeonse,A122)</f>
        <v>6.76</v>
      </c>
      <c r="J122" s="21" t="n">
        <f aca="false">IF(C122=5,0,IF(C122=1,INDEX(C_Loan,A122),IF(C122=2,INDEX(C_Loan,A122)*LoanShare2,IF(C122=3,0,MIN(INDEX(C_Loan,A122),I122)))))</f>
        <v>0</v>
      </c>
      <c r="K122" s="18" t="n">
        <f aca="false">IF(C122=5,0,INDEX(C_Acq,A122))</f>
        <v>0</v>
      </c>
      <c r="L122" s="18" t="n">
        <f aca="false">IF(C122=5,0,INDEX(C_Fee,A122))</f>
        <v>0</v>
      </c>
      <c r="M122" s="21" t="n">
        <f aca="false">IF(C122=4,MAX(0,I122-J122),0)</f>
        <v>0</v>
      </c>
      <c r="N122" s="21" t="n">
        <f aca="false">IF(C122=5,I122,IF(C122=4,(H122-I122)+K122+L122+M122,H122-J122+K122+L122))</f>
        <v>6.76</v>
      </c>
      <c r="O122" s="20" t="n">
        <f aca="false">IF(C122=4,RentYears,0)</f>
        <v>0</v>
      </c>
      <c r="P122" s="20" t="n">
        <f aca="false">IF(C122=5,0,MAX(0,G122-O122-NonRes))</f>
        <v>0</v>
      </c>
      <c r="Q122" s="21" t="n">
        <f aca="false">IF(C122=5,0,H122*(1+F122)^G122)</f>
        <v>0</v>
      </c>
      <c r="R122" s="21" t="n">
        <f aca="false">IF(C122=5,0,Q122*LOOKUP(Q122,FeeLo,FeeR)*(1+VAT))</f>
        <v>0</v>
      </c>
      <c r="S122" s="21" t="n">
        <f aca="false">IF(J122&gt;0,-CUMIPMT(Rm,LoanYears*12,J122,1,(G122-O122)*12,0),0)</f>
        <v>0</v>
      </c>
      <c r="T122" s="29" t="n">
        <f aca="false">IF(C122=5,0,SUMIFS(Sch_Total,Sch_Idx,A122,Sch_Scen,E122,Sch_Year,"&lt;="&amp;G122))</f>
        <v>0</v>
      </c>
      <c r="U122" s="21" t="n">
        <f aca="false">K122+L122+R122</f>
        <v>0</v>
      </c>
      <c r="V122" s="21" t="n">
        <f aca="false">IF(C122=5,0,Q122-H122-U122)</f>
        <v>0</v>
      </c>
      <c r="W122" s="21" t="n">
        <f aca="false">IF(C122=5,0,MAX(0,IF(P122&gt;=2,IF(Q122&gt;Exempt,V122*(Q122-Exempt)/Q122,0),V122)))</f>
        <v>0</v>
      </c>
      <c r="X122" s="10" t="n">
        <f aca="false">IF(P122&gt;=2,MIN(MaxDed,MIN(0.4,HoldRate*G122)+MIN(0.4,LiveRate*P122)),IF(G122&gt;=3,MIN(0.3,0.02*G122),0))</f>
        <v>0.2</v>
      </c>
      <c r="Y122" s="21" t="n">
        <f aca="false">MAX(0,W122*(1-X122)-InitDed)</f>
        <v>0</v>
      </c>
      <c r="Z122" s="29" t="n">
        <f aca="false">SUMPRODUCT((Y122&gt;CLo)*(Y122-CLo)*CD)*(1+LocalTax)</f>
        <v>0</v>
      </c>
      <c r="AA122" s="21" t="n">
        <f aca="false">K122+T122+Z122</f>
        <v>0</v>
      </c>
      <c r="AB122" s="29" t="n">
        <f aca="false">IF(C122=5,0,(Q122-H122)-K122-L122-R122-S122-T122-Z122)</f>
        <v>0</v>
      </c>
      <c r="AC122" s="21" t="n">
        <f aca="false">IF(C122=5,0,N122*((1+DepRate*(1-DepTax))^G122-1))</f>
        <v>0</v>
      </c>
      <c r="AD122" s="29" t="n">
        <f aca="false">IF(C122=5,0,AB122-AC122+I122*(((1+DepRate*(1-DepTax))^G122-1)-((1+DepRate*(1-DepTax))^O122-1)))</f>
        <v>0</v>
      </c>
      <c r="AE122" s="30" t="n">
        <f aca="false">IF(J122&gt;0,-PMT(Rm,LoanYears*12,J122)*10000,0)</f>
        <v>0</v>
      </c>
      <c r="AF122" s="21" t="n">
        <f aca="false">IF(J122&gt;0,-PMT((Rate+Stress)/12,LoanYears*12,J122)*12/DSR,0)</f>
        <v>0</v>
      </c>
      <c r="AG122" s="20" t="n">
        <f aca="false">IF(N122&lt;=CapA,1,0)</f>
        <v>1</v>
      </c>
      <c r="AH122" s="20" t="n">
        <f aca="false">IF(N122&lt;=CapB,1,0)</f>
        <v>1</v>
      </c>
      <c r="AI122" s="20" t="n">
        <f aca="false">IF(N122&lt;=CapC,1,0)</f>
        <v>1</v>
      </c>
      <c r="AJ122" s="21" t="n">
        <f aca="false">IF(AG122=1,AD122,-999)</f>
        <v>0</v>
      </c>
      <c r="AK122" s="21" t="n">
        <f aca="false">IF(AH122=1,AD122,-999)</f>
        <v>0</v>
      </c>
      <c r="AL122" s="21" t="n">
        <f aca="false">IF(AI122=1,AD122,-999)</f>
        <v>0</v>
      </c>
      <c r="AM122" s="21" t="str">
        <f aca="false">C122&amp;"|"&amp;E122&amp;"|"&amp;G122&amp;"|"&amp;TEXT(AJ122,"0.00000")</f>
        <v>5|2|10|0.00000</v>
      </c>
      <c r="AN122" s="21" t="str">
        <f aca="false">C122&amp;"|"&amp;E122&amp;"|"&amp;G122&amp;"|"&amp;TEXT(AK122,"0.00000")</f>
        <v>5|2|10|0.00000</v>
      </c>
      <c r="AO122" s="21" t="str">
        <f aca="false">C122&amp;"|"&amp;E122&amp;"|"&amp;G122&amp;"|"&amp;TEXT(AL122,"0.00000")</f>
        <v>5|2|10|0.00000</v>
      </c>
    </row>
    <row r="123" customFormat="false" ht="15" hidden="false" customHeight="false" outlineLevel="0" collapsed="false">
      <c r="A123" s="20" t="n">
        <v>4</v>
      </c>
      <c r="B123" s="18" t="str">
        <f aca="false">INDEX(C_Name,A123)</f>
        <v>신길삼성래미안 84㎡</v>
      </c>
      <c r="C123" s="20" t="n">
        <v>5</v>
      </c>
      <c r="D123" s="21" t="str">
        <f aca="false">CHOOSE(C123,"1안 표준형(대출 최대)","2안 절충형(대출 50%)","3안 무대출형","4안 임대차 승계 후 입주","5안 매수 보류(전세 거주)")</f>
        <v>5안 매수 보류(전세 거주)</v>
      </c>
      <c r="E123" s="20" t="n">
        <v>3</v>
      </c>
      <c r="F123" s="10" t="n">
        <f aca="false">CHOOSE(E123,GrowLo,GrowMid,GrowHi)</f>
        <v>0.06</v>
      </c>
      <c r="G123" s="20" t="n">
        <v>5</v>
      </c>
      <c r="H123" s="18" t="n">
        <f aca="false">INDEX(C_Price,A123)</f>
        <v>13</v>
      </c>
      <c r="I123" s="18" t="n">
        <f aca="false">INDEX(C_Jeonse,A123)</f>
        <v>6.76</v>
      </c>
      <c r="J123" s="21" t="n">
        <f aca="false">IF(C123=5,0,IF(C123=1,INDEX(C_Loan,A123),IF(C123=2,INDEX(C_Loan,A123)*LoanShare2,IF(C123=3,0,MIN(INDEX(C_Loan,A123),I123)))))</f>
        <v>0</v>
      </c>
      <c r="K123" s="18" t="n">
        <f aca="false">IF(C123=5,0,INDEX(C_Acq,A123))</f>
        <v>0</v>
      </c>
      <c r="L123" s="18" t="n">
        <f aca="false">IF(C123=5,0,INDEX(C_Fee,A123))</f>
        <v>0</v>
      </c>
      <c r="M123" s="21" t="n">
        <f aca="false">IF(C123=4,MAX(0,I123-J123),0)</f>
        <v>0</v>
      </c>
      <c r="N123" s="21" t="n">
        <f aca="false">IF(C123=5,I123,IF(C123=4,(H123-I123)+K123+L123+M123,H123-J123+K123+L123))</f>
        <v>6.76</v>
      </c>
      <c r="O123" s="20" t="n">
        <f aca="false">IF(C123=4,RentYears,0)</f>
        <v>0</v>
      </c>
      <c r="P123" s="20" t="n">
        <f aca="false">IF(C123=5,0,MAX(0,G123-O123-NonRes))</f>
        <v>0</v>
      </c>
      <c r="Q123" s="21" t="n">
        <f aca="false">IF(C123=5,0,H123*(1+F123)^G123)</f>
        <v>0</v>
      </c>
      <c r="R123" s="21" t="n">
        <f aca="false">IF(C123=5,0,Q123*LOOKUP(Q123,FeeLo,FeeR)*(1+VAT))</f>
        <v>0</v>
      </c>
      <c r="S123" s="21" t="n">
        <f aca="false">IF(J123&gt;0,-CUMIPMT(Rm,LoanYears*12,J123,1,(G123-O123)*12,0),0)</f>
        <v>0</v>
      </c>
      <c r="T123" s="29" t="n">
        <f aca="false">IF(C123=5,0,SUMIFS(Sch_Total,Sch_Idx,A123,Sch_Scen,E123,Sch_Year,"&lt;="&amp;G123))</f>
        <v>0</v>
      </c>
      <c r="U123" s="21" t="n">
        <f aca="false">K123+L123+R123</f>
        <v>0</v>
      </c>
      <c r="V123" s="21" t="n">
        <f aca="false">IF(C123=5,0,Q123-H123-U123)</f>
        <v>0</v>
      </c>
      <c r="W123" s="21" t="n">
        <f aca="false">IF(C123=5,0,MAX(0,IF(P123&gt;=2,IF(Q123&gt;Exempt,V123*(Q123-Exempt)/Q123,0),V123)))</f>
        <v>0</v>
      </c>
      <c r="X123" s="10" t="n">
        <f aca="false">IF(P123&gt;=2,MIN(MaxDed,MIN(0.4,HoldRate*G123)+MIN(0.4,LiveRate*P123)),IF(G123&gt;=3,MIN(0.3,0.02*G123),0))</f>
        <v>0.1</v>
      </c>
      <c r="Y123" s="21" t="n">
        <f aca="false">MAX(0,W123*(1-X123)-InitDed)</f>
        <v>0</v>
      </c>
      <c r="Z123" s="29" t="n">
        <f aca="false">SUMPRODUCT((Y123&gt;CLo)*(Y123-CLo)*CD)*(1+LocalTax)</f>
        <v>0</v>
      </c>
      <c r="AA123" s="21" t="n">
        <f aca="false">K123+T123+Z123</f>
        <v>0</v>
      </c>
      <c r="AB123" s="29" t="n">
        <f aca="false">IF(C123=5,0,(Q123-H123)-K123-L123-R123-S123-T123-Z123)</f>
        <v>0</v>
      </c>
      <c r="AC123" s="21" t="n">
        <f aca="false">IF(C123=5,0,N123*((1+DepRate*(1-DepTax))^G123-1))</f>
        <v>0</v>
      </c>
      <c r="AD123" s="29" t="n">
        <f aca="false">IF(C123=5,0,AB123-AC123+I123*(((1+DepRate*(1-DepTax))^G123-1)-((1+DepRate*(1-DepTax))^O123-1)))</f>
        <v>0</v>
      </c>
      <c r="AE123" s="30" t="n">
        <f aca="false">IF(J123&gt;0,-PMT(Rm,LoanYears*12,J123)*10000,0)</f>
        <v>0</v>
      </c>
      <c r="AF123" s="21" t="n">
        <f aca="false">IF(J123&gt;0,-PMT((Rate+Stress)/12,LoanYears*12,J123)*12/DSR,0)</f>
        <v>0</v>
      </c>
      <c r="AG123" s="20" t="n">
        <f aca="false">IF(N123&lt;=CapA,1,0)</f>
        <v>1</v>
      </c>
      <c r="AH123" s="20" t="n">
        <f aca="false">IF(N123&lt;=CapB,1,0)</f>
        <v>1</v>
      </c>
      <c r="AI123" s="20" t="n">
        <f aca="false">IF(N123&lt;=CapC,1,0)</f>
        <v>1</v>
      </c>
      <c r="AJ123" s="21" t="n">
        <f aca="false">IF(AG123=1,AD123,-999)</f>
        <v>0</v>
      </c>
      <c r="AK123" s="21" t="n">
        <f aca="false">IF(AH123=1,AD123,-999)</f>
        <v>0</v>
      </c>
      <c r="AL123" s="21" t="n">
        <f aca="false">IF(AI123=1,AD123,-999)</f>
        <v>0</v>
      </c>
      <c r="AM123" s="21" t="str">
        <f aca="false">C123&amp;"|"&amp;E123&amp;"|"&amp;G123&amp;"|"&amp;TEXT(AJ123,"0.00000")</f>
        <v>5|3|5|0.00000</v>
      </c>
      <c r="AN123" s="21" t="str">
        <f aca="false">C123&amp;"|"&amp;E123&amp;"|"&amp;G123&amp;"|"&amp;TEXT(AK123,"0.00000")</f>
        <v>5|3|5|0.00000</v>
      </c>
      <c r="AO123" s="21" t="str">
        <f aca="false">C123&amp;"|"&amp;E123&amp;"|"&amp;G123&amp;"|"&amp;TEXT(AL123,"0.00000")</f>
        <v>5|3|5|0.00000</v>
      </c>
    </row>
    <row r="124" customFormat="false" ht="15" hidden="false" customHeight="false" outlineLevel="0" collapsed="false">
      <c r="A124" s="20" t="n">
        <v>4</v>
      </c>
      <c r="B124" s="18" t="str">
        <f aca="false">INDEX(C_Name,A124)</f>
        <v>신길삼성래미안 84㎡</v>
      </c>
      <c r="C124" s="20" t="n">
        <v>5</v>
      </c>
      <c r="D124" s="21" t="str">
        <f aca="false">CHOOSE(C124,"1안 표준형(대출 최대)","2안 절충형(대출 50%)","3안 무대출형","4안 임대차 승계 후 입주","5안 매수 보류(전세 거주)")</f>
        <v>5안 매수 보류(전세 거주)</v>
      </c>
      <c r="E124" s="20" t="n">
        <v>3</v>
      </c>
      <c r="F124" s="10" t="n">
        <f aca="false">CHOOSE(E124,GrowLo,GrowMid,GrowHi)</f>
        <v>0.06</v>
      </c>
      <c r="G124" s="20" t="n">
        <v>10</v>
      </c>
      <c r="H124" s="18" t="n">
        <f aca="false">INDEX(C_Price,A124)</f>
        <v>13</v>
      </c>
      <c r="I124" s="18" t="n">
        <f aca="false">INDEX(C_Jeonse,A124)</f>
        <v>6.76</v>
      </c>
      <c r="J124" s="21" t="n">
        <f aca="false">IF(C124=5,0,IF(C124=1,INDEX(C_Loan,A124),IF(C124=2,INDEX(C_Loan,A124)*LoanShare2,IF(C124=3,0,MIN(INDEX(C_Loan,A124),I124)))))</f>
        <v>0</v>
      </c>
      <c r="K124" s="18" t="n">
        <f aca="false">IF(C124=5,0,INDEX(C_Acq,A124))</f>
        <v>0</v>
      </c>
      <c r="L124" s="18" t="n">
        <f aca="false">IF(C124=5,0,INDEX(C_Fee,A124))</f>
        <v>0</v>
      </c>
      <c r="M124" s="21" t="n">
        <f aca="false">IF(C124=4,MAX(0,I124-J124),0)</f>
        <v>0</v>
      </c>
      <c r="N124" s="21" t="n">
        <f aca="false">IF(C124=5,I124,IF(C124=4,(H124-I124)+K124+L124+M124,H124-J124+K124+L124))</f>
        <v>6.76</v>
      </c>
      <c r="O124" s="20" t="n">
        <f aca="false">IF(C124=4,RentYears,0)</f>
        <v>0</v>
      </c>
      <c r="P124" s="20" t="n">
        <f aca="false">IF(C124=5,0,MAX(0,G124-O124-NonRes))</f>
        <v>0</v>
      </c>
      <c r="Q124" s="21" t="n">
        <f aca="false">IF(C124=5,0,H124*(1+F124)^G124)</f>
        <v>0</v>
      </c>
      <c r="R124" s="21" t="n">
        <f aca="false">IF(C124=5,0,Q124*LOOKUP(Q124,FeeLo,FeeR)*(1+VAT))</f>
        <v>0</v>
      </c>
      <c r="S124" s="21" t="n">
        <f aca="false">IF(J124&gt;0,-CUMIPMT(Rm,LoanYears*12,J124,1,(G124-O124)*12,0),0)</f>
        <v>0</v>
      </c>
      <c r="T124" s="29" t="n">
        <f aca="false">IF(C124=5,0,SUMIFS(Sch_Total,Sch_Idx,A124,Sch_Scen,E124,Sch_Year,"&lt;="&amp;G124))</f>
        <v>0</v>
      </c>
      <c r="U124" s="21" t="n">
        <f aca="false">K124+L124+R124</f>
        <v>0</v>
      </c>
      <c r="V124" s="21" t="n">
        <f aca="false">IF(C124=5,0,Q124-H124-U124)</f>
        <v>0</v>
      </c>
      <c r="W124" s="21" t="n">
        <f aca="false">IF(C124=5,0,MAX(0,IF(P124&gt;=2,IF(Q124&gt;Exempt,V124*(Q124-Exempt)/Q124,0),V124)))</f>
        <v>0</v>
      </c>
      <c r="X124" s="10" t="n">
        <f aca="false">IF(P124&gt;=2,MIN(MaxDed,MIN(0.4,HoldRate*G124)+MIN(0.4,LiveRate*P124)),IF(G124&gt;=3,MIN(0.3,0.02*G124),0))</f>
        <v>0.2</v>
      </c>
      <c r="Y124" s="21" t="n">
        <f aca="false">MAX(0,W124*(1-X124)-InitDed)</f>
        <v>0</v>
      </c>
      <c r="Z124" s="29" t="n">
        <f aca="false">SUMPRODUCT((Y124&gt;CLo)*(Y124-CLo)*CD)*(1+LocalTax)</f>
        <v>0</v>
      </c>
      <c r="AA124" s="21" t="n">
        <f aca="false">K124+T124+Z124</f>
        <v>0</v>
      </c>
      <c r="AB124" s="29" t="n">
        <f aca="false">IF(C124=5,0,(Q124-H124)-K124-L124-R124-S124-T124-Z124)</f>
        <v>0</v>
      </c>
      <c r="AC124" s="21" t="n">
        <f aca="false">IF(C124=5,0,N124*((1+DepRate*(1-DepTax))^G124-1))</f>
        <v>0</v>
      </c>
      <c r="AD124" s="29" t="n">
        <f aca="false">IF(C124=5,0,AB124-AC124+I124*(((1+DepRate*(1-DepTax))^G124-1)-((1+DepRate*(1-DepTax))^O124-1)))</f>
        <v>0</v>
      </c>
      <c r="AE124" s="30" t="n">
        <f aca="false">IF(J124&gt;0,-PMT(Rm,LoanYears*12,J124)*10000,0)</f>
        <v>0</v>
      </c>
      <c r="AF124" s="21" t="n">
        <f aca="false">IF(J124&gt;0,-PMT((Rate+Stress)/12,LoanYears*12,J124)*12/DSR,0)</f>
        <v>0</v>
      </c>
      <c r="AG124" s="20" t="n">
        <f aca="false">IF(N124&lt;=CapA,1,0)</f>
        <v>1</v>
      </c>
      <c r="AH124" s="20" t="n">
        <f aca="false">IF(N124&lt;=CapB,1,0)</f>
        <v>1</v>
      </c>
      <c r="AI124" s="20" t="n">
        <f aca="false">IF(N124&lt;=CapC,1,0)</f>
        <v>1</v>
      </c>
      <c r="AJ124" s="21" t="n">
        <f aca="false">IF(AG124=1,AD124,-999)</f>
        <v>0</v>
      </c>
      <c r="AK124" s="21" t="n">
        <f aca="false">IF(AH124=1,AD124,-999)</f>
        <v>0</v>
      </c>
      <c r="AL124" s="21" t="n">
        <f aca="false">IF(AI124=1,AD124,-999)</f>
        <v>0</v>
      </c>
      <c r="AM124" s="21" t="str">
        <f aca="false">C124&amp;"|"&amp;E124&amp;"|"&amp;G124&amp;"|"&amp;TEXT(AJ124,"0.00000")</f>
        <v>5|3|10|0.00000</v>
      </c>
      <c r="AN124" s="21" t="str">
        <f aca="false">C124&amp;"|"&amp;E124&amp;"|"&amp;G124&amp;"|"&amp;TEXT(AK124,"0.00000")</f>
        <v>5|3|10|0.00000</v>
      </c>
      <c r="AO124" s="21" t="str">
        <f aca="false">C124&amp;"|"&amp;E124&amp;"|"&amp;G124&amp;"|"&amp;TEXT(AL124,"0.00000")</f>
        <v>5|3|10|0.00000</v>
      </c>
    </row>
    <row r="125" customFormat="false" ht="15" hidden="false" customHeight="false" outlineLevel="0" collapsed="false">
      <c r="A125" s="20" t="n">
        <v>5</v>
      </c>
      <c r="B125" s="18" t="str">
        <f aca="false">INDEX(C_Name,A125)</f>
        <v>신길 래미안에스티움 84㎡</v>
      </c>
      <c r="C125" s="20" t="n">
        <v>1</v>
      </c>
      <c r="D125" s="21" t="str">
        <f aca="false">CHOOSE(C125,"1안 표준형(대출 최대)","2안 절충형(대출 50%)","3안 무대출형","4안 임대차 승계 후 입주","5안 매수 보류(전세 거주)")</f>
        <v>1안 표준형(대출 최대)</v>
      </c>
      <c r="E125" s="20" t="n">
        <v>1</v>
      </c>
      <c r="F125" s="10" t="n">
        <f aca="false">CHOOSE(E125,GrowLo,GrowMid,GrowHi)</f>
        <v>0.02</v>
      </c>
      <c r="G125" s="20" t="n">
        <v>5</v>
      </c>
      <c r="H125" s="18" t="n">
        <f aca="false">INDEX(C_Price,A125)</f>
        <v>18.8</v>
      </c>
      <c r="I125" s="18" t="n">
        <f aca="false">INDEX(C_Jeonse,A125)</f>
        <v>9.776</v>
      </c>
      <c r="J125" s="21" t="n">
        <f aca="false">IF(C125=5,0,IF(C125=1,INDEX(C_Loan,A125),IF(C125=2,INDEX(C_Loan,A125)*LoanShare2,IF(C125=3,0,MIN(INDEX(C_Loan,A125),I125)))))</f>
        <v>4</v>
      </c>
      <c r="K125" s="18" t="n">
        <f aca="false">IF(C125=5,0,INDEX(C_Acq,A125))</f>
        <v>0.6204</v>
      </c>
      <c r="L125" s="18" t="n">
        <f aca="false">IF(C125=5,0,INDEX(C_Fee,A125))</f>
        <v>0.16476</v>
      </c>
      <c r="M125" s="21" t="n">
        <f aca="false">IF(C125=4,MAX(0,I125-J125),0)</f>
        <v>0</v>
      </c>
      <c r="N125" s="21" t="n">
        <f aca="false">IF(C125=5,I125,IF(C125=4,(H125-I125)+K125+L125+M125,H125-J125+K125+L125))</f>
        <v>15.58516</v>
      </c>
      <c r="O125" s="20" t="n">
        <f aca="false">IF(C125=4,RentYears,0)</f>
        <v>0</v>
      </c>
      <c r="P125" s="20" t="n">
        <f aca="false">IF(C125=5,0,MAX(0,G125-O125-NonRes))</f>
        <v>5</v>
      </c>
      <c r="Q125" s="21" t="n">
        <f aca="false">IF(C125=5,0,H125*(1+F125)^G125)</f>
        <v>20.75671910016</v>
      </c>
      <c r="R125" s="21" t="n">
        <f aca="false">IF(C125=5,0,Q125*LOOKUP(Q125,FeeLo,FeeR)*(1+VAT))</f>
        <v>0.159826737071232</v>
      </c>
      <c r="S125" s="21" t="n">
        <f aca="false">IF(J125&gt;0,-CUMIPMT(Rm,LoanYears*12,J125,1,(G125-O125)*12,0),0)</f>
        <v>0.76369723456074</v>
      </c>
      <c r="T125" s="29" t="n">
        <f aca="false">IF(C125=5,0,SUMIFS(Sch_Total,Sch_Idx,A125,Sch_Scen,E125,Sch_Year,"&lt;="&amp;G125))</f>
        <v>0.240349841554406</v>
      </c>
      <c r="U125" s="21" t="n">
        <f aca="false">K125+L125+R125</f>
        <v>0.944986737071232</v>
      </c>
      <c r="V125" s="21" t="n">
        <f aca="false">IF(C125=5,0,Q125-H125-U125)</f>
        <v>1.01173236308877</v>
      </c>
      <c r="W125" s="21" t="n">
        <f aca="false">IF(C125=5,0,MAX(0,IF(P125&gt;=2,IF(Q125&gt;Exempt,V125*(Q125-Exempt)/Q125,0),V125)))</f>
        <v>0.426823529545242</v>
      </c>
      <c r="X125" s="10" t="n">
        <f aca="false">IF(P125&gt;=2,MIN(MaxDed,MIN(0.4,HoldRate*G125)+MIN(0.4,LiveRate*P125)),IF(G125&gt;=3,MIN(0.3,0.02*G125),0))</f>
        <v>0.4</v>
      </c>
      <c r="Y125" s="21" t="n">
        <f aca="false">MAX(0,W125*(1-X125)-InitDed)</f>
        <v>0.231094117727145</v>
      </c>
      <c r="Z125" s="29" t="n">
        <f aca="false">SUMPRODUCT((Y125&gt;CLo)*(Y125-CLo)*CD)*(1+LocalTax)</f>
        <v>0.024270529424979</v>
      </c>
      <c r="AA125" s="21" t="n">
        <f aca="false">K125+T125+Z125</f>
        <v>0.885020370979385</v>
      </c>
      <c r="AB125" s="29" t="n">
        <f aca="false">IF(C125=5,0,(Q125-H125)-K125-L125-R125-S125-T125-Z125)</f>
        <v>-0.0165852424513569</v>
      </c>
      <c r="AC125" s="21" t="n">
        <f aca="false">IF(C125=5,0,N125*((1+DepRate*(1-DepTax))^G125-1))</f>
        <v>2.08072815856313</v>
      </c>
      <c r="AD125" s="29" t="n">
        <f aca="false">IF(C125=5,0,AB125-AC125+I125*(((1+DepRate*(1-DepTax))^G125-1)-((1+DepRate*(1-DepTax))^O125-1)))</f>
        <v>-0.792148842029328</v>
      </c>
      <c r="AE125" s="30" t="n">
        <f aca="false">IF(J125&gt;0,-PMT(Rm,LoanYears*12,J125)*10000,0)</f>
        <v>190.966118186184</v>
      </c>
      <c r="AF125" s="21" t="n">
        <f aca="false">IF(J125&gt;0,-PMT((Rate+Stress)/12,LoanYears*12,J125)*12/DSR,0)</f>
        <v>0.79836299421502</v>
      </c>
      <c r="AG125" s="20" t="n">
        <f aca="false">IF(N125&lt;=CapA,1,0)</f>
        <v>0</v>
      </c>
      <c r="AH125" s="20" t="n">
        <f aca="false">IF(N125&lt;=CapB,1,0)</f>
        <v>0</v>
      </c>
      <c r="AI125" s="20" t="n">
        <f aca="false">IF(N125&lt;=CapC,1,0)</f>
        <v>1</v>
      </c>
      <c r="AJ125" s="21" t="n">
        <f aca="false">IF(AG125=1,AD125,-999)</f>
        <v>-999</v>
      </c>
      <c r="AK125" s="21" t="n">
        <f aca="false">IF(AH125=1,AD125,-999)</f>
        <v>-999</v>
      </c>
      <c r="AL125" s="21" t="n">
        <f aca="false">IF(AI125=1,AD125,-999)</f>
        <v>-0.792148842029328</v>
      </c>
      <c r="AM125" s="21" t="str">
        <f aca="false">C125&amp;"|"&amp;E125&amp;"|"&amp;G125&amp;"|"&amp;TEXT(AJ125,"0.00000")</f>
        <v>1|1|5|-999.00000</v>
      </c>
      <c r="AN125" s="21" t="str">
        <f aca="false">C125&amp;"|"&amp;E125&amp;"|"&amp;G125&amp;"|"&amp;TEXT(AK125,"0.00000")</f>
        <v>1|1|5|-999.00000</v>
      </c>
      <c r="AO125" s="21" t="str">
        <f aca="false">C125&amp;"|"&amp;E125&amp;"|"&amp;G125&amp;"|"&amp;TEXT(AL125,"0.00000")</f>
        <v>1|1|5|-0.79215</v>
      </c>
    </row>
    <row r="126" customFormat="false" ht="15" hidden="false" customHeight="false" outlineLevel="0" collapsed="false">
      <c r="A126" s="20" t="n">
        <v>5</v>
      </c>
      <c r="B126" s="18" t="str">
        <f aca="false">INDEX(C_Name,A126)</f>
        <v>신길 래미안에스티움 84㎡</v>
      </c>
      <c r="C126" s="20" t="n">
        <v>1</v>
      </c>
      <c r="D126" s="21" t="str">
        <f aca="false">CHOOSE(C126,"1안 표준형(대출 최대)","2안 절충형(대출 50%)","3안 무대출형","4안 임대차 승계 후 입주","5안 매수 보류(전세 거주)")</f>
        <v>1안 표준형(대출 최대)</v>
      </c>
      <c r="E126" s="20" t="n">
        <v>1</v>
      </c>
      <c r="F126" s="10" t="n">
        <f aca="false">CHOOSE(E126,GrowLo,GrowMid,GrowHi)</f>
        <v>0.02</v>
      </c>
      <c r="G126" s="20" t="n">
        <v>10</v>
      </c>
      <c r="H126" s="18" t="n">
        <f aca="false">INDEX(C_Price,A126)</f>
        <v>18.8</v>
      </c>
      <c r="I126" s="18" t="n">
        <f aca="false">INDEX(C_Jeonse,A126)</f>
        <v>9.776</v>
      </c>
      <c r="J126" s="21" t="n">
        <f aca="false">IF(C126=5,0,IF(C126=1,INDEX(C_Loan,A126),IF(C126=2,INDEX(C_Loan,A126)*LoanShare2,IF(C126=3,0,MIN(INDEX(C_Loan,A126),I126)))))</f>
        <v>4</v>
      </c>
      <c r="K126" s="18" t="n">
        <f aca="false">IF(C126=5,0,INDEX(C_Acq,A126))</f>
        <v>0.6204</v>
      </c>
      <c r="L126" s="18" t="n">
        <f aca="false">IF(C126=5,0,INDEX(C_Fee,A126))</f>
        <v>0.16476</v>
      </c>
      <c r="M126" s="21" t="n">
        <f aca="false">IF(C126=4,MAX(0,I126-J126),0)</f>
        <v>0</v>
      </c>
      <c r="N126" s="21" t="n">
        <f aca="false">IF(C126=5,I126,IF(C126=4,(H126-I126)+K126+L126+M126,H126-J126+K126+L126))</f>
        <v>15.58516</v>
      </c>
      <c r="O126" s="20" t="n">
        <f aca="false">IF(C126=4,RentYears,0)</f>
        <v>0</v>
      </c>
      <c r="P126" s="20" t="n">
        <f aca="false">IF(C126=5,0,MAX(0,G126-O126-NonRes))</f>
        <v>10</v>
      </c>
      <c r="Q126" s="21" t="n">
        <f aca="false">IF(C126=5,0,H126*(1+F126)^G126)</f>
        <v>22.9170950959014</v>
      </c>
      <c r="R126" s="21" t="n">
        <f aca="false">IF(C126=5,0,Q126*LOOKUP(Q126,FeeLo,FeeR)*(1+VAT))</f>
        <v>0.176461632238441</v>
      </c>
      <c r="S126" s="21" t="n">
        <f aca="false">IF(J126&gt;0,-CUMIPMT(Rm,LoanYears*12,J126,1,(G126-O126)*12,0),0)</f>
        <v>1.44295178669745</v>
      </c>
      <c r="T126" s="29" t="n">
        <f aca="false">IF(C126=5,0,SUMIFS(Sch_Total,Sch_Idx,A126,Sch_Scen,E126,Sch_Year,"&lt;="&amp;G126))</f>
        <v>0.532131195518948</v>
      </c>
      <c r="U126" s="21" t="n">
        <f aca="false">K126+L126+R126</f>
        <v>0.961621632238441</v>
      </c>
      <c r="V126" s="21" t="n">
        <f aca="false">IF(C126=5,0,Q126-H126-U126)</f>
        <v>3.155473463663</v>
      </c>
      <c r="W126" s="21" t="n">
        <f aca="false">IF(C126=5,0,MAX(0,IF(P126&gt;=2,IF(Q126&gt;Exempt,V126*(Q126-Exempt)/Q126,0),V126)))</f>
        <v>1.50318370331165</v>
      </c>
      <c r="X126" s="10" t="n">
        <f aca="false">IF(P126&gt;=2,MIN(MaxDed,MIN(0.4,HoldRate*G126)+MIN(0.4,LiveRate*P126)),IF(G126&gt;=3,MIN(0.3,0.02*G126),0))</f>
        <v>0.8</v>
      </c>
      <c r="Y126" s="21" t="n">
        <f aca="false">MAX(0,W126*(1-X126)-InitDed)</f>
        <v>0.27563674066233</v>
      </c>
      <c r="Z126" s="29" t="n">
        <f aca="false">SUMPRODUCT((Y126&gt;CLo)*(Y126-CLo)*CD)*(1+LocalTax)</f>
        <v>0.0316200622092845</v>
      </c>
      <c r="AA126" s="21" t="n">
        <f aca="false">K126+T126+Z126</f>
        <v>1.18415125772823</v>
      </c>
      <c r="AB126" s="29" t="n">
        <f aca="false">IF(C126=5,0,(Q126-H126)-K126-L126-R126-S126-T126-Z126)</f>
        <v>1.14877041923731</v>
      </c>
      <c r="AC126" s="21" t="n">
        <f aca="false">IF(C126=5,0,N126*((1+DepRate*(1-DepTax))^G126-1))</f>
        <v>4.43924811841913</v>
      </c>
      <c r="AD126" s="29" t="n">
        <f aca="false">IF(C126=5,0,AB126-AC126+I126*(((1+DepRate*(1-DepTax))^G126-1)-((1+DepRate*(1-DepTax))^O126-1)))</f>
        <v>-0.505899959481652</v>
      </c>
      <c r="AE126" s="30" t="n">
        <f aca="false">IF(J126&gt;0,-PMT(Rm,LoanYears*12,J126)*10000,0)</f>
        <v>190.966118186184</v>
      </c>
      <c r="AF126" s="21" t="n">
        <f aca="false">IF(J126&gt;0,-PMT((Rate+Stress)/12,LoanYears*12,J126)*12/DSR,0)</f>
        <v>0.79836299421502</v>
      </c>
      <c r="AG126" s="20" t="n">
        <f aca="false">IF(N126&lt;=CapA,1,0)</f>
        <v>0</v>
      </c>
      <c r="AH126" s="20" t="n">
        <f aca="false">IF(N126&lt;=CapB,1,0)</f>
        <v>0</v>
      </c>
      <c r="AI126" s="20" t="n">
        <f aca="false">IF(N126&lt;=CapC,1,0)</f>
        <v>1</v>
      </c>
      <c r="AJ126" s="21" t="n">
        <f aca="false">IF(AG126=1,AD126,-999)</f>
        <v>-999</v>
      </c>
      <c r="AK126" s="21" t="n">
        <f aca="false">IF(AH126=1,AD126,-999)</f>
        <v>-999</v>
      </c>
      <c r="AL126" s="21" t="n">
        <f aca="false">IF(AI126=1,AD126,-999)</f>
        <v>-0.505899959481652</v>
      </c>
      <c r="AM126" s="21" t="str">
        <f aca="false">C126&amp;"|"&amp;E126&amp;"|"&amp;G126&amp;"|"&amp;TEXT(AJ126,"0.00000")</f>
        <v>1|1|10|-999.00000</v>
      </c>
      <c r="AN126" s="21" t="str">
        <f aca="false">C126&amp;"|"&amp;E126&amp;"|"&amp;G126&amp;"|"&amp;TEXT(AK126,"0.00000")</f>
        <v>1|1|10|-999.00000</v>
      </c>
      <c r="AO126" s="21" t="str">
        <f aca="false">C126&amp;"|"&amp;E126&amp;"|"&amp;G126&amp;"|"&amp;TEXT(AL126,"0.00000")</f>
        <v>1|1|10|-0.50590</v>
      </c>
    </row>
    <row r="127" customFormat="false" ht="15" hidden="false" customHeight="false" outlineLevel="0" collapsed="false">
      <c r="A127" s="20" t="n">
        <v>5</v>
      </c>
      <c r="B127" s="18" t="str">
        <f aca="false">INDEX(C_Name,A127)</f>
        <v>신길 래미안에스티움 84㎡</v>
      </c>
      <c r="C127" s="20" t="n">
        <v>1</v>
      </c>
      <c r="D127" s="21" t="str">
        <f aca="false">CHOOSE(C127,"1안 표준형(대출 최대)","2안 절충형(대출 50%)","3안 무대출형","4안 임대차 승계 후 입주","5안 매수 보류(전세 거주)")</f>
        <v>1안 표준형(대출 최대)</v>
      </c>
      <c r="E127" s="20" t="n">
        <v>2</v>
      </c>
      <c r="F127" s="10" t="n">
        <f aca="false">CHOOSE(E127,GrowLo,GrowMid,GrowHi)</f>
        <v>0.04</v>
      </c>
      <c r="G127" s="20" t="n">
        <v>5</v>
      </c>
      <c r="H127" s="18" t="n">
        <f aca="false">INDEX(C_Price,A127)</f>
        <v>18.8</v>
      </c>
      <c r="I127" s="18" t="n">
        <f aca="false">INDEX(C_Jeonse,A127)</f>
        <v>9.776</v>
      </c>
      <c r="J127" s="21" t="n">
        <f aca="false">IF(C127=5,0,IF(C127=1,INDEX(C_Loan,A127),IF(C127=2,INDEX(C_Loan,A127)*LoanShare2,IF(C127=3,0,MIN(INDEX(C_Loan,A127),I127)))))</f>
        <v>4</v>
      </c>
      <c r="K127" s="18" t="n">
        <f aca="false">IF(C127=5,0,INDEX(C_Acq,A127))</f>
        <v>0.6204</v>
      </c>
      <c r="L127" s="18" t="n">
        <f aca="false">IF(C127=5,0,INDEX(C_Fee,A127))</f>
        <v>0.16476</v>
      </c>
      <c r="M127" s="21" t="n">
        <f aca="false">IF(C127=4,MAX(0,I127-J127),0)</f>
        <v>0</v>
      </c>
      <c r="N127" s="21" t="n">
        <f aca="false">IF(C127=5,I127,IF(C127=4,(H127-I127)+K127+L127+M127,H127-J127+K127+L127))</f>
        <v>15.58516</v>
      </c>
      <c r="O127" s="20" t="n">
        <f aca="false">IF(C127=4,RentYears,0)</f>
        <v>0</v>
      </c>
      <c r="P127" s="20" t="n">
        <f aca="false">IF(C127=5,0,MAX(0,G127-O127-NonRes))</f>
        <v>5</v>
      </c>
      <c r="Q127" s="21" t="n">
        <f aca="false">IF(C127=5,0,H127*(1+F127)^G127)</f>
        <v>22.87307456512</v>
      </c>
      <c r="R127" s="21" t="n">
        <f aca="false">IF(C127=5,0,Q127*LOOKUP(Q127,FeeLo,FeeR)*(1+VAT))</f>
        <v>0.176122674151424</v>
      </c>
      <c r="S127" s="21" t="n">
        <f aca="false">IF(J127&gt;0,-CUMIPMT(Rm,LoanYears*12,J127,1,(G127-O127)*12,0),0)</f>
        <v>0.76369723456074</v>
      </c>
      <c r="T127" s="29" t="n">
        <f aca="false">IF(C127=5,0,SUMIFS(Sch_Total,Sch_Idx,A127,Sch_Scen,E127,Sch_Year,"&lt;="&amp;G127))</f>
        <v>0.260507125337702</v>
      </c>
      <c r="U127" s="21" t="n">
        <f aca="false">K127+L127+R127</f>
        <v>0.961282674151424</v>
      </c>
      <c r="V127" s="21" t="n">
        <f aca="false">IF(C127=5,0,Q127-H127-U127)</f>
        <v>3.11179189096858</v>
      </c>
      <c r="W127" s="21" t="n">
        <f aca="false">IF(C127=5,0,MAX(0,IF(P127&gt;=2,IF(Q127&gt;Exempt,V127*(Q127-Exempt)/Q127,0),V127)))</f>
        <v>1.47923905749133</v>
      </c>
      <c r="X127" s="10" t="n">
        <f aca="false">IF(P127&gt;=2,MIN(MaxDed,MIN(0.4,HoldRate*G127)+MIN(0.4,LiveRate*P127)),IF(G127&gt;=3,MIN(0.3,0.02*G127),0))</f>
        <v>0.4</v>
      </c>
      <c r="Y127" s="21" t="n">
        <f aca="false">MAX(0,W127*(1-X127)-InitDed)</f>
        <v>0.862543434494801</v>
      </c>
      <c r="Z127" s="29" t="n">
        <f aca="false">SUMPRODUCT((Y127&gt;CLo)*(Y127-CLo)*CD)*(1+LocalTax)</f>
        <v>0.164351466706627</v>
      </c>
      <c r="AA127" s="21" t="n">
        <f aca="false">K127+T127+Z127</f>
        <v>1.04525859204433</v>
      </c>
      <c r="AB127" s="29" t="n">
        <f aca="false">IF(C127=5,0,(Q127-H127)-K127-L127-R127-S127-T127-Z127)</f>
        <v>1.92323606436351</v>
      </c>
      <c r="AC127" s="21" t="n">
        <f aca="false">IF(C127=5,0,N127*((1+DepRate*(1-DepTax))^G127-1))</f>
        <v>2.08072815856313</v>
      </c>
      <c r="AD127" s="29" t="n">
        <f aca="false">IF(C127=5,0,AB127-AC127+I127*(((1+DepRate*(1-DepTax))^G127-1)-((1+DepRate*(1-DepTax))^O127-1)))</f>
        <v>1.14767246478554</v>
      </c>
      <c r="AE127" s="30" t="n">
        <f aca="false">IF(J127&gt;0,-PMT(Rm,LoanYears*12,J127)*10000,0)</f>
        <v>190.966118186184</v>
      </c>
      <c r="AF127" s="21" t="n">
        <f aca="false">IF(J127&gt;0,-PMT((Rate+Stress)/12,LoanYears*12,J127)*12/DSR,0)</f>
        <v>0.79836299421502</v>
      </c>
      <c r="AG127" s="20" t="n">
        <f aca="false">IF(N127&lt;=CapA,1,0)</f>
        <v>0</v>
      </c>
      <c r="AH127" s="20" t="n">
        <f aca="false">IF(N127&lt;=CapB,1,0)</f>
        <v>0</v>
      </c>
      <c r="AI127" s="20" t="n">
        <f aca="false">IF(N127&lt;=CapC,1,0)</f>
        <v>1</v>
      </c>
      <c r="AJ127" s="21" t="n">
        <f aca="false">IF(AG127=1,AD127,-999)</f>
        <v>-999</v>
      </c>
      <c r="AK127" s="21" t="n">
        <f aca="false">IF(AH127=1,AD127,-999)</f>
        <v>-999</v>
      </c>
      <c r="AL127" s="21" t="n">
        <f aca="false">IF(AI127=1,AD127,-999)</f>
        <v>1.14767246478554</v>
      </c>
      <c r="AM127" s="21" t="str">
        <f aca="false">C127&amp;"|"&amp;E127&amp;"|"&amp;G127&amp;"|"&amp;TEXT(AJ127,"0.00000")</f>
        <v>1|2|5|-999.00000</v>
      </c>
      <c r="AN127" s="21" t="str">
        <f aca="false">C127&amp;"|"&amp;E127&amp;"|"&amp;G127&amp;"|"&amp;TEXT(AK127,"0.00000")</f>
        <v>1|2|5|-999.00000</v>
      </c>
      <c r="AO127" s="21" t="str">
        <f aca="false">C127&amp;"|"&amp;E127&amp;"|"&amp;G127&amp;"|"&amp;TEXT(AL127,"0.00000")</f>
        <v>1|2|5|1.14767</v>
      </c>
    </row>
    <row r="128" customFormat="false" ht="15" hidden="false" customHeight="false" outlineLevel="0" collapsed="false">
      <c r="A128" s="20" t="n">
        <v>5</v>
      </c>
      <c r="B128" s="18" t="str">
        <f aca="false">INDEX(C_Name,A128)</f>
        <v>신길 래미안에스티움 84㎡</v>
      </c>
      <c r="C128" s="20" t="n">
        <v>1</v>
      </c>
      <c r="D128" s="21" t="str">
        <f aca="false">CHOOSE(C128,"1안 표준형(대출 최대)","2안 절충형(대출 50%)","3안 무대출형","4안 임대차 승계 후 입주","5안 매수 보류(전세 거주)")</f>
        <v>1안 표준형(대출 최대)</v>
      </c>
      <c r="E128" s="20" t="n">
        <v>2</v>
      </c>
      <c r="F128" s="10" t="n">
        <f aca="false">CHOOSE(E128,GrowLo,GrowMid,GrowHi)</f>
        <v>0.04</v>
      </c>
      <c r="G128" s="20" t="n">
        <v>10</v>
      </c>
      <c r="H128" s="18" t="n">
        <f aca="false">INDEX(C_Price,A128)</f>
        <v>18.8</v>
      </c>
      <c r="I128" s="18" t="n">
        <f aca="false">INDEX(C_Jeonse,A128)</f>
        <v>9.776</v>
      </c>
      <c r="J128" s="21" t="n">
        <f aca="false">IF(C128=5,0,IF(C128=1,INDEX(C_Loan,A128),IF(C128=2,INDEX(C_Loan,A128)*LoanShare2,IF(C128=3,0,MIN(INDEX(C_Loan,A128),I128)))))</f>
        <v>4</v>
      </c>
      <c r="K128" s="18" t="n">
        <f aca="false">IF(C128=5,0,INDEX(C_Acq,A128))</f>
        <v>0.6204</v>
      </c>
      <c r="L128" s="18" t="n">
        <f aca="false">IF(C128=5,0,INDEX(C_Fee,A128))</f>
        <v>0.16476</v>
      </c>
      <c r="M128" s="21" t="n">
        <f aca="false">IF(C128=4,MAX(0,I128-J128),0)</f>
        <v>0</v>
      </c>
      <c r="N128" s="21" t="n">
        <f aca="false">IF(C128=5,I128,IF(C128=4,(H128-I128)+K128+L128+M128,H128-J128+K128+L128))</f>
        <v>15.58516</v>
      </c>
      <c r="O128" s="20" t="n">
        <f aca="false">IF(C128=4,RentYears,0)</f>
        <v>0</v>
      </c>
      <c r="P128" s="20" t="n">
        <f aca="false">IF(C128=5,0,MAX(0,G128-O128-NonRes))</f>
        <v>10</v>
      </c>
      <c r="Q128" s="21" t="n">
        <f aca="false">IF(C128=5,0,H128*(1+F128)^G128)</f>
        <v>27.8285925564649</v>
      </c>
      <c r="R128" s="21" t="n">
        <f aca="false">IF(C128=5,0,Q128*LOOKUP(Q128,FeeLo,FeeR)*(1+VAT))</f>
        <v>0.21428016268478</v>
      </c>
      <c r="S128" s="21" t="n">
        <f aca="false">IF(J128&gt;0,-CUMIPMT(Rm,LoanYears*12,J128,1,(G128-O128)*12,0),0)</f>
        <v>1.44295178669745</v>
      </c>
      <c r="T128" s="29" t="n">
        <f aca="false">IF(C128=5,0,SUMIFS(Sch_Total,Sch_Idx,A128,Sch_Scen,E128,Sch_Year,"&lt;="&amp;G128))</f>
        <v>0.635733007758503</v>
      </c>
      <c r="U128" s="21" t="n">
        <f aca="false">K128+L128+R128</f>
        <v>0.99944016268478</v>
      </c>
      <c r="V128" s="21" t="n">
        <f aca="false">IF(C128=5,0,Q128-H128-U128)</f>
        <v>8.0291523937801</v>
      </c>
      <c r="W128" s="21" t="n">
        <f aca="false">IF(C128=5,0,MAX(0,IF(P128&gt;=2,IF(Q128&gt;Exempt,V128*(Q128-Exempt)/Q128,0),V128)))</f>
        <v>4.56689218317602</v>
      </c>
      <c r="X128" s="10" t="n">
        <f aca="false">IF(P128&gt;=2,MIN(MaxDed,MIN(0.4,HoldRate*G128)+MIN(0.4,LiveRate*P128)),IF(G128&gt;=3,MIN(0.3,0.02*G128),0))</f>
        <v>0.8</v>
      </c>
      <c r="Y128" s="21" t="n">
        <f aca="false">MAX(0,W128*(1-X128)-InitDed)</f>
        <v>0.888378436635203</v>
      </c>
      <c r="Z128" s="29" t="n">
        <f aca="false">SUMPRODUCT((Y128&gt;CLo)*(Y128-CLo)*CD)*(1+LocalTax)</f>
        <v>0.172185698104553</v>
      </c>
      <c r="AA128" s="21" t="n">
        <f aca="false">K128+T128+Z128</f>
        <v>1.42831870586306</v>
      </c>
      <c r="AB128" s="29" t="n">
        <f aca="false">IF(C128=5,0,(Q128-H128)-K128-L128-R128-S128-T128-Z128)</f>
        <v>5.77828190121959</v>
      </c>
      <c r="AC128" s="21" t="n">
        <f aca="false">IF(C128=5,0,N128*((1+DepRate*(1-DepTax))^G128-1))</f>
        <v>4.43924811841913</v>
      </c>
      <c r="AD128" s="29" t="n">
        <f aca="false">IF(C128=5,0,AB128-AC128+I128*(((1+DepRate*(1-DepTax))^G128-1)-((1+DepRate*(1-DepTax))^O128-1)))</f>
        <v>4.12361152250062</v>
      </c>
      <c r="AE128" s="30" t="n">
        <f aca="false">IF(J128&gt;0,-PMT(Rm,LoanYears*12,J128)*10000,0)</f>
        <v>190.966118186184</v>
      </c>
      <c r="AF128" s="21" t="n">
        <f aca="false">IF(J128&gt;0,-PMT((Rate+Stress)/12,LoanYears*12,J128)*12/DSR,0)</f>
        <v>0.79836299421502</v>
      </c>
      <c r="AG128" s="20" t="n">
        <f aca="false">IF(N128&lt;=CapA,1,0)</f>
        <v>0</v>
      </c>
      <c r="AH128" s="20" t="n">
        <f aca="false">IF(N128&lt;=CapB,1,0)</f>
        <v>0</v>
      </c>
      <c r="AI128" s="20" t="n">
        <f aca="false">IF(N128&lt;=CapC,1,0)</f>
        <v>1</v>
      </c>
      <c r="AJ128" s="21" t="n">
        <f aca="false">IF(AG128=1,AD128,-999)</f>
        <v>-999</v>
      </c>
      <c r="AK128" s="21" t="n">
        <f aca="false">IF(AH128=1,AD128,-999)</f>
        <v>-999</v>
      </c>
      <c r="AL128" s="21" t="n">
        <f aca="false">IF(AI128=1,AD128,-999)</f>
        <v>4.12361152250062</v>
      </c>
      <c r="AM128" s="21" t="str">
        <f aca="false">C128&amp;"|"&amp;E128&amp;"|"&amp;G128&amp;"|"&amp;TEXT(AJ128,"0.00000")</f>
        <v>1|2|10|-999.00000</v>
      </c>
      <c r="AN128" s="21" t="str">
        <f aca="false">C128&amp;"|"&amp;E128&amp;"|"&amp;G128&amp;"|"&amp;TEXT(AK128,"0.00000")</f>
        <v>1|2|10|-999.00000</v>
      </c>
      <c r="AO128" s="21" t="str">
        <f aca="false">C128&amp;"|"&amp;E128&amp;"|"&amp;G128&amp;"|"&amp;TEXT(AL128,"0.00000")</f>
        <v>1|2|10|4.12361</v>
      </c>
    </row>
    <row r="129" customFormat="false" ht="15" hidden="false" customHeight="false" outlineLevel="0" collapsed="false">
      <c r="A129" s="20" t="n">
        <v>5</v>
      </c>
      <c r="B129" s="18" t="str">
        <f aca="false">INDEX(C_Name,A129)</f>
        <v>신길 래미안에스티움 84㎡</v>
      </c>
      <c r="C129" s="20" t="n">
        <v>1</v>
      </c>
      <c r="D129" s="21" t="str">
        <f aca="false">CHOOSE(C129,"1안 표준형(대출 최대)","2안 절충형(대출 50%)","3안 무대출형","4안 임대차 승계 후 입주","5안 매수 보류(전세 거주)")</f>
        <v>1안 표준형(대출 최대)</v>
      </c>
      <c r="E129" s="20" t="n">
        <v>3</v>
      </c>
      <c r="F129" s="10" t="n">
        <f aca="false">CHOOSE(E129,GrowLo,GrowMid,GrowHi)</f>
        <v>0.06</v>
      </c>
      <c r="G129" s="20" t="n">
        <v>5</v>
      </c>
      <c r="H129" s="18" t="n">
        <f aca="false">INDEX(C_Price,A129)</f>
        <v>18.8</v>
      </c>
      <c r="I129" s="18" t="n">
        <f aca="false">INDEX(C_Jeonse,A129)</f>
        <v>9.776</v>
      </c>
      <c r="J129" s="21" t="n">
        <f aca="false">IF(C129=5,0,IF(C129=1,INDEX(C_Loan,A129),IF(C129=2,INDEX(C_Loan,A129)*LoanShare2,IF(C129=3,0,MIN(INDEX(C_Loan,A129),I129)))))</f>
        <v>4</v>
      </c>
      <c r="K129" s="18" t="n">
        <f aca="false">IF(C129=5,0,INDEX(C_Acq,A129))</f>
        <v>0.6204</v>
      </c>
      <c r="L129" s="18" t="n">
        <f aca="false">IF(C129=5,0,INDEX(C_Fee,A129))</f>
        <v>0.16476</v>
      </c>
      <c r="M129" s="21" t="n">
        <f aca="false">IF(C129=4,MAX(0,I129-J129),0)</f>
        <v>0</v>
      </c>
      <c r="N129" s="21" t="n">
        <f aca="false">IF(C129=5,I129,IF(C129=4,(H129-I129)+K129+L129+M129,H129-J129+K129+L129))</f>
        <v>15.58516</v>
      </c>
      <c r="O129" s="20" t="n">
        <f aca="false">IF(C129=4,RentYears,0)</f>
        <v>0</v>
      </c>
      <c r="P129" s="20" t="n">
        <f aca="false">IF(C129=5,0,MAX(0,G129-O129-NonRes))</f>
        <v>5</v>
      </c>
      <c r="Q129" s="21" t="n">
        <f aca="false">IF(C129=5,0,H129*(1+F129)^G129)</f>
        <v>25.15864085888</v>
      </c>
      <c r="R129" s="21" t="n">
        <f aca="false">IF(C129=5,0,Q129*LOOKUP(Q129,FeeLo,FeeR)*(1+VAT))</f>
        <v>0.193721534613376</v>
      </c>
      <c r="S129" s="21" t="n">
        <f aca="false">IF(J129&gt;0,-CUMIPMT(Rm,LoanYears*12,J129,1,(G129-O129)*12,0),0)</f>
        <v>0.76369723456074</v>
      </c>
      <c r="T129" s="29" t="n">
        <f aca="false">IF(C129=5,0,SUMIFS(Sch_Total,Sch_Idx,A129,Sch_Scen,E129,Sch_Year,"&lt;="&amp;G129))</f>
        <v>0.281470387500518</v>
      </c>
      <c r="U129" s="21" t="n">
        <f aca="false">K129+L129+R129</f>
        <v>0.978881534613376</v>
      </c>
      <c r="V129" s="21" t="n">
        <f aca="false">IF(C129=5,0,Q129-H129-U129)</f>
        <v>5.37975932426663</v>
      </c>
      <c r="W129" s="21" t="n">
        <f aca="false">IF(C129=5,0,MAX(0,IF(P129&gt;=2,IF(Q129&gt;Exempt,V129*(Q129-Exempt)/Q129,0),V129)))</f>
        <v>2.81375775632368</v>
      </c>
      <c r="X129" s="10" t="n">
        <f aca="false">IF(P129&gt;=2,MIN(MaxDed,MIN(0.4,HoldRate*G129)+MIN(0.4,LiveRate*P129)),IF(G129&gt;=3,MIN(0.3,0.02*G129),0))</f>
        <v>0.4</v>
      </c>
      <c r="Y129" s="21" t="n">
        <f aca="false">MAX(0,W129*(1-X129)-InitDed)</f>
        <v>1.66325465379421</v>
      </c>
      <c r="Z129" s="29" t="n">
        <f aca="false">SUMPRODUCT((Y129&gt;CLo)*(Y129-CLo)*CD)*(1+LocalTax)</f>
        <v>0.47590044528598</v>
      </c>
      <c r="AA129" s="21" t="n">
        <f aca="false">K129+T129+Z129</f>
        <v>1.3777708327865</v>
      </c>
      <c r="AB129" s="29" t="n">
        <f aca="false">IF(C129=5,0,(Q129-H129)-K129-L129-R129-S129-T129-Z129)</f>
        <v>3.85869125691939</v>
      </c>
      <c r="AC129" s="21" t="n">
        <f aca="false">IF(C129=5,0,N129*((1+DepRate*(1-DepTax))^G129-1))</f>
        <v>2.08072815856313</v>
      </c>
      <c r="AD129" s="29" t="n">
        <f aca="false">IF(C129=5,0,AB129-AC129+I129*(((1+DepRate*(1-DepTax))^G129-1)-((1+DepRate*(1-DepTax))^O129-1)))</f>
        <v>3.08312765734142</v>
      </c>
      <c r="AE129" s="30" t="n">
        <f aca="false">IF(J129&gt;0,-PMT(Rm,LoanYears*12,J129)*10000,0)</f>
        <v>190.966118186184</v>
      </c>
      <c r="AF129" s="21" t="n">
        <f aca="false">IF(J129&gt;0,-PMT((Rate+Stress)/12,LoanYears*12,J129)*12/DSR,0)</f>
        <v>0.79836299421502</v>
      </c>
      <c r="AG129" s="20" t="n">
        <f aca="false">IF(N129&lt;=CapA,1,0)</f>
        <v>0</v>
      </c>
      <c r="AH129" s="20" t="n">
        <f aca="false">IF(N129&lt;=CapB,1,0)</f>
        <v>0</v>
      </c>
      <c r="AI129" s="20" t="n">
        <f aca="false">IF(N129&lt;=CapC,1,0)</f>
        <v>1</v>
      </c>
      <c r="AJ129" s="21" t="n">
        <f aca="false">IF(AG129=1,AD129,-999)</f>
        <v>-999</v>
      </c>
      <c r="AK129" s="21" t="n">
        <f aca="false">IF(AH129=1,AD129,-999)</f>
        <v>-999</v>
      </c>
      <c r="AL129" s="21" t="n">
        <f aca="false">IF(AI129=1,AD129,-999)</f>
        <v>3.08312765734142</v>
      </c>
      <c r="AM129" s="21" t="str">
        <f aca="false">C129&amp;"|"&amp;E129&amp;"|"&amp;G129&amp;"|"&amp;TEXT(AJ129,"0.00000")</f>
        <v>1|3|5|-999.00000</v>
      </c>
      <c r="AN129" s="21" t="str">
        <f aca="false">C129&amp;"|"&amp;E129&amp;"|"&amp;G129&amp;"|"&amp;TEXT(AK129,"0.00000")</f>
        <v>1|3|5|-999.00000</v>
      </c>
      <c r="AO129" s="21" t="str">
        <f aca="false">C129&amp;"|"&amp;E129&amp;"|"&amp;G129&amp;"|"&amp;TEXT(AL129,"0.00000")</f>
        <v>1|3|5|3.08313</v>
      </c>
    </row>
    <row r="130" customFormat="false" ht="15" hidden="false" customHeight="false" outlineLevel="0" collapsed="false">
      <c r="A130" s="20" t="n">
        <v>5</v>
      </c>
      <c r="B130" s="18" t="str">
        <f aca="false">INDEX(C_Name,A130)</f>
        <v>신길 래미안에스티움 84㎡</v>
      </c>
      <c r="C130" s="20" t="n">
        <v>1</v>
      </c>
      <c r="D130" s="21" t="str">
        <f aca="false">CHOOSE(C130,"1안 표준형(대출 최대)","2안 절충형(대출 50%)","3안 무대출형","4안 임대차 승계 후 입주","5안 매수 보류(전세 거주)")</f>
        <v>1안 표준형(대출 최대)</v>
      </c>
      <c r="E130" s="20" t="n">
        <v>3</v>
      </c>
      <c r="F130" s="10" t="n">
        <f aca="false">CHOOSE(E130,GrowLo,GrowMid,GrowHi)</f>
        <v>0.06</v>
      </c>
      <c r="G130" s="20" t="n">
        <v>10</v>
      </c>
      <c r="H130" s="18" t="n">
        <f aca="false">INDEX(C_Price,A130)</f>
        <v>18.8</v>
      </c>
      <c r="I130" s="18" t="n">
        <f aca="false">INDEX(C_Jeonse,A130)</f>
        <v>9.776</v>
      </c>
      <c r="J130" s="21" t="n">
        <f aca="false">IF(C130=5,0,IF(C130=1,INDEX(C_Loan,A130),IF(C130=2,INDEX(C_Loan,A130)*LoanShare2,IF(C130=3,0,MIN(INDEX(C_Loan,A130),I130)))))</f>
        <v>4</v>
      </c>
      <c r="K130" s="18" t="n">
        <f aca="false">IF(C130=5,0,INDEX(C_Acq,A130))</f>
        <v>0.6204</v>
      </c>
      <c r="L130" s="18" t="n">
        <f aca="false">IF(C130=5,0,INDEX(C_Fee,A130))</f>
        <v>0.16476</v>
      </c>
      <c r="M130" s="21" t="n">
        <f aca="false">IF(C130=4,MAX(0,I130-J130),0)</f>
        <v>0</v>
      </c>
      <c r="N130" s="21" t="n">
        <f aca="false">IF(C130=5,I130,IF(C130=4,(H130-I130)+K130+L130+M130,H130-J130+K130+L130))</f>
        <v>15.58516</v>
      </c>
      <c r="O130" s="20" t="n">
        <f aca="false">IF(C130=4,RentYears,0)</f>
        <v>0</v>
      </c>
      <c r="P130" s="20" t="n">
        <f aca="false">IF(C130=5,0,MAX(0,G130-O130-NonRes))</f>
        <v>10</v>
      </c>
      <c r="Q130" s="21" t="n">
        <f aca="false">IF(C130=5,0,H130*(1+F130)^G130)</f>
        <v>33.6679366950057</v>
      </c>
      <c r="R130" s="21" t="n">
        <f aca="false">IF(C130=5,0,Q130*LOOKUP(Q130,FeeLo,FeeR)*(1+VAT))</f>
        <v>0.259243112551544</v>
      </c>
      <c r="S130" s="21" t="n">
        <f aca="false">IF(J130&gt;0,-CUMIPMT(Rm,LoanYears*12,J130,1,(G130-O130)*12,0),0)</f>
        <v>1.44295178669745</v>
      </c>
      <c r="T130" s="29" t="n">
        <f aca="false">IF(C130=5,0,SUMIFS(Sch_Total,Sch_Idx,A130,Sch_Scen,E130,Sch_Year,"&lt;="&amp;G130))</f>
        <v>0.762496850031817</v>
      </c>
      <c r="U130" s="21" t="n">
        <f aca="false">K130+L130+R130</f>
        <v>1.04440311255154</v>
      </c>
      <c r="V130" s="21" t="n">
        <f aca="false">IF(C130=5,0,Q130-H130-U130)</f>
        <v>13.8235335824541</v>
      </c>
      <c r="W130" s="21" t="n">
        <f aca="false">IF(C130=5,0,MAX(0,IF(P130&gt;=2,IF(Q130&gt;Exempt,V130*(Q130-Exempt)/Q130,0),V130)))</f>
        <v>8.8965193584415</v>
      </c>
      <c r="X130" s="10" t="n">
        <f aca="false">IF(P130&gt;=2,MIN(MaxDed,MIN(0.4,HoldRate*G130)+MIN(0.4,LiveRate*P130)),IF(G130&gt;=3,MIN(0.3,0.02*G130),0))</f>
        <v>0.8</v>
      </c>
      <c r="Y130" s="21" t="n">
        <f aca="false">MAX(0,W130*(1-X130)-InitDed)</f>
        <v>1.7543038716883</v>
      </c>
      <c r="Z130" s="29" t="n">
        <f aca="false">SUMPRODUCT((Y130&gt;CLo)*(Y130-CLo)*CD)*(1+LocalTax)</f>
        <v>0.513959018365709</v>
      </c>
      <c r="AA130" s="21" t="n">
        <f aca="false">K130+T130+Z130</f>
        <v>1.89685586839753</v>
      </c>
      <c r="AB130" s="29" t="n">
        <f aca="false">IF(C130=5,0,(Q130-H130)-K130-L130-R130-S130-T130-Z130)</f>
        <v>11.1041259273591</v>
      </c>
      <c r="AC130" s="21" t="n">
        <f aca="false">IF(C130=5,0,N130*((1+DepRate*(1-DepTax))^G130-1))</f>
        <v>4.43924811841913</v>
      </c>
      <c r="AD130" s="29" t="n">
        <f aca="false">IF(C130=5,0,AB130-AC130+I130*(((1+DepRate*(1-DepTax))^G130-1)-((1+DepRate*(1-DepTax))^O130-1)))</f>
        <v>9.44945554864018</v>
      </c>
      <c r="AE130" s="30" t="n">
        <f aca="false">IF(J130&gt;0,-PMT(Rm,LoanYears*12,J130)*10000,0)</f>
        <v>190.966118186184</v>
      </c>
      <c r="AF130" s="21" t="n">
        <f aca="false">IF(J130&gt;0,-PMT((Rate+Stress)/12,LoanYears*12,J130)*12/DSR,0)</f>
        <v>0.79836299421502</v>
      </c>
      <c r="AG130" s="20" t="n">
        <f aca="false">IF(N130&lt;=CapA,1,0)</f>
        <v>0</v>
      </c>
      <c r="AH130" s="20" t="n">
        <f aca="false">IF(N130&lt;=CapB,1,0)</f>
        <v>0</v>
      </c>
      <c r="AI130" s="20" t="n">
        <f aca="false">IF(N130&lt;=CapC,1,0)</f>
        <v>1</v>
      </c>
      <c r="AJ130" s="21" t="n">
        <f aca="false">IF(AG130=1,AD130,-999)</f>
        <v>-999</v>
      </c>
      <c r="AK130" s="21" t="n">
        <f aca="false">IF(AH130=1,AD130,-999)</f>
        <v>-999</v>
      </c>
      <c r="AL130" s="21" t="n">
        <f aca="false">IF(AI130=1,AD130,-999)</f>
        <v>9.44945554864018</v>
      </c>
      <c r="AM130" s="21" t="str">
        <f aca="false">C130&amp;"|"&amp;E130&amp;"|"&amp;G130&amp;"|"&amp;TEXT(AJ130,"0.00000")</f>
        <v>1|3|10|-999.00000</v>
      </c>
      <c r="AN130" s="21" t="str">
        <f aca="false">C130&amp;"|"&amp;E130&amp;"|"&amp;G130&amp;"|"&amp;TEXT(AK130,"0.00000")</f>
        <v>1|3|10|-999.00000</v>
      </c>
      <c r="AO130" s="21" t="str">
        <f aca="false">C130&amp;"|"&amp;E130&amp;"|"&amp;G130&amp;"|"&amp;TEXT(AL130,"0.00000")</f>
        <v>1|3|10|9.44946</v>
      </c>
    </row>
    <row r="131" customFormat="false" ht="15" hidden="false" customHeight="false" outlineLevel="0" collapsed="false">
      <c r="A131" s="20" t="n">
        <v>5</v>
      </c>
      <c r="B131" s="18" t="str">
        <f aca="false">INDEX(C_Name,A131)</f>
        <v>신길 래미안에스티움 84㎡</v>
      </c>
      <c r="C131" s="20" t="n">
        <v>2</v>
      </c>
      <c r="D131" s="21" t="str">
        <f aca="false">CHOOSE(C131,"1안 표준형(대출 최대)","2안 절충형(대출 50%)","3안 무대출형","4안 임대차 승계 후 입주","5안 매수 보류(전세 거주)")</f>
        <v>2안 절충형(대출 50%)</v>
      </c>
      <c r="E131" s="20" t="n">
        <v>1</v>
      </c>
      <c r="F131" s="10" t="n">
        <f aca="false">CHOOSE(E131,GrowLo,GrowMid,GrowHi)</f>
        <v>0.02</v>
      </c>
      <c r="G131" s="20" t="n">
        <v>5</v>
      </c>
      <c r="H131" s="18" t="n">
        <f aca="false">INDEX(C_Price,A131)</f>
        <v>18.8</v>
      </c>
      <c r="I131" s="18" t="n">
        <f aca="false">INDEX(C_Jeonse,A131)</f>
        <v>9.776</v>
      </c>
      <c r="J131" s="21" t="n">
        <f aca="false">IF(C131=5,0,IF(C131=1,INDEX(C_Loan,A131),IF(C131=2,INDEX(C_Loan,A131)*LoanShare2,IF(C131=3,0,MIN(INDEX(C_Loan,A131),I131)))))</f>
        <v>2</v>
      </c>
      <c r="K131" s="18" t="n">
        <f aca="false">IF(C131=5,0,INDEX(C_Acq,A131))</f>
        <v>0.6204</v>
      </c>
      <c r="L131" s="18" t="n">
        <f aca="false">IF(C131=5,0,INDEX(C_Fee,A131))</f>
        <v>0.16476</v>
      </c>
      <c r="M131" s="21" t="n">
        <f aca="false">IF(C131=4,MAX(0,I131-J131),0)</f>
        <v>0</v>
      </c>
      <c r="N131" s="21" t="n">
        <f aca="false">IF(C131=5,I131,IF(C131=4,(H131-I131)+K131+L131+M131,H131-J131+K131+L131))</f>
        <v>17.58516</v>
      </c>
      <c r="O131" s="20" t="n">
        <f aca="false">IF(C131=4,RentYears,0)</f>
        <v>0</v>
      </c>
      <c r="P131" s="20" t="n">
        <f aca="false">IF(C131=5,0,MAX(0,G131-O131-NonRes))</f>
        <v>5</v>
      </c>
      <c r="Q131" s="21" t="n">
        <f aca="false">IF(C131=5,0,H131*(1+F131)^G131)</f>
        <v>20.75671910016</v>
      </c>
      <c r="R131" s="21" t="n">
        <f aca="false">IF(C131=5,0,Q131*LOOKUP(Q131,FeeLo,FeeR)*(1+VAT))</f>
        <v>0.159826737071232</v>
      </c>
      <c r="S131" s="21" t="n">
        <f aca="false">IF(J131&gt;0,-CUMIPMT(Rm,LoanYears*12,J131,1,(G131-O131)*12,0),0)</f>
        <v>0.38184861728037</v>
      </c>
      <c r="T131" s="29" t="n">
        <f aca="false">IF(C131=5,0,SUMIFS(Sch_Total,Sch_Idx,A131,Sch_Scen,E131,Sch_Year,"&lt;="&amp;G131))</f>
        <v>0.240349841554406</v>
      </c>
      <c r="U131" s="21" t="n">
        <f aca="false">K131+L131+R131</f>
        <v>0.944986737071232</v>
      </c>
      <c r="V131" s="21" t="n">
        <f aca="false">IF(C131=5,0,Q131-H131-U131)</f>
        <v>1.01173236308877</v>
      </c>
      <c r="W131" s="21" t="n">
        <f aca="false">IF(C131=5,0,MAX(0,IF(P131&gt;=2,IF(Q131&gt;Exempt,V131*(Q131-Exempt)/Q131,0),V131)))</f>
        <v>0.426823529545242</v>
      </c>
      <c r="X131" s="10" t="n">
        <f aca="false">IF(P131&gt;=2,MIN(MaxDed,MIN(0.4,HoldRate*G131)+MIN(0.4,LiveRate*P131)),IF(G131&gt;=3,MIN(0.3,0.02*G131),0))</f>
        <v>0.4</v>
      </c>
      <c r="Y131" s="21" t="n">
        <f aca="false">MAX(0,W131*(1-X131)-InitDed)</f>
        <v>0.231094117727145</v>
      </c>
      <c r="Z131" s="29" t="n">
        <f aca="false">SUMPRODUCT((Y131&gt;CLo)*(Y131-CLo)*CD)*(1+LocalTax)</f>
        <v>0.024270529424979</v>
      </c>
      <c r="AA131" s="21" t="n">
        <f aca="false">K131+T131+Z131</f>
        <v>0.885020370979385</v>
      </c>
      <c r="AB131" s="29" t="n">
        <f aca="false">IF(C131=5,0,(Q131-H131)-K131-L131-R131-S131-T131-Z131)</f>
        <v>0.365263374829013</v>
      </c>
      <c r="AC131" s="21" t="n">
        <f aca="false">IF(C131=5,0,N131*((1+DepRate*(1-DepTax))^G131-1))</f>
        <v>2.3477421845421</v>
      </c>
      <c r="AD131" s="29" t="n">
        <f aca="false">IF(C131=5,0,AB131-AC131+I131*(((1+DepRate*(1-DepTax))^G131-1)-((1+DepRate*(1-DepTax))^O131-1)))</f>
        <v>-0.677314250727919</v>
      </c>
      <c r="AE131" s="30" t="n">
        <f aca="false">IF(J131&gt;0,-PMT(Rm,LoanYears*12,J131)*10000,0)</f>
        <v>95.4830590930919</v>
      </c>
      <c r="AF131" s="21" t="n">
        <f aca="false">IF(J131&gt;0,-PMT((Rate+Stress)/12,LoanYears*12,J131)*12/DSR,0)</f>
        <v>0.39918149710751</v>
      </c>
      <c r="AG131" s="20" t="n">
        <f aca="false">IF(N131&lt;=CapA,1,0)</f>
        <v>0</v>
      </c>
      <c r="AH131" s="20" t="n">
        <f aca="false">IF(N131&lt;=CapB,1,0)</f>
        <v>0</v>
      </c>
      <c r="AI131" s="20" t="n">
        <f aca="false">IF(N131&lt;=CapC,1,0)</f>
        <v>0</v>
      </c>
      <c r="AJ131" s="21" t="n">
        <f aca="false">IF(AG131=1,AD131,-999)</f>
        <v>-999</v>
      </c>
      <c r="AK131" s="21" t="n">
        <f aca="false">IF(AH131=1,AD131,-999)</f>
        <v>-999</v>
      </c>
      <c r="AL131" s="21" t="n">
        <f aca="false">IF(AI131=1,AD131,-999)</f>
        <v>-999</v>
      </c>
      <c r="AM131" s="21" t="str">
        <f aca="false">C131&amp;"|"&amp;E131&amp;"|"&amp;G131&amp;"|"&amp;TEXT(AJ131,"0.00000")</f>
        <v>2|1|5|-999.00000</v>
      </c>
      <c r="AN131" s="21" t="str">
        <f aca="false">C131&amp;"|"&amp;E131&amp;"|"&amp;G131&amp;"|"&amp;TEXT(AK131,"0.00000")</f>
        <v>2|1|5|-999.00000</v>
      </c>
      <c r="AO131" s="21" t="str">
        <f aca="false">C131&amp;"|"&amp;E131&amp;"|"&amp;G131&amp;"|"&amp;TEXT(AL131,"0.00000")</f>
        <v>2|1|5|-999.00000</v>
      </c>
    </row>
    <row r="132" customFormat="false" ht="15" hidden="false" customHeight="false" outlineLevel="0" collapsed="false">
      <c r="A132" s="20" t="n">
        <v>5</v>
      </c>
      <c r="B132" s="18" t="str">
        <f aca="false">INDEX(C_Name,A132)</f>
        <v>신길 래미안에스티움 84㎡</v>
      </c>
      <c r="C132" s="20" t="n">
        <v>2</v>
      </c>
      <c r="D132" s="21" t="str">
        <f aca="false">CHOOSE(C132,"1안 표준형(대출 최대)","2안 절충형(대출 50%)","3안 무대출형","4안 임대차 승계 후 입주","5안 매수 보류(전세 거주)")</f>
        <v>2안 절충형(대출 50%)</v>
      </c>
      <c r="E132" s="20" t="n">
        <v>1</v>
      </c>
      <c r="F132" s="10" t="n">
        <f aca="false">CHOOSE(E132,GrowLo,GrowMid,GrowHi)</f>
        <v>0.02</v>
      </c>
      <c r="G132" s="20" t="n">
        <v>10</v>
      </c>
      <c r="H132" s="18" t="n">
        <f aca="false">INDEX(C_Price,A132)</f>
        <v>18.8</v>
      </c>
      <c r="I132" s="18" t="n">
        <f aca="false">INDEX(C_Jeonse,A132)</f>
        <v>9.776</v>
      </c>
      <c r="J132" s="21" t="n">
        <f aca="false">IF(C132=5,0,IF(C132=1,INDEX(C_Loan,A132),IF(C132=2,INDEX(C_Loan,A132)*LoanShare2,IF(C132=3,0,MIN(INDEX(C_Loan,A132),I132)))))</f>
        <v>2</v>
      </c>
      <c r="K132" s="18" t="n">
        <f aca="false">IF(C132=5,0,INDEX(C_Acq,A132))</f>
        <v>0.6204</v>
      </c>
      <c r="L132" s="18" t="n">
        <f aca="false">IF(C132=5,0,INDEX(C_Fee,A132))</f>
        <v>0.16476</v>
      </c>
      <c r="M132" s="21" t="n">
        <f aca="false">IF(C132=4,MAX(0,I132-J132),0)</f>
        <v>0</v>
      </c>
      <c r="N132" s="21" t="n">
        <f aca="false">IF(C132=5,I132,IF(C132=4,(H132-I132)+K132+L132+M132,H132-J132+K132+L132))</f>
        <v>17.58516</v>
      </c>
      <c r="O132" s="20" t="n">
        <f aca="false">IF(C132=4,RentYears,0)</f>
        <v>0</v>
      </c>
      <c r="P132" s="20" t="n">
        <f aca="false">IF(C132=5,0,MAX(0,G132-O132-NonRes))</f>
        <v>10</v>
      </c>
      <c r="Q132" s="21" t="n">
        <f aca="false">IF(C132=5,0,H132*(1+F132)^G132)</f>
        <v>22.9170950959014</v>
      </c>
      <c r="R132" s="21" t="n">
        <f aca="false">IF(C132=5,0,Q132*LOOKUP(Q132,FeeLo,FeeR)*(1+VAT))</f>
        <v>0.176461632238441</v>
      </c>
      <c r="S132" s="21" t="n">
        <f aca="false">IF(J132&gt;0,-CUMIPMT(Rm,LoanYears*12,J132,1,(G132-O132)*12,0),0)</f>
        <v>0.721475893348725</v>
      </c>
      <c r="T132" s="29" t="n">
        <f aca="false">IF(C132=5,0,SUMIFS(Sch_Total,Sch_Idx,A132,Sch_Scen,E132,Sch_Year,"&lt;="&amp;G132))</f>
        <v>0.532131195518948</v>
      </c>
      <c r="U132" s="21" t="n">
        <f aca="false">K132+L132+R132</f>
        <v>0.961621632238441</v>
      </c>
      <c r="V132" s="21" t="n">
        <f aca="false">IF(C132=5,0,Q132-H132-U132)</f>
        <v>3.155473463663</v>
      </c>
      <c r="W132" s="21" t="n">
        <f aca="false">IF(C132=5,0,MAX(0,IF(P132&gt;=2,IF(Q132&gt;Exempt,V132*(Q132-Exempt)/Q132,0),V132)))</f>
        <v>1.50318370331165</v>
      </c>
      <c r="X132" s="10" t="n">
        <f aca="false">IF(P132&gt;=2,MIN(MaxDed,MIN(0.4,HoldRate*G132)+MIN(0.4,LiveRate*P132)),IF(G132&gt;=3,MIN(0.3,0.02*G132),0))</f>
        <v>0.8</v>
      </c>
      <c r="Y132" s="21" t="n">
        <f aca="false">MAX(0,W132*(1-X132)-InitDed)</f>
        <v>0.27563674066233</v>
      </c>
      <c r="Z132" s="29" t="n">
        <f aca="false">SUMPRODUCT((Y132&gt;CLo)*(Y132-CLo)*CD)*(1+LocalTax)</f>
        <v>0.0316200622092845</v>
      </c>
      <c r="AA132" s="21" t="n">
        <f aca="false">K132+T132+Z132</f>
        <v>1.18415125772823</v>
      </c>
      <c r="AB132" s="29" t="n">
        <f aca="false">IF(C132=5,0,(Q132-H132)-K132-L132-R132-S132-T132-Z132)</f>
        <v>1.87024631258604</v>
      </c>
      <c r="AC132" s="21" t="n">
        <f aca="false">IF(C132=5,0,N132*((1+DepRate*(1-DepTax))^G132-1))</f>
        <v>5.0089244154118</v>
      </c>
      <c r="AD132" s="29" t="n">
        <f aca="false">IF(C132=5,0,AB132-AC132+I132*(((1+DepRate*(1-DepTax))^G132-1)-((1+DepRate*(1-DepTax))^O132-1)))</f>
        <v>-0.354100363125597</v>
      </c>
      <c r="AE132" s="30" t="n">
        <f aca="false">IF(J132&gt;0,-PMT(Rm,LoanYears*12,J132)*10000,0)</f>
        <v>95.4830590930919</v>
      </c>
      <c r="AF132" s="21" t="n">
        <f aca="false">IF(J132&gt;0,-PMT((Rate+Stress)/12,LoanYears*12,J132)*12/DSR,0)</f>
        <v>0.39918149710751</v>
      </c>
      <c r="AG132" s="20" t="n">
        <f aca="false">IF(N132&lt;=CapA,1,0)</f>
        <v>0</v>
      </c>
      <c r="AH132" s="20" t="n">
        <f aca="false">IF(N132&lt;=CapB,1,0)</f>
        <v>0</v>
      </c>
      <c r="AI132" s="20" t="n">
        <f aca="false">IF(N132&lt;=CapC,1,0)</f>
        <v>0</v>
      </c>
      <c r="AJ132" s="21" t="n">
        <f aca="false">IF(AG132=1,AD132,-999)</f>
        <v>-999</v>
      </c>
      <c r="AK132" s="21" t="n">
        <f aca="false">IF(AH132=1,AD132,-999)</f>
        <v>-999</v>
      </c>
      <c r="AL132" s="21" t="n">
        <f aca="false">IF(AI132=1,AD132,-999)</f>
        <v>-999</v>
      </c>
      <c r="AM132" s="21" t="str">
        <f aca="false">C132&amp;"|"&amp;E132&amp;"|"&amp;G132&amp;"|"&amp;TEXT(AJ132,"0.00000")</f>
        <v>2|1|10|-999.00000</v>
      </c>
      <c r="AN132" s="21" t="str">
        <f aca="false">C132&amp;"|"&amp;E132&amp;"|"&amp;G132&amp;"|"&amp;TEXT(AK132,"0.00000")</f>
        <v>2|1|10|-999.00000</v>
      </c>
      <c r="AO132" s="21" t="str">
        <f aca="false">C132&amp;"|"&amp;E132&amp;"|"&amp;G132&amp;"|"&amp;TEXT(AL132,"0.00000")</f>
        <v>2|1|10|-999.00000</v>
      </c>
    </row>
    <row r="133" customFormat="false" ht="15" hidden="false" customHeight="false" outlineLevel="0" collapsed="false">
      <c r="A133" s="20" t="n">
        <v>5</v>
      </c>
      <c r="B133" s="18" t="str">
        <f aca="false">INDEX(C_Name,A133)</f>
        <v>신길 래미안에스티움 84㎡</v>
      </c>
      <c r="C133" s="20" t="n">
        <v>2</v>
      </c>
      <c r="D133" s="21" t="str">
        <f aca="false">CHOOSE(C133,"1안 표준형(대출 최대)","2안 절충형(대출 50%)","3안 무대출형","4안 임대차 승계 후 입주","5안 매수 보류(전세 거주)")</f>
        <v>2안 절충형(대출 50%)</v>
      </c>
      <c r="E133" s="20" t="n">
        <v>2</v>
      </c>
      <c r="F133" s="10" t="n">
        <f aca="false">CHOOSE(E133,GrowLo,GrowMid,GrowHi)</f>
        <v>0.04</v>
      </c>
      <c r="G133" s="20" t="n">
        <v>5</v>
      </c>
      <c r="H133" s="18" t="n">
        <f aca="false">INDEX(C_Price,A133)</f>
        <v>18.8</v>
      </c>
      <c r="I133" s="18" t="n">
        <f aca="false">INDEX(C_Jeonse,A133)</f>
        <v>9.776</v>
      </c>
      <c r="J133" s="21" t="n">
        <f aca="false">IF(C133=5,0,IF(C133=1,INDEX(C_Loan,A133),IF(C133=2,INDEX(C_Loan,A133)*LoanShare2,IF(C133=3,0,MIN(INDEX(C_Loan,A133),I133)))))</f>
        <v>2</v>
      </c>
      <c r="K133" s="18" t="n">
        <f aca="false">IF(C133=5,0,INDEX(C_Acq,A133))</f>
        <v>0.6204</v>
      </c>
      <c r="L133" s="18" t="n">
        <f aca="false">IF(C133=5,0,INDEX(C_Fee,A133))</f>
        <v>0.16476</v>
      </c>
      <c r="M133" s="21" t="n">
        <f aca="false">IF(C133=4,MAX(0,I133-J133),0)</f>
        <v>0</v>
      </c>
      <c r="N133" s="21" t="n">
        <f aca="false">IF(C133=5,I133,IF(C133=4,(H133-I133)+K133+L133+M133,H133-J133+K133+L133))</f>
        <v>17.58516</v>
      </c>
      <c r="O133" s="20" t="n">
        <f aca="false">IF(C133=4,RentYears,0)</f>
        <v>0</v>
      </c>
      <c r="P133" s="20" t="n">
        <f aca="false">IF(C133=5,0,MAX(0,G133-O133-NonRes))</f>
        <v>5</v>
      </c>
      <c r="Q133" s="21" t="n">
        <f aca="false">IF(C133=5,0,H133*(1+F133)^G133)</f>
        <v>22.87307456512</v>
      </c>
      <c r="R133" s="21" t="n">
        <f aca="false">IF(C133=5,0,Q133*LOOKUP(Q133,FeeLo,FeeR)*(1+VAT))</f>
        <v>0.176122674151424</v>
      </c>
      <c r="S133" s="21" t="n">
        <f aca="false">IF(J133&gt;0,-CUMIPMT(Rm,LoanYears*12,J133,1,(G133-O133)*12,0),0)</f>
        <v>0.38184861728037</v>
      </c>
      <c r="T133" s="29" t="n">
        <f aca="false">IF(C133=5,0,SUMIFS(Sch_Total,Sch_Idx,A133,Sch_Scen,E133,Sch_Year,"&lt;="&amp;G133))</f>
        <v>0.260507125337702</v>
      </c>
      <c r="U133" s="21" t="n">
        <f aca="false">K133+L133+R133</f>
        <v>0.961282674151424</v>
      </c>
      <c r="V133" s="21" t="n">
        <f aca="false">IF(C133=5,0,Q133-H133-U133)</f>
        <v>3.11179189096858</v>
      </c>
      <c r="W133" s="21" t="n">
        <f aca="false">IF(C133=5,0,MAX(0,IF(P133&gt;=2,IF(Q133&gt;Exempt,V133*(Q133-Exempt)/Q133,0),V133)))</f>
        <v>1.47923905749133</v>
      </c>
      <c r="X133" s="10" t="n">
        <f aca="false">IF(P133&gt;=2,MIN(MaxDed,MIN(0.4,HoldRate*G133)+MIN(0.4,LiveRate*P133)),IF(G133&gt;=3,MIN(0.3,0.02*G133),0))</f>
        <v>0.4</v>
      </c>
      <c r="Y133" s="21" t="n">
        <f aca="false">MAX(0,W133*(1-X133)-InitDed)</f>
        <v>0.862543434494801</v>
      </c>
      <c r="Z133" s="29" t="n">
        <f aca="false">SUMPRODUCT((Y133&gt;CLo)*(Y133-CLo)*CD)*(1+LocalTax)</f>
        <v>0.164351466706627</v>
      </c>
      <c r="AA133" s="21" t="n">
        <f aca="false">K133+T133+Z133</f>
        <v>1.04525859204433</v>
      </c>
      <c r="AB133" s="29" t="n">
        <f aca="false">IF(C133=5,0,(Q133-H133)-K133-L133-R133-S133-T133-Z133)</f>
        <v>2.30508468164388</v>
      </c>
      <c r="AC133" s="21" t="n">
        <f aca="false">IF(C133=5,0,N133*((1+DepRate*(1-DepTax))^G133-1))</f>
        <v>2.3477421845421</v>
      </c>
      <c r="AD133" s="29" t="n">
        <f aca="false">IF(C133=5,0,AB133-AC133+I133*(((1+DepRate*(1-DepTax))^G133-1)-((1+DepRate*(1-DepTax))^O133-1)))</f>
        <v>1.26250705608695</v>
      </c>
      <c r="AE133" s="30" t="n">
        <f aca="false">IF(J133&gt;0,-PMT(Rm,LoanYears*12,J133)*10000,0)</f>
        <v>95.4830590930919</v>
      </c>
      <c r="AF133" s="21" t="n">
        <f aca="false">IF(J133&gt;0,-PMT((Rate+Stress)/12,LoanYears*12,J133)*12/DSR,0)</f>
        <v>0.39918149710751</v>
      </c>
      <c r="AG133" s="20" t="n">
        <f aca="false">IF(N133&lt;=CapA,1,0)</f>
        <v>0</v>
      </c>
      <c r="AH133" s="20" t="n">
        <f aca="false">IF(N133&lt;=CapB,1,0)</f>
        <v>0</v>
      </c>
      <c r="AI133" s="20" t="n">
        <f aca="false">IF(N133&lt;=CapC,1,0)</f>
        <v>0</v>
      </c>
      <c r="AJ133" s="21" t="n">
        <f aca="false">IF(AG133=1,AD133,-999)</f>
        <v>-999</v>
      </c>
      <c r="AK133" s="21" t="n">
        <f aca="false">IF(AH133=1,AD133,-999)</f>
        <v>-999</v>
      </c>
      <c r="AL133" s="21" t="n">
        <f aca="false">IF(AI133=1,AD133,-999)</f>
        <v>-999</v>
      </c>
      <c r="AM133" s="21" t="str">
        <f aca="false">C133&amp;"|"&amp;E133&amp;"|"&amp;G133&amp;"|"&amp;TEXT(AJ133,"0.00000")</f>
        <v>2|2|5|-999.00000</v>
      </c>
      <c r="AN133" s="21" t="str">
        <f aca="false">C133&amp;"|"&amp;E133&amp;"|"&amp;G133&amp;"|"&amp;TEXT(AK133,"0.00000")</f>
        <v>2|2|5|-999.00000</v>
      </c>
      <c r="AO133" s="21" t="str">
        <f aca="false">C133&amp;"|"&amp;E133&amp;"|"&amp;G133&amp;"|"&amp;TEXT(AL133,"0.00000")</f>
        <v>2|2|5|-999.00000</v>
      </c>
    </row>
    <row r="134" customFormat="false" ht="15" hidden="false" customHeight="false" outlineLevel="0" collapsed="false">
      <c r="A134" s="20" t="n">
        <v>5</v>
      </c>
      <c r="B134" s="18" t="str">
        <f aca="false">INDEX(C_Name,A134)</f>
        <v>신길 래미안에스티움 84㎡</v>
      </c>
      <c r="C134" s="20" t="n">
        <v>2</v>
      </c>
      <c r="D134" s="21" t="str">
        <f aca="false">CHOOSE(C134,"1안 표준형(대출 최대)","2안 절충형(대출 50%)","3안 무대출형","4안 임대차 승계 후 입주","5안 매수 보류(전세 거주)")</f>
        <v>2안 절충형(대출 50%)</v>
      </c>
      <c r="E134" s="20" t="n">
        <v>2</v>
      </c>
      <c r="F134" s="10" t="n">
        <f aca="false">CHOOSE(E134,GrowLo,GrowMid,GrowHi)</f>
        <v>0.04</v>
      </c>
      <c r="G134" s="20" t="n">
        <v>10</v>
      </c>
      <c r="H134" s="18" t="n">
        <f aca="false">INDEX(C_Price,A134)</f>
        <v>18.8</v>
      </c>
      <c r="I134" s="18" t="n">
        <f aca="false">INDEX(C_Jeonse,A134)</f>
        <v>9.776</v>
      </c>
      <c r="J134" s="21" t="n">
        <f aca="false">IF(C134=5,0,IF(C134=1,INDEX(C_Loan,A134),IF(C134=2,INDEX(C_Loan,A134)*LoanShare2,IF(C134=3,0,MIN(INDEX(C_Loan,A134),I134)))))</f>
        <v>2</v>
      </c>
      <c r="K134" s="18" t="n">
        <f aca="false">IF(C134=5,0,INDEX(C_Acq,A134))</f>
        <v>0.6204</v>
      </c>
      <c r="L134" s="18" t="n">
        <f aca="false">IF(C134=5,0,INDEX(C_Fee,A134))</f>
        <v>0.16476</v>
      </c>
      <c r="M134" s="21" t="n">
        <f aca="false">IF(C134=4,MAX(0,I134-J134),0)</f>
        <v>0</v>
      </c>
      <c r="N134" s="21" t="n">
        <f aca="false">IF(C134=5,I134,IF(C134=4,(H134-I134)+K134+L134+M134,H134-J134+K134+L134))</f>
        <v>17.58516</v>
      </c>
      <c r="O134" s="20" t="n">
        <f aca="false">IF(C134=4,RentYears,0)</f>
        <v>0</v>
      </c>
      <c r="P134" s="20" t="n">
        <f aca="false">IF(C134=5,0,MAX(0,G134-O134-NonRes))</f>
        <v>10</v>
      </c>
      <c r="Q134" s="21" t="n">
        <f aca="false">IF(C134=5,0,H134*(1+F134)^G134)</f>
        <v>27.8285925564649</v>
      </c>
      <c r="R134" s="21" t="n">
        <f aca="false">IF(C134=5,0,Q134*LOOKUP(Q134,FeeLo,FeeR)*(1+VAT))</f>
        <v>0.21428016268478</v>
      </c>
      <c r="S134" s="21" t="n">
        <f aca="false">IF(J134&gt;0,-CUMIPMT(Rm,LoanYears*12,J134,1,(G134-O134)*12,0),0)</f>
        <v>0.721475893348725</v>
      </c>
      <c r="T134" s="29" t="n">
        <f aca="false">IF(C134=5,0,SUMIFS(Sch_Total,Sch_Idx,A134,Sch_Scen,E134,Sch_Year,"&lt;="&amp;G134))</f>
        <v>0.635733007758503</v>
      </c>
      <c r="U134" s="21" t="n">
        <f aca="false">K134+L134+R134</f>
        <v>0.99944016268478</v>
      </c>
      <c r="V134" s="21" t="n">
        <f aca="false">IF(C134=5,0,Q134-H134-U134)</f>
        <v>8.0291523937801</v>
      </c>
      <c r="W134" s="21" t="n">
        <f aca="false">IF(C134=5,0,MAX(0,IF(P134&gt;=2,IF(Q134&gt;Exempt,V134*(Q134-Exempt)/Q134,0),V134)))</f>
        <v>4.56689218317602</v>
      </c>
      <c r="X134" s="10" t="n">
        <f aca="false">IF(P134&gt;=2,MIN(MaxDed,MIN(0.4,HoldRate*G134)+MIN(0.4,LiveRate*P134)),IF(G134&gt;=3,MIN(0.3,0.02*G134),0))</f>
        <v>0.8</v>
      </c>
      <c r="Y134" s="21" t="n">
        <f aca="false">MAX(0,W134*(1-X134)-InitDed)</f>
        <v>0.888378436635203</v>
      </c>
      <c r="Z134" s="29" t="n">
        <f aca="false">SUMPRODUCT((Y134&gt;CLo)*(Y134-CLo)*CD)*(1+LocalTax)</f>
        <v>0.172185698104553</v>
      </c>
      <c r="AA134" s="21" t="n">
        <f aca="false">K134+T134+Z134</f>
        <v>1.42831870586306</v>
      </c>
      <c r="AB134" s="29" t="n">
        <f aca="false">IF(C134=5,0,(Q134-H134)-K134-L134-R134-S134-T134-Z134)</f>
        <v>6.49975779456832</v>
      </c>
      <c r="AC134" s="21" t="n">
        <f aca="false">IF(C134=5,0,N134*((1+DepRate*(1-DepTax))^G134-1))</f>
        <v>5.0089244154118</v>
      </c>
      <c r="AD134" s="29" t="n">
        <f aca="false">IF(C134=5,0,AB134-AC134+I134*(((1+DepRate*(1-DepTax))^G134-1)-((1+DepRate*(1-DepTax))^O134-1)))</f>
        <v>4.27541111885668</v>
      </c>
      <c r="AE134" s="30" t="n">
        <f aca="false">IF(J134&gt;0,-PMT(Rm,LoanYears*12,J134)*10000,0)</f>
        <v>95.4830590930919</v>
      </c>
      <c r="AF134" s="21" t="n">
        <f aca="false">IF(J134&gt;0,-PMT((Rate+Stress)/12,LoanYears*12,J134)*12/DSR,0)</f>
        <v>0.39918149710751</v>
      </c>
      <c r="AG134" s="20" t="n">
        <f aca="false">IF(N134&lt;=CapA,1,0)</f>
        <v>0</v>
      </c>
      <c r="AH134" s="20" t="n">
        <f aca="false">IF(N134&lt;=CapB,1,0)</f>
        <v>0</v>
      </c>
      <c r="AI134" s="20" t="n">
        <f aca="false">IF(N134&lt;=CapC,1,0)</f>
        <v>0</v>
      </c>
      <c r="AJ134" s="21" t="n">
        <f aca="false">IF(AG134=1,AD134,-999)</f>
        <v>-999</v>
      </c>
      <c r="AK134" s="21" t="n">
        <f aca="false">IF(AH134=1,AD134,-999)</f>
        <v>-999</v>
      </c>
      <c r="AL134" s="21" t="n">
        <f aca="false">IF(AI134=1,AD134,-999)</f>
        <v>-999</v>
      </c>
      <c r="AM134" s="21" t="str">
        <f aca="false">C134&amp;"|"&amp;E134&amp;"|"&amp;G134&amp;"|"&amp;TEXT(AJ134,"0.00000")</f>
        <v>2|2|10|-999.00000</v>
      </c>
      <c r="AN134" s="21" t="str">
        <f aca="false">C134&amp;"|"&amp;E134&amp;"|"&amp;G134&amp;"|"&amp;TEXT(AK134,"0.00000")</f>
        <v>2|2|10|-999.00000</v>
      </c>
      <c r="AO134" s="21" t="str">
        <f aca="false">C134&amp;"|"&amp;E134&amp;"|"&amp;G134&amp;"|"&amp;TEXT(AL134,"0.00000")</f>
        <v>2|2|10|-999.00000</v>
      </c>
    </row>
    <row r="135" customFormat="false" ht="15" hidden="false" customHeight="false" outlineLevel="0" collapsed="false">
      <c r="A135" s="20" t="n">
        <v>5</v>
      </c>
      <c r="B135" s="18" t="str">
        <f aca="false">INDEX(C_Name,A135)</f>
        <v>신길 래미안에스티움 84㎡</v>
      </c>
      <c r="C135" s="20" t="n">
        <v>2</v>
      </c>
      <c r="D135" s="21" t="str">
        <f aca="false">CHOOSE(C135,"1안 표준형(대출 최대)","2안 절충형(대출 50%)","3안 무대출형","4안 임대차 승계 후 입주","5안 매수 보류(전세 거주)")</f>
        <v>2안 절충형(대출 50%)</v>
      </c>
      <c r="E135" s="20" t="n">
        <v>3</v>
      </c>
      <c r="F135" s="10" t="n">
        <f aca="false">CHOOSE(E135,GrowLo,GrowMid,GrowHi)</f>
        <v>0.06</v>
      </c>
      <c r="G135" s="20" t="n">
        <v>5</v>
      </c>
      <c r="H135" s="18" t="n">
        <f aca="false">INDEX(C_Price,A135)</f>
        <v>18.8</v>
      </c>
      <c r="I135" s="18" t="n">
        <f aca="false">INDEX(C_Jeonse,A135)</f>
        <v>9.776</v>
      </c>
      <c r="J135" s="21" t="n">
        <f aca="false">IF(C135=5,0,IF(C135=1,INDEX(C_Loan,A135),IF(C135=2,INDEX(C_Loan,A135)*LoanShare2,IF(C135=3,0,MIN(INDEX(C_Loan,A135),I135)))))</f>
        <v>2</v>
      </c>
      <c r="K135" s="18" t="n">
        <f aca="false">IF(C135=5,0,INDEX(C_Acq,A135))</f>
        <v>0.6204</v>
      </c>
      <c r="L135" s="18" t="n">
        <f aca="false">IF(C135=5,0,INDEX(C_Fee,A135))</f>
        <v>0.16476</v>
      </c>
      <c r="M135" s="21" t="n">
        <f aca="false">IF(C135=4,MAX(0,I135-J135),0)</f>
        <v>0</v>
      </c>
      <c r="N135" s="21" t="n">
        <f aca="false">IF(C135=5,I135,IF(C135=4,(H135-I135)+K135+L135+M135,H135-J135+K135+L135))</f>
        <v>17.58516</v>
      </c>
      <c r="O135" s="20" t="n">
        <f aca="false">IF(C135=4,RentYears,0)</f>
        <v>0</v>
      </c>
      <c r="P135" s="20" t="n">
        <f aca="false">IF(C135=5,0,MAX(0,G135-O135-NonRes))</f>
        <v>5</v>
      </c>
      <c r="Q135" s="21" t="n">
        <f aca="false">IF(C135=5,0,H135*(1+F135)^G135)</f>
        <v>25.15864085888</v>
      </c>
      <c r="R135" s="21" t="n">
        <f aca="false">IF(C135=5,0,Q135*LOOKUP(Q135,FeeLo,FeeR)*(1+VAT))</f>
        <v>0.193721534613376</v>
      </c>
      <c r="S135" s="21" t="n">
        <f aca="false">IF(J135&gt;0,-CUMIPMT(Rm,LoanYears*12,J135,1,(G135-O135)*12,0),0)</f>
        <v>0.38184861728037</v>
      </c>
      <c r="T135" s="29" t="n">
        <f aca="false">IF(C135=5,0,SUMIFS(Sch_Total,Sch_Idx,A135,Sch_Scen,E135,Sch_Year,"&lt;="&amp;G135))</f>
        <v>0.281470387500518</v>
      </c>
      <c r="U135" s="21" t="n">
        <f aca="false">K135+L135+R135</f>
        <v>0.978881534613376</v>
      </c>
      <c r="V135" s="21" t="n">
        <f aca="false">IF(C135=5,0,Q135-H135-U135)</f>
        <v>5.37975932426663</v>
      </c>
      <c r="W135" s="21" t="n">
        <f aca="false">IF(C135=5,0,MAX(0,IF(P135&gt;=2,IF(Q135&gt;Exempt,V135*(Q135-Exempt)/Q135,0),V135)))</f>
        <v>2.81375775632368</v>
      </c>
      <c r="X135" s="10" t="n">
        <f aca="false">IF(P135&gt;=2,MIN(MaxDed,MIN(0.4,HoldRate*G135)+MIN(0.4,LiveRate*P135)),IF(G135&gt;=3,MIN(0.3,0.02*G135),0))</f>
        <v>0.4</v>
      </c>
      <c r="Y135" s="21" t="n">
        <f aca="false">MAX(0,W135*(1-X135)-InitDed)</f>
        <v>1.66325465379421</v>
      </c>
      <c r="Z135" s="29" t="n">
        <f aca="false">SUMPRODUCT((Y135&gt;CLo)*(Y135-CLo)*CD)*(1+LocalTax)</f>
        <v>0.47590044528598</v>
      </c>
      <c r="AA135" s="21" t="n">
        <f aca="false">K135+T135+Z135</f>
        <v>1.3777708327865</v>
      </c>
      <c r="AB135" s="29" t="n">
        <f aca="false">IF(C135=5,0,(Q135-H135)-K135-L135-R135-S135-T135-Z135)</f>
        <v>4.24053987419976</v>
      </c>
      <c r="AC135" s="21" t="n">
        <f aca="false">IF(C135=5,0,N135*((1+DepRate*(1-DepTax))^G135-1))</f>
        <v>2.3477421845421</v>
      </c>
      <c r="AD135" s="29" t="n">
        <f aca="false">IF(C135=5,0,AB135-AC135+I135*(((1+DepRate*(1-DepTax))^G135-1)-((1+DepRate*(1-DepTax))^O135-1)))</f>
        <v>3.19796224864283</v>
      </c>
      <c r="AE135" s="30" t="n">
        <f aca="false">IF(J135&gt;0,-PMT(Rm,LoanYears*12,J135)*10000,0)</f>
        <v>95.4830590930919</v>
      </c>
      <c r="AF135" s="21" t="n">
        <f aca="false">IF(J135&gt;0,-PMT((Rate+Stress)/12,LoanYears*12,J135)*12/DSR,0)</f>
        <v>0.39918149710751</v>
      </c>
      <c r="AG135" s="20" t="n">
        <f aca="false">IF(N135&lt;=CapA,1,0)</f>
        <v>0</v>
      </c>
      <c r="AH135" s="20" t="n">
        <f aca="false">IF(N135&lt;=CapB,1,0)</f>
        <v>0</v>
      </c>
      <c r="AI135" s="20" t="n">
        <f aca="false">IF(N135&lt;=CapC,1,0)</f>
        <v>0</v>
      </c>
      <c r="AJ135" s="21" t="n">
        <f aca="false">IF(AG135=1,AD135,-999)</f>
        <v>-999</v>
      </c>
      <c r="AK135" s="21" t="n">
        <f aca="false">IF(AH135=1,AD135,-999)</f>
        <v>-999</v>
      </c>
      <c r="AL135" s="21" t="n">
        <f aca="false">IF(AI135=1,AD135,-999)</f>
        <v>-999</v>
      </c>
      <c r="AM135" s="21" t="str">
        <f aca="false">C135&amp;"|"&amp;E135&amp;"|"&amp;G135&amp;"|"&amp;TEXT(AJ135,"0.00000")</f>
        <v>2|3|5|-999.00000</v>
      </c>
      <c r="AN135" s="21" t="str">
        <f aca="false">C135&amp;"|"&amp;E135&amp;"|"&amp;G135&amp;"|"&amp;TEXT(AK135,"0.00000")</f>
        <v>2|3|5|-999.00000</v>
      </c>
      <c r="AO135" s="21" t="str">
        <f aca="false">C135&amp;"|"&amp;E135&amp;"|"&amp;G135&amp;"|"&amp;TEXT(AL135,"0.00000")</f>
        <v>2|3|5|-999.00000</v>
      </c>
    </row>
    <row r="136" customFormat="false" ht="15" hidden="false" customHeight="false" outlineLevel="0" collapsed="false">
      <c r="A136" s="20" t="n">
        <v>5</v>
      </c>
      <c r="B136" s="18" t="str">
        <f aca="false">INDEX(C_Name,A136)</f>
        <v>신길 래미안에스티움 84㎡</v>
      </c>
      <c r="C136" s="20" t="n">
        <v>2</v>
      </c>
      <c r="D136" s="21" t="str">
        <f aca="false">CHOOSE(C136,"1안 표준형(대출 최대)","2안 절충형(대출 50%)","3안 무대출형","4안 임대차 승계 후 입주","5안 매수 보류(전세 거주)")</f>
        <v>2안 절충형(대출 50%)</v>
      </c>
      <c r="E136" s="20" t="n">
        <v>3</v>
      </c>
      <c r="F136" s="10" t="n">
        <f aca="false">CHOOSE(E136,GrowLo,GrowMid,GrowHi)</f>
        <v>0.06</v>
      </c>
      <c r="G136" s="20" t="n">
        <v>10</v>
      </c>
      <c r="H136" s="18" t="n">
        <f aca="false">INDEX(C_Price,A136)</f>
        <v>18.8</v>
      </c>
      <c r="I136" s="18" t="n">
        <f aca="false">INDEX(C_Jeonse,A136)</f>
        <v>9.776</v>
      </c>
      <c r="J136" s="21" t="n">
        <f aca="false">IF(C136=5,0,IF(C136=1,INDEX(C_Loan,A136),IF(C136=2,INDEX(C_Loan,A136)*LoanShare2,IF(C136=3,0,MIN(INDEX(C_Loan,A136),I136)))))</f>
        <v>2</v>
      </c>
      <c r="K136" s="18" t="n">
        <f aca="false">IF(C136=5,0,INDEX(C_Acq,A136))</f>
        <v>0.6204</v>
      </c>
      <c r="L136" s="18" t="n">
        <f aca="false">IF(C136=5,0,INDEX(C_Fee,A136))</f>
        <v>0.16476</v>
      </c>
      <c r="M136" s="21" t="n">
        <f aca="false">IF(C136=4,MAX(0,I136-J136),0)</f>
        <v>0</v>
      </c>
      <c r="N136" s="21" t="n">
        <f aca="false">IF(C136=5,I136,IF(C136=4,(H136-I136)+K136+L136+M136,H136-J136+K136+L136))</f>
        <v>17.58516</v>
      </c>
      <c r="O136" s="20" t="n">
        <f aca="false">IF(C136=4,RentYears,0)</f>
        <v>0</v>
      </c>
      <c r="P136" s="20" t="n">
        <f aca="false">IF(C136=5,0,MAX(0,G136-O136-NonRes))</f>
        <v>10</v>
      </c>
      <c r="Q136" s="21" t="n">
        <f aca="false">IF(C136=5,0,H136*(1+F136)^G136)</f>
        <v>33.6679366950057</v>
      </c>
      <c r="R136" s="21" t="n">
        <f aca="false">IF(C136=5,0,Q136*LOOKUP(Q136,FeeLo,FeeR)*(1+VAT))</f>
        <v>0.259243112551544</v>
      </c>
      <c r="S136" s="21" t="n">
        <f aca="false">IF(J136&gt;0,-CUMIPMT(Rm,LoanYears*12,J136,1,(G136-O136)*12,0),0)</f>
        <v>0.721475893348725</v>
      </c>
      <c r="T136" s="29" t="n">
        <f aca="false">IF(C136=5,0,SUMIFS(Sch_Total,Sch_Idx,A136,Sch_Scen,E136,Sch_Year,"&lt;="&amp;G136))</f>
        <v>0.762496850031817</v>
      </c>
      <c r="U136" s="21" t="n">
        <f aca="false">K136+L136+R136</f>
        <v>1.04440311255154</v>
      </c>
      <c r="V136" s="21" t="n">
        <f aca="false">IF(C136=5,0,Q136-H136-U136)</f>
        <v>13.8235335824541</v>
      </c>
      <c r="W136" s="21" t="n">
        <f aca="false">IF(C136=5,0,MAX(0,IF(P136&gt;=2,IF(Q136&gt;Exempt,V136*(Q136-Exempt)/Q136,0),V136)))</f>
        <v>8.8965193584415</v>
      </c>
      <c r="X136" s="10" t="n">
        <f aca="false">IF(P136&gt;=2,MIN(MaxDed,MIN(0.4,HoldRate*G136)+MIN(0.4,LiveRate*P136)),IF(G136&gt;=3,MIN(0.3,0.02*G136),0))</f>
        <v>0.8</v>
      </c>
      <c r="Y136" s="21" t="n">
        <f aca="false">MAX(0,W136*(1-X136)-InitDed)</f>
        <v>1.7543038716883</v>
      </c>
      <c r="Z136" s="29" t="n">
        <f aca="false">SUMPRODUCT((Y136&gt;CLo)*(Y136-CLo)*CD)*(1+LocalTax)</f>
        <v>0.513959018365709</v>
      </c>
      <c r="AA136" s="21" t="n">
        <f aca="false">K136+T136+Z136</f>
        <v>1.89685586839753</v>
      </c>
      <c r="AB136" s="29" t="n">
        <f aca="false">IF(C136=5,0,(Q136-H136)-K136-L136-R136-S136-T136-Z136)</f>
        <v>11.8256018207079</v>
      </c>
      <c r="AC136" s="21" t="n">
        <f aca="false">IF(C136=5,0,N136*((1+DepRate*(1-DepTax))^G136-1))</f>
        <v>5.0089244154118</v>
      </c>
      <c r="AD136" s="29" t="n">
        <f aca="false">IF(C136=5,0,AB136-AC136+I136*(((1+DepRate*(1-DepTax))^G136-1)-((1+DepRate*(1-DepTax))^O136-1)))</f>
        <v>9.60125514499624</v>
      </c>
      <c r="AE136" s="30" t="n">
        <f aca="false">IF(J136&gt;0,-PMT(Rm,LoanYears*12,J136)*10000,0)</f>
        <v>95.4830590930919</v>
      </c>
      <c r="AF136" s="21" t="n">
        <f aca="false">IF(J136&gt;0,-PMT((Rate+Stress)/12,LoanYears*12,J136)*12/DSR,0)</f>
        <v>0.39918149710751</v>
      </c>
      <c r="AG136" s="20" t="n">
        <f aca="false">IF(N136&lt;=CapA,1,0)</f>
        <v>0</v>
      </c>
      <c r="AH136" s="20" t="n">
        <f aca="false">IF(N136&lt;=CapB,1,0)</f>
        <v>0</v>
      </c>
      <c r="AI136" s="20" t="n">
        <f aca="false">IF(N136&lt;=CapC,1,0)</f>
        <v>0</v>
      </c>
      <c r="AJ136" s="21" t="n">
        <f aca="false">IF(AG136=1,AD136,-999)</f>
        <v>-999</v>
      </c>
      <c r="AK136" s="21" t="n">
        <f aca="false">IF(AH136=1,AD136,-999)</f>
        <v>-999</v>
      </c>
      <c r="AL136" s="21" t="n">
        <f aca="false">IF(AI136=1,AD136,-999)</f>
        <v>-999</v>
      </c>
      <c r="AM136" s="21" t="str">
        <f aca="false">C136&amp;"|"&amp;E136&amp;"|"&amp;G136&amp;"|"&amp;TEXT(AJ136,"0.00000")</f>
        <v>2|3|10|-999.00000</v>
      </c>
      <c r="AN136" s="21" t="str">
        <f aca="false">C136&amp;"|"&amp;E136&amp;"|"&amp;G136&amp;"|"&amp;TEXT(AK136,"0.00000")</f>
        <v>2|3|10|-999.00000</v>
      </c>
      <c r="AO136" s="21" t="str">
        <f aca="false">C136&amp;"|"&amp;E136&amp;"|"&amp;G136&amp;"|"&amp;TEXT(AL136,"0.00000")</f>
        <v>2|3|10|-999.00000</v>
      </c>
    </row>
    <row r="137" customFormat="false" ht="15" hidden="false" customHeight="false" outlineLevel="0" collapsed="false">
      <c r="A137" s="20" t="n">
        <v>5</v>
      </c>
      <c r="B137" s="18" t="str">
        <f aca="false">INDEX(C_Name,A137)</f>
        <v>신길 래미안에스티움 84㎡</v>
      </c>
      <c r="C137" s="20" t="n">
        <v>3</v>
      </c>
      <c r="D137" s="21" t="str">
        <f aca="false">CHOOSE(C137,"1안 표준형(대출 최대)","2안 절충형(대출 50%)","3안 무대출형","4안 임대차 승계 후 입주","5안 매수 보류(전세 거주)")</f>
        <v>3안 무대출형</v>
      </c>
      <c r="E137" s="20" t="n">
        <v>1</v>
      </c>
      <c r="F137" s="10" t="n">
        <f aca="false">CHOOSE(E137,GrowLo,GrowMid,GrowHi)</f>
        <v>0.02</v>
      </c>
      <c r="G137" s="20" t="n">
        <v>5</v>
      </c>
      <c r="H137" s="18" t="n">
        <f aca="false">INDEX(C_Price,A137)</f>
        <v>18.8</v>
      </c>
      <c r="I137" s="18" t="n">
        <f aca="false">INDEX(C_Jeonse,A137)</f>
        <v>9.776</v>
      </c>
      <c r="J137" s="21" t="n">
        <f aca="false">IF(C137=5,0,IF(C137=1,INDEX(C_Loan,A137),IF(C137=2,INDEX(C_Loan,A137)*LoanShare2,IF(C137=3,0,MIN(INDEX(C_Loan,A137),I137)))))</f>
        <v>0</v>
      </c>
      <c r="K137" s="18" t="n">
        <f aca="false">IF(C137=5,0,INDEX(C_Acq,A137))</f>
        <v>0.6204</v>
      </c>
      <c r="L137" s="18" t="n">
        <f aca="false">IF(C137=5,0,INDEX(C_Fee,A137))</f>
        <v>0.16476</v>
      </c>
      <c r="M137" s="21" t="n">
        <f aca="false">IF(C137=4,MAX(0,I137-J137),0)</f>
        <v>0</v>
      </c>
      <c r="N137" s="21" t="n">
        <f aca="false">IF(C137=5,I137,IF(C137=4,(H137-I137)+K137+L137+M137,H137-J137+K137+L137))</f>
        <v>19.58516</v>
      </c>
      <c r="O137" s="20" t="n">
        <f aca="false">IF(C137=4,RentYears,0)</f>
        <v>0</v>
      </c>
      <c r="P137" s="20" t="n">
        <f aca="false">IF(C137=5,0,MAX(0,G137-O137-NonRes))</f>
        <v>5</v>
      </c>
      <c r="Q137" s="21" t="n">
        <f aca="false">IF(C137=5,0,H137*(1+F137)^G137)</f>
        <v>20.75671910016</v>
      </c>
      <c r="R137" s="21" t="n">
        <f aca="false">IF(C137=5,0,Q137*LOOKUP(Q137,FeeLo,FeeR)*(1+VAT))</f>
        <v>0.159826737071232</v>
      </c>
      <c r="S137" s="21" t="n">
        <f aca="false">IF(J137&gt;0,-CUMIPMT(Rm,LoanYears*12,J137,1,(G137-O137)*12,0),0)</f>
        <v>0</v>
      </c>
      <c r="T137" s="29" t="n">
        <f aca="false">IF(C137=5,0,SUMIFS(Sch_Total,Sch_Idx,A137,Sch_Scen,E137,Sch_Year,"&lt;="&amp;G137))</f>
        <v>0.240349841554406</v>
      </c>
      <c r="U137" s="21" t="n">
        <f aca="false">K137+L137+R137</f>
        <v>0.944986737071232</v>
      </c>
      <c r="V137" s="21" t="n">
        <f aca="false">IF(C137=5,0,Q137-H137-U137)</f>
        <v>1.01173236308877</v>
      </c>
      <c r="W137" s="21" t="n">
        <f aca="false">IF(C137=5,0,MAX(0,IF(P137&gt;=2,IF(Q137&gt;Exempt,V137*(Q137-Exempt)/Q137,0),V137)))</f>
        <v>0.426823529545242</v>
      </c>
      <c r="X137" s="10" t="n">
        <f aca="false">IF(P137&gt;=2,MIN(MaxDed,MIN(0.4,HoldRate*G137)+MIN(0.4,LiveRate*P137)),IF(G137&gt;=3,MIN(0.3,0.02*G137),0))</f>
        <v>0.4</v>
      </c>
      <c r="Y137" s="21" t="n">
        <f aca="false">MAX(0,W137*(1-X137)-InitDed)</f>
        <v>0.231094117727145</v>
      </c>
      <c r="Z137" s="29" t="n">
        <f aca="false">SUMPRODUCT((Y137&gt;CLo)*(Y137-CLo)*CD)*(1+LocalTax)</f>
        <v>0.024270529424979</v>
      </c>
      <c r="AA137" s="21" t="n">
        <f aca="false">K137+T137+Z137</f>
        <v>0.885020370979385</v>
      </c>
      <c r="AB137" s="29" t="n">
        <f aca="false">IF(C137=5,0,(Q137-H137)-K137-L137-R137-S137-T137-Z137)</f>
        <v>0.747111992109383</v>
      </c>
      <c r="AC137" s="21" t="n">
        <f aca="false">IF(C137=5,0,N137*((1+DepRate*(1-DepTax))^G137-1))</f>
        <v>2.61475621052106</v>
      </c>
      <c r="AD137" s="29" t="n">
        <f aca="false">IF(C137=5,0,AB137-AC137+I137*(((1+DepRate*(1-DepTax))^G137-1)-((1+DepRate*(1-DepTax))^O137-1)))</f>
        <v>-0.562479659426511</v>
      </c>
      <c r="AE137" s="30" t="n">
        <f aca="false">IF(J137&gt;0,-PMT(Rm,LoanYears*12,J137)*10000,0)</f>
        <v>0</v>
      </c>
      <c r="AF137" s="21" t="n">
        <f aca="false">IF(J137&gt;0,-PMT((Rate+Stress)/12,LoanYears*12,J137)*12/DSR,0)</f>
        <v>0</v>
      </c>
      <c r="AG137" s="20" t="n">
        <f aca="false">IF(N137&lt;=CapA,1,0)</f>
        <v>0</v>
      </c>
      <c r="AH137" s="20" t="n">
        <f aca="false">IF(N137&lt;=CapB,1,0)</f>
        <v>0</v>
      </c>
      <c r="AI137" s="20" t="n">
        <f aca="false">IF(N137&lt;=CapC,1,0)</f>
        <v>0</v>
      </c>
      <c r="AJ137" s="21" t="n">
        <f aca="false">IF(AG137=1,AD137,-999)</f>
        <v>-999</v>
      </c>
      <c r="AK137" s="21" t="n">
        <f aca="false">IF(AH137=1,AD137,-999)</f>
        <v>-999</v>
      </c>
      <c r="AL137" s="21" t="n">
        <f aca="false">IF(AI137=1,AD137,-999)</f>
        <v>-999</v>
      </c>
      <c r="AM137" s="21" t="str">
        <f aca="false">C137&amp;"|"&amp;E137&amp;"|"&amp;G137&amp;"|"&amp;TEXT(AJ137,"0.00000")</f>
        <v>3|1|5|-999.00000</v>
      </c>
      <c r="AN137" s="21" t="str">
        <f aca="false">C137&amp;"|"&amp;E137&amp;"|"&amp;G137&amp;"|"&amp;TEXT(AK137,"0.00000")</f>
        <v>3|1|5|-999.00000</v>
      </c>
      <c r="AO137" s="21" t="str">
        <f aca="false">C137&amp;"|"&amp;E137&amp;"|"&amp;G137&amp;"|"&amp;TEXT(AL137,"0.00000")</f>
        <v>3|1|5|-999.00000</v>
      </c>
    </row>
    <row r="138" customFormat="false" ht="15" hidden="false" customHeight="false" outlineLevel="0" collapsed="false">
      <c r="A138" s="20" t="n">
        <v>5</v>
      </c>
      <c r="B138" s="18" t="str">
        <f aca="false">INDEX(C_Name,A138)</f>
        <v>신길 래미안에스티움 84㎡</v>
      </c>
      <c r="C138" s="20" t="n">
        <v>3</v>
      </c>
      <c r="D138" s="21" t="str">
        <f aca="false">CHOOSE(C138,"1안 표준형(대출 최대)","2안 절충형(대출 50%)","3안 무대출형","4안 임대차 승계 후 입주","5안 매수 보류(전세 거주)")</f>
        <v>3안 무대출형</v>
      </c>
      <c r="E138" s="20" t="n">
        <v>1</v>
      </c>
      <c r="F138" s="10" t="n">
        <f aca="false">CHOOSE(E138,GrowLo,GrowMid,GrowHi)</f>
        <v>0.02</v>
      </c>
      <c r="G138" s="20" t="n">
        <v>10</v>
      </c>
      <c r="H138" s="18" t="n">
        <f aca="false">INDEX(C_Price,A138)</f>
        <v>18.8</v>
      </c>
      <c r="I138" s="18" t="n">
        <f aca="false">INDEX(C_Jeonse,A138)</f>
        <v>9.776</v>
      </c>
      <c r="J138" s="21" t="n">
        <f aca="false">IF(C138=5,0,IF(C138=1,INDEX(C_Loan,A138),IF(C138=2,INDEX(C_Loan,A138)*LoanShare2,IF(C138=3,0,MIN(INDEX(C_Loan,A138),I138)))))</f>
        <v>0</v>
      </c>
      <c r="K138" s="18" t="n">
        <f aca="false">IF(C138=5,0,INDEX(C_Acq,A138))</f>
        <v>0.6204</v>
      </c>
      <c r="L138" s="18" t="n">
        <f aca="false">IF(C138=5,0,INDEX(C_Fee,A138))</f>
        <v>0.16476</v>
      </c>
      <c r="M138" s="21" t="n">
        <f aca="false">IF(C138=4,MAX(0,I138-J138),0)</f>
        <v>0</v>
      </c>
      <c r="N138" s="21" t="n">
        <f aca="false">IF(C138=5,I138,IF(C138=4,(H138-I138)+K138+L138+M138,H138-J138+K138+L138))</f>
        <v>19.58516</v>
      </c>
      <c r="O138" s="20" t="n">
        <f aca="false">IF(C138=4,RentYears,0)</f>
        <v>0</v>
      </c>
      <c r="P138" s="20" t="n">
        <f aca="false">IF(C138=5,0,MAX(0,G138-O138-NonRes))</f>
        <v>10</v>
      </c>
      <c r="Q138" s="21" t="n">
        <f aca="false">IF(C138=5,0,H138*(1+F138)^G138)</f>
        <v>22.9170950959014</v>
      </c>
      <c r="R138" s="21" t="n">
        <f aca="false">IF(C138=5,0,Q138*LOOKUP(Q138,FeeLo,FeeR)*(1+VAT))</f>
        <v>0.176461632238441</v>
      </c>
      <c r="S138" s="21" t="n">
        <f aca="false">IF(J138&gt;0,-CUMIPMT(Rm,LoanYears*12,J138,1,(G138-O138)*12,0),0)</f>
        <v>0</v>
      </c>
      <c r="T138" s="29" t="n">
        <f aca="false">IF(C138=5,0,SUMIFS(Sch_Total,Sch_Idx,A138,Sch_Scen,E138,Sch_Year,"&lt;="&amp;G138))</f>
        <v>0.532131195518948</v>
      </c>
      <c r="U138" s="21" t="n">
        <f aca="false">K138+L138+R138</f>
        <v>0.961621632238441</v>
      </c>
      <c r="V138" s="21" t="n">
        <f aca="false">IF(C138=5,0,Q138-H138-U138)</f>
        <v>3.155473463663</v>
      </c>
      <c r="W138" s="21" t="n">
        <f aca="false">IF(C138=5,0,MAX(0,IF(P138&gt;=2,IF(Q138&gt;Exempt,V138*(Q138-Exempt)/Q138,0),V138)))</f>
        <v>1.50318370331165</v>
      </c>
      <c r="X138" s="10" t="n">
        <f aca="false">IF(P138&gt;=2,MIN(MaxDed,MIN(0.4,HoldRate*G138)+MIN(0.4,LiveRate*P138)),IF(G138&gt;=3,MIN(0.3,0.02*G138),0))</f>
        <v>0.8</v>
      </c>
      <c r="Y138" s="21" t="n">
        <f aca="false">MAX(0,W138*(1-X138)-InitDed)</f>
        <v>0.27563674066233</v>
      </c>
      <c r="Z138" s="29" t="n">
        <f aca="false">SUMPRODUCT((Y138&gt;CLo)*(Y138-CLo)*CD)*(1+LocalTax)</f>
        <v>0.0316200622092845</v>
      </c>
      <c r="AA138" s="21" t="n">
        <f aca="false">K138+T138+Z138</f>
        <v>1.18415125772823</v>
      </c>
      <c r="AB138" s="29" t="n">
        <f aca="false">IF(C138=5,0,(Q138-H138)-K138-L138-R138-S138-T138-Z138)</f>
        <v>2.59172220593476</v>
      </c>
      <c r="AC138" s="21" t="n">
        <f aca="false">IF(C138=5,0,N138*((1+DepRate*(1-DepTax))^G138-1))</f>
        <v>5.57860071240447</v>
      </c>
      <c r="AD138" s="29" t="n">
        <f aca="false">IF(C138=5,0,AB138-AC138+I138*(((1+DepRate*(1-DepTax))^G138-1)-((1+DepRate*(1-DepTax))^O138-1)))</f>
        <v>-0.202300766769541</v>
      </c>
      <c r="AE138" s="30" t="n">
        <f aca="false">IF(J138&gt;0,-PMT(Rm,LoanYears*12,J138)*10000,0)</f>
        <v>0</v>
      </c>
      <c r="AF138" s="21" t="n">
        <f aca="false">IF(J138&gt;0,-PMT((Rate+Stress)/12,LoanYears*12,J138)*12/DSR,0)</f>
        <v>0</v>
      </c>
      <c r="AG138" s="20" t="n">
        <f aca="false">IF(N138&lt;=CapA,1,0)</f>
        <v>0</v>
      </c>
      <c r="AH138" s="20" t="n">
        <f aca="false">IF(N138&lt;=CapB,1,0)</f>
        <v>0</v>
      </c>
      <c r="AI138" s="20" t="n">
        <f aca="false">IF(N138&lt;=CapC,1,0)</f>
        <v>0</v>
      </c>
      <c r="AJ138" s="21" t="n">
        <f aca="false">IF(AG138=1,AD138,-999)</f>
        <v>-999</v>
      </c>
      <c r="AK138" s="21" t="n">
        <f aca="false">IF(AH138=1,AD138,-999)</f>
        <v>-999</v>
      </c>
      <c r="AL138" s="21" t="n">
        <f aca="false">IF(AI138=1,AD138,-999)</f>
        <v>-999</v>
      </c>
      <c r="AM138" s="21" t="str">
        <f aca="false">C138&amp;"|"&amp;E138&amp;"|"&amp;G138&amp;"|"&amp;TEXT(AJ138,"0.00000")</f>
        <v>3|1|10|-999.00000</v>
      </c>
      <c r="AN138" s="21" t="str">
        <f aca="false">C138&amp;"|"&amp;E138&amp;"|"&amp;G138&amp;"|"&amp;TEXT(AK138,"0.00000")</f>
        <v>3|1|10|-999.00000</v>
      </c>
      <c r="AO138" s="21" t="str">
        <f aca="false">C138&amp;"|"&amp;E138&amp;"|"&amp;G138&amp;"|"&amp;TEXT(AL138,"0.00000")</f>
        <v>3|1|10|-999.00000</v>
      </c>
    </row>
    <row r="139" customFormat="false" ht="15" hidden="false" customHeight="false" outlineLevel="0" collapsed="false">
      <c r="A139" s="20" t="n">
        <v>5</v>
      </c>
      <c r="B139" s="18" t="str">
        <f aca="false">INDEX(C_Name,A139)</f>
        <v>신길 래미안에스티움 84㎡</v>
      </c>
      <c r="C139" s="20" t="n">
        <v>3</v>
      </c>
      <c r="D139" s="21" t="str">
        <f aca="false">CHOOSE(C139,"1안 표준형(대출 최대)","2안 절충형(대출 50%)","3안 무대출형","4안 임대차 승계 후 입주","5안 매수 보류(전세 거주)")</f>
        <v>3안 무대출형</v>
      </c>
      <c r="E139" s="20" t="n">
        <v>2</v>
      </c>
      <c r="F139" s="10" t="n">
        <f aca="false">CHOOSE(E139,GrowLo,GrowMid,GrowHi)</f>
        <v>0.04</v>
      </c>
      <c r="G139" s="20" t="n">
        <v>5</v>
      </c>
      <c r="H139" s="18" t="n">
        <f aca="false">INDEX(C_Price,A139)</f>
        <v>18.8</v>
      </c>
      <c r="I139" s="18" t="n">
        <f aca="false">INDEX(C_Jeonse,A139)</f>
        <v>9.776</v>
      </c>
      <c r="J139" s="21" t="n">
        <f aca="false">IF(C139=5,0,IF(C139=1,INDEX(C_Loan,A139),IF(C139=2,INDEX(C_Loan,A139)*LoanShare2,IF(C139=3,0,MIN(INDEX(C_Loan,A139),I139)))))</f>
        <v>0</v>
      </c>
      <c r="K139" s="18" t="n">
        <f aca="false">IF(C139=5,0,INDEX(C_Acq,A139))</f>
        <v>0.6204</v>
      </c>
      <c r="L139" s="18" t="n">
        <f aca="false">IF(C139=5,0,INDEX(C_Fee,A139))</f>
        <v>0.16476</v>
      </c>
      <c r="M139" s="21" t="n">
        <f aca="false">IF(C139=4,MAX(0,I139-J139),0)</f>
        <v>0</v>
      </c>
      <c r="N139" s="21" t="n">
        <f aca="false">IF(C139=5,I139,IF(C139=4,(H139-I139)+K139+L139+M139,H139-J139+K139+L139))</f>
        <v>19.58516</v>
      </c>
      <c r="O139" s="20" t="n">
        <f aca="false">IF(C139=4,RentYears,0)</f>
        <v>0</v>
      </c>
      <c r="P139" s="20" t="n">
        <f aca="false">IF(C139=5,0,MAX(0,G139-O139-NonRes))</f>
        <v>5</v>
      </c>
      <c r="Q139" s="21" t="n">
        <f aca="false">IF(C139=5,0,H139*(1+F139)^G139)</f>
        <v>22.87307456512</v>
      </c>
      <c r="R139" s="21" t="n">
        <f aca="false">IF(C139=5,0,Q139*LOOKUP(Q139,FeeLo,FeeR)*(1+VAT))</f>
        <v>0.176122674151424</v>
      </c>
      <c r="S139" s="21" t="n">
        <f aca="false">IF(J139&gt;0,-CUMIPMT(Rm,LoanYears*12,J139,1,(G139-O139)*12,0),0)</f>
        <v>0</v>
      </c>
      <c r="T139" s="29" t="n">
        <f aca="false">IF(C139=5,0,SUMIFS(Sch_Total,Sch_Idx,A139,Sch_Scen,E139,Sch_Year,"&lt;="&amp;G139))</f>
        <v>0.260507125337702</v>
      </c>
      <c r="U139" s="21" t="n">
        <f aca="false">K139+L139+R139</f>
        <v>0.961282674151424</v>
      </c>
      <c r="V139" s="21" t="n">
        <f aca="false">IF(C139=5,0,Q139-H139-U139)</f>
        <v>3.11179189096858</v>
      </c>
      <c r="W139" s="21" t="n">
        <f aca="false">IF(C139=5,0,MAX(0,IF(P139&gt;=2,IF(Q139&gt;Exempt,V139*(Q139-Exempt)/Q139,0),V139)))</f>
        <v>1.47923905749133</v>
      </c>
      <c r="X139" s="10" t="n">
        <f aca="false">IF(P139&gt;=2,MIN(MaxDed,MIN(0.4,HoldRate*G139)+MIN(0.4,LiveRate*P139)),IF(G139&gt;=3,MIN(0.3,0.02*G139),0))</f>
        <v>0.4</v>
      </c>
      <c r="Y139" s="21" t="n">
        <f aca="false">MAX(0,W139*(1-X139)-InitDed)</f>
        <v>0.862543434494801</v>
      </c>
      <c r="Z139" s="29" t="n">
        <f aca="false">SUMPRODUCT((Y139&gt;CLo)*(Y139-CLo)*CD)*(1+LocalTax)</f>
        <v>0.164351466706627</v>
      </c>
      <c r="AA139" s="21" t="n">
        <f aca="false">K139+T139+Z139</f>
        <v>1.04525859204433</v>
      </c>
      <c r="AB139" s="29" t="n">
        <f aca="false">IF(C139=5,0,(Q139-H139)-K139-L139-R139-S139-T139-Z139)</f>
        <v>2.68693329892425</v>
      </c>
      <c r="AC139" s="21" t="n">
        <f aca="false">IF(C139=5,0,N139*((1+DepRate*(1-DepTax))^G139-1))</f>
        <v>2.61475621052106</v>
      </c>
      <c r="AD139" s="29" t="n">
        <f aca="false">IF(C139=5,0,AB139-AC139+I139*(((1+DepRate*(1-DepTax))^G139-1)-((1+DepRate*(1-DepTax))^O139-1)))</f>
        <v>1.37734164738835</v>
      </c>
      <c r="AE139" s="30" t="n">
        <f aca="false">IF(J139&gt;0,-PMT(Rm,LoanYears*12,J139)*10000,0)</f>
        <v>0</v>
      </c>
      <c r="AF139" s="21" t="n">
        <f aca="false">IF(J139&gt;0,-PMT((Rate+Stress)/12,LoanYears*12,J139)*12/DSR,0)</f>
        <v>0</v>
      </c>
      <c r="AG139" s="20" t="n">
        <f aca="false">IF(N139&lt;=CapA,1,0)</f>
        <v>0</v>
      </c>
      <c r="AH139" s="20" t="n">
        <f aca="false">IF(N139&lt;=CapB,1,0)</f>
        <v>0</v>
      </c>
      <c r="AI139" s="20" t="n">
        <f aca="false">IF(N139&lt;=CapC,1,0)</f>
        <v>0</v>
      </c>
      <c r="AJ139" s="21" t="n">
        <f aca="false">IF(AG139=1,AD139,-999)</f>
        <v>-999</v>
      </c>
      <c r="AK139" s="21" t="n">
        <f aca="false">IF(AH139=1,AD139,-999)</f>
        <v>-999</v>
      </c>
      <c r="AL139" s="21" t="n">
        <f aca="false">IF(AI139=1,AD139,-999)</f>
        <v>-999</v>
      </c>
      <c r="AM139" s="21" t="str">
        <f aca="false">C139&amp;"|"&amp;E139&amp;"|"&amp;G139&amp;"|"&amp;TEXT(AJ139,"0.00000")</f>
        <v>3|2|5|-999.00000</v>
      </c>
      <c r="AN139" s="21" t="str">
        <f aca="false">C139&amp;"|"&amp;E139&amp;"|"&amp;G139&amp;"|"&amp;TEXT(AK139,"0.00000")</f>
        <v>3|2|5|-999.00000</v>
      </c>
      <c r="AO139" s="21" t="str">
        <f aca="false">C139&amp;"|"&amp;E139&amp;"|"&amp;G139&amp;"|"&amp;TEXT(AL139,"0.00000")</f>
        <v>3|2|5|-999.00000</v>
      </c>
    </row>
    <row r="140" customFormat="false" ht="15" hidden="false" customHeight="false" outlineLevel="0" collapsed="false">
      <c r="A140" s="20" t="n">
        <v>5</v>
      </c>
      <c r="B140" s="18" t="str">
        <f aca="false">INDEX(C_Name,A140)</f>
        <v>신길 래미안에스티움 84㎡</v>
      </c>
      <c r="C140" s="20" t="n">
        <v>3</v>
      </c>
      <c r="D140" s="21" t="str">
        <f aca="false">CHOOSE(C140,"1안 표준형(대출 최대)","2안 절충형(대출 50%)","3안 무대출형","4안 임대차 승계 후 입주","5안 매수 보류(전세 거주)")</f>
        <v>3안 무대출형</v>
      </c>
      <c r="E140" s="20" t="n">
        <v>2</v>
      </c>
      <c r="F140" s="10" t="n">
        <f aca="false">CHOOSE(E140,GrowLo,GrowMid,GrowHi)</f>
        <v>0.04</v>
      </c>
      <c r="G140" s="20" t="n">
        <v>10</v>
      </c>
      <c r="H140" s="18" t="n">
        <f aca="false">INDEX(C_Price,A140)</f>
        <v>18.8</v>
      </c>
      <c r="I140" s="18" t="n">
        <f aca="false">INDEX(C_Jeonse,A140)</f>
        <v>9.776</v>
      </c>
      <c r="J140" s="21" t="n">
        <f aca="false">IF(C140=5,0,IF(C140=1,INDEX(C_Loan,A140),IF(C140=2,INDEX(C_Loan,A140)*LoanShare2,IF(C140=3,0,MIN(INDEX(C_Loan,A140),I140)))))</f>
        <v>0</v>
      </c>
      <c r="K140" s="18" t="n">
        <f aca="false">IF(C140=5,0,INDEX(C_Acq,A140))</f>
        <v>0.6204</v>
      </c>
      <c r="L140" s="18" t="n">
        <f aca="false">IF(C140=5,0,INDEX(C_Fee,A140))</f>
        <v>0.16476</v>
      </c>
      <c r="M140" s="21" t="n">
        <f aca="false">IF(C140=4,MAX(0,I140-J140),0)</f>
        <v>0</v>
      </c>
      <c r="N140" s="21" t="n">
        <f aca="false">IF(C140=5,I140,IF(C140=4,(H140-I140)+K140+L140+M140,H140-J140+K140+L140))</f>
        <v>19.58516</v>
      </c>
      <c r="O140" s="20" t="n">
        <f aca="false">IF(C140=4,RentYears,0)</f>
        <v>0</v>
      </c>
      <c r="P140" s="20" t="n">
        <f aca="false">IF(C140=5,0,MAX(0,G140-O140-NonRes))</f>
        <v>10</v>
      </c>
      <c r="Q140" s="21" t="n">
        <f aca="false">IF(C140=5,0,H140*(1+F140)^G140)</f>
        <v>27.8285925564649</v>
      </c>
      <c r="R140" s="21" t="n">
        <f aca="false">IF(C140=5,0,Q140*LOOKUP(Q140,FeeLo,FeeR)*(1+VAT))</f>
        <v>0.21428016268478</v>
      </c>
      <c r="S140" s="21" t="n">
        <f aca="false">IF(J140&gt;0,-CUMIPMT(Rm,LoanYears*12,J140,1,(G140-O140)*12,0),0)</f>
        <v>0</v>
      </c>
      <c r="T140" s="29" t="n">
        <f aca="false">IF(C140=5,0,SUMIFS(Sch_Total,Sch_Idx,A140,Sch_Scen,E140,Sch_Year,"&lt;="&amp;G140))</f>
        <v>0.635733007758503</v>
      </c>
      <c r="U140" s="21" t="n">
        <f aca="false">K140+L140+R140</f>
        <v>0.99944016268478</v>
      </c>
      <c r="V140" s="21" t="n">
        <f aca="false">IF(C140=5,0,Q140-H140-U140)</f>
        <v>8.0291523937801</v>
      </c>
      <c r="W140" s="21" t="n">
        <f aca="false">IF(C140=5,0,MAX(0,IF(P140&gt;=2,IF(Q140&gt;Exempt,V140*(Q140-Exempt)/Q140,0),V140)))</f>
        <v>4.56689218317602</v>
      </c>
      <c r="X140" s="10" t="n">
        <f aca="false">IF(P140&gt;=2,MIN(MaxDed,MIN(0.4,HoldRate*G140)+MIN(0.4,LiveRate*P140)),IF(G140&gt;=3,MIN(0.3,0.02*G140),0))</f>
        <v>0.8</v>
      </c>
      <c r="Y140" s="21" t="n">
        <f aca="false">MAX(0,W140*(1-X140)-InitDed)</f>
        <v>0.888378436635203</v>
      </c>
      <c r="Z140" s="29" t="n">
        <f aca="false">SUMPRODUCT((Y140&gt;CLo)*(Y140-CLo)*CD)*(1+LocalTax)</f>
        <v>0.172185698104553</v>
      </c>
      <c r="AA140" s="21" t="n">
        <f aca="false">K140+T140+Z140</f>
        <v>1.42831870586306</v>
      </c>
      <c r="AB140" s="29" t="n">
        <f aca="false">IF(C140=5,0,(Q140-H140)-K140-L140-R140-S140-T140-Z140)</f>
        <v>7.22123368791704</v>
      </c>
      <c r="AC140" s="21" t="n">
        <f aca="false">IF(C140=5,0,N140*((1+DepRate*(1-DepTax))^G140-1))</f>
        <v>5.57860071240447</v>
      </c>
      <c r="AD140" s="29" t="n">
        <f aca="false">IF(C140=5,0,AB140-AC140+I140*(((1+DepRate*(1-DepTax))^G140-1)-((1+DepRate*(1-DepTax))^O140-1)))</f>
        <v>4.42721071521274</v>
      </c>
      <c r="AE140" s="30" t="n">
        <f aca="false">IF(J140&gt;0,-PMT(Rm,LoanYears*12,J140)*10000,0)</f>
        <v>0</v>
      </c>
      <c r="AF140" s="21" t="n">
        <f aca="false">IF(J140&gt;0,-PMT((Rate+Stress)/12,LoanYears*12,J140)*12/DSR,0)</f>
        <v>0</v>
      </c>
      <c r="AG140" s="20" t="n">
        <f aca="false">IF(N140&lt;=CapA,1,0)</f>
        <v>0</v>
      </c>
      <c r="AH140" s="20" t="n">
        <f aca="false">IF(N140&lt;=CapB,1,0)</f>
        <v>0</v>
      </c>
      <c r="AI140" s="20" t="n">
        <f aca="false">IF(N140&lt;=CapC,1,0)</f>
        <v>0</v>
      </c>
      <c r="AJ140" s="21" t="n">
        <f aca="false">IF(AG140=1,AD140,-999)</f>
        <v>-999</v>
      </c>
      <c r="AK140" s="21" t="n">
        <f aca="false">IF(AH140=1,AD140,-999)</f>
        <v>-999</v>
      </c>
      <c r="AL140" s="21" t="n">
        <f aca="false">IF(AI140=1,AD140,-999)</f>
        <v>-999</v>
      </c>
      <c r="AM140" s="21" t="str">
        <f aca="false">C140&amp;"|"&amp;E140&amp;"|"&amp;G140&amp;"|"&amp;TEXT(AJ140,"0.00000")</f>
        <v>3|2|10|-999.00000</v>
      </c>
      <c r="AN140" s="21" t="str">
        <f aca="false">C140&amp;"|"&amp;E140&amp;"|"&amp;G140&amp;"|"&amp;TEXT(AK140,"0.00000")</f>
        <v>3|2|10|-999.00000</v>
      </c>
      <c r="AO140" s="21" t="str">
        <f aca="false">C140&amp;"|"&amp;E140&amp;"|"&amp;G140&amp;"|"&amp;TEXT(AL140,"0.00000")</f>
        <v>3|2|10|-999.00000</v>
      </c>
    </row>
    <row r="141" customFormat="false" ht="15" hidden="false" customHeight="false" outlineLevel="0" collapsed="false">
      <c r="A141" s="20" t="n">
        <v>5</v>
      </c>
      <c r="B141" s="18" t="str">
        <f aca="false">INDEX(C_Name,A141)</f>
        <v>신길 래미안에스티움 84㎡</v>
      </c>
      <c r="C141" s="20" t="n">
        <v>3</v>
      </c>
      <c r="D141" s="21" t="str">
        <f aca="false">CHOOSE(C141,"1안 표준형(대출 최대)","2안 절충형(대출 50%)","3안 무대출형","4안 임대차 승계 후 입주","5안 매수 보류(전세 거주)")</f>
        <v>3안 무대출형</v>
      </c>
      <c r="E141" s="20" t="n">
        <v>3</v>
      </c>
      <c r="F141" s="10" t="n">
        <f aca="false">CHOOSE(E141,GrowLo,GrowMid,GrowHi)</f>
        <v>0.06</v>
      </c>
      <c r="G141" s="20" t="n">
        <v>5</v>
      </c>
      <c r="H141" s="18" t="n">
        <f aca="false">INDEX(C_Price,A141)</f>
        <v>18.8</v>
      </c>
      <c r="I141" s="18" t="n">
        <f aca="false">INDEX(C_Jeonse,A141)</f>
        <v>9.776</v>
      </c>
      <c r="J141" s="21" t="n">
        <f aca="false">IF(C141=5,0,IF(C141=1,INDEX(C_Loan,A141),IF(C141=2,INDEX(C_Loan,A141)*LoanShare2,IF(C141=3,0,MIN(INDEX(C_Loan,A141),I141)))))</f>
        <v>0</v>
      </c>
      <c r="K141" s="18" t="n">
        <f aca="false">IF(C141=5,0,INDEX(C_Acq,A141))</f>
        <v>0.6204</v>
      </c>
      <c r="L141" s="18" t="n">
        <f aca="false">IF(C141=5,0,INDEX(C_Fee,A141))</f>
        <v>0.16476</v>
      </c>
      <c r="M141" s="21" t="n">
        <f aca="false">IF(C141=4,MAX(0,I141-J141),0)</f>
        <v>0</v>
      </c>
      <c r="N141" s="21" t="n">
        <f aca="false">IF(C141=5,I141,IF(C141=4,(H141-I141)+K141+L141+M141,H141-J141+K141+L141))</f>
        <v>19.58516</v>
      </c>
      <c r="O141" s="20" t="n">
        <f aca="false">IF(C141=4,RentYears,0)</f>
        <v>0</v>
      </c>
      <c r="P141" s="20" t="n">
        <f aca="false">IF(C141=5,0,MAX(0,G141-O141-NonRes))</f>
        <v>5</v>
      </c>
      <c r="Q141" s="21" t="n">
        <f aca="false">IF(C141=5,0,H141*(1+F141)^G141)</f>
        <v>25.15864085888</v>
      </c>
      <c r="R141" s="21" t="n">
        <f aca="false">IF(C141=5,0,Q141*LOOKUP(Q141,FeeLo,FeeR)*(1+VAT))</f>
        <v>0.193721534613376</v>
      </c>
      <c r="S141" s="21" t="n">
        <f aca="false">IF(J141&gt;0,-CUMIPMT(Rm,LoanYears*12,J141,1,(G141-O141)*12,0),0)</f>
        <v>0</v>
      </c>
      <c r="T141" s="29" t="n">
        <f aca="false">IF(C141=5,0,SUMIFS(Sch_Total,Sch_Idx,A141,Sch_Scen,E141,Sch_Year,"&lt;="&amp;G141))</f>
        <v>0.281470387500518</v>
      </c>
      <c r="U141" s="21" t="n">
        <f aca="false">K141+L141+R141</f>
        <v>0.978881534613376</v>
      </c>
      <c r="V141" s="21" t="n">
        <f aca="false">IF(C141=5,0,Q141-H141-U141)</f>
        <v>5.37975932426663</v>
      </c>
      <c r="W141" s="21" t="n">
        <f aca="false">IF(C141=5,0,MAX(0,IF(P141&gt;=2,IF(Q141&gt;Exempt,V141*(Q141-Exempt)/Q141,0),V141)))</f>
        <v>2.81375775632368</v>
      </c>
      <c r="X141" s="10" t="n">
        <f aca="false">IF(P141&gt;=2,MIN(MaxDed,MIN(0.4,HoldRate*G141)+MIN(0.4,LiveRate*P141)),IF(G141&gt;=3,MIN(0.3,0.02*G141),0))</f>
        <v>0.4</v>
      </c>
      <c r="Y141" s="21" t="n">
        <f aca="false">MAX(0,W141*(1-X141)-InitDed)</f>
        <v>1.66325465379421</v>
      </c>
      <c r="Z141" s="29" t="n">
        <f aca="false">SUMPRODUCT((Y141&gt;CLo)*(Y141-CLo)*CD)*(1+LocalTax)</f>
        <v>0.47590044528598</v>
      </c>
      <c r="AA141" s="21" t="n">
        <f aca="false">K141+T141+Z141</f>
        <v>1.3777708327865</v>
      </c>
      <c r="AB141" s="29" t="n">
        <f aca="false">IF(C141=5,0,(Q141-H141)-K141-L141-R141-S141-T141-Z141)</f>
        <v>4.62238849148013</v>
      </c>
      <c r="AC141" s="21" t="n">
        <f aca="false">IF(C141=5,0,N141*((1+DepRate*(1-DepTax))^G141-1))</f>
        <v>2.61475621052106</v>
      </c>
      <c r="AD141" s="29" t="n">
        <f aca="false">IF(C141=5,0,AB141-AC141+I141*(((1+DepRate*(1-DepTax))^G141-1)-((1+DepRate*(1-DepTax))^O141-1)))</f>
        <v>3.31279683994424</v>
      </c>
      <c r="AE141" s="30" t="n">
        <f aca="false">IF(J141&gt;0,-PMT(Rm,LoanYears*12,J141)*10000,0)</f>
        <v>0</v>
      </c>
      <c r="AF141" s="21" t="n">
        <f aca="false">IF(J141&gt;0,-PMT((Rate+Stress)/12,LoanYears*12,J141)*12/DSR,0)</f>
        <v>0</v>
      </c>
      <c r="AG141" s="20" t="n">
        <f aca="false">IF(N141&lt;=CapA,1,0)</f>
        <v>0</v>
      </c>
      <c r="AH141" s="20" t="n">
        <f aca="false">IF(N141&lt;=CapB,1,0)</f>
        <v>0</v>
      </c>
      <c r="AI141" s="20" t="n">
        <f aca="false">IF(N141&lt;=CapC,1,0)</f>
        <v>0</v>
      </c>
      <c r="AJ141" s="21" t="n">
        <f aca="false">IF(AG141=1,AD141,-999)</f>
        <v>-999</v>
      </c>
      <c r="AK141" s="21" t="n">
        <f aca="false">IF(AH141=1,AD141,-999)</f>
        <v>-999</v>
      </c>
      <c r="AL141" s="21" t="n">
        <f aca="false">IF(AI141=1,AD141,-999)</f>
        <v>-999</v>
      </c>
      <c r="AM141" s="21" t="str">
        <f aca="false">C141&amp;"|"&amp;E141&amp;"|"&amp;G141&amp;"|"&amp;TEXT(AJ141,"0.00000")</f>
        <v>3|3|5|-999.00000</v>
      </c>
      <c r="AN141" s="21" t="str">
        <f aca="false">C141&amp;"|"&amp;E141&amp;"|"&amp;G141&amp;"|"&amp;TEXT(AK141,"0.00000")</f>
        <v>3|3|5|-999.00000</v>
      </c>
      <c r="AO141" s="21" t="str">
        <f aca="false">C141&amp;"|"&amp;E141&amp;"|"&amp;G141&amp;"|"&amp;TEXT(AL141,"0.00000")</f>
        <v>3|3|5|-999.00000</v>
      </c>
    </row>
    <row r="142" customFormat="false" ht="15" hidden="false" customHeight="false" outlineLevel="0" collapsed="false">
      <c r="A142" s="20" t="n">
        <v>5</v>
      </c>
      <c r="B142" s="18" t="str">
        <f aca="false">INDEX(C_Name,A142)</f>
        <v>신길 래미안에스티움 84㎡</v>
      </c>
      <c r="C142" s="20" t="n">
        <v>3</v>
      </c>
      <c r="D142" s="21" t="str">
        <f aca="false">CHOOSE(C142,"1안 표준형(대출 최대)","2안 절충형(대출 50%)","3안 무대출형","4안 임대차 승계 후 입주","5안 매수 보류(전세 거주)")</f>
        <v>3안 무대출형</v>
      </c>
      <c r="E142" s="20" t="n">
        <v>3</v>
      </c>
      <c r="F142" s="10" t="n">
        <f aca="false">CHOOSE(E142,GrowLo,GrowMid,GrowHi)</f>
        <v>0.06</v>
      </c>
      <c r="G142" s="20" t="n">
        <v>10</v>
      </c>
      <c r="H142" s="18" t="n">
        <f aca="false">INDEX(C_Price,A142)</f>
        <v>18.8</v>
      </c>
      <c r="I142" s="18" t="n">
        <f aca="false">INDEX(C_Jeonse,A142)</f>
        <v>9.776</v>
      </c>
      <c r="J142" s="21" t="n">
        <f aca="false">IF(C142=5,0,IF(C142=1,INDEX(C_Loan,A142),IF(C142=2,INDEX(C_Loan,A142)*LoanShare2,IF(C142=3,0,MIN(INDEX(C_Loan,A142),I142)))))</f>
        <v>0</v>
      </c>
      <c r="K142" s="18" t="n">
        <f aca="false">IF(C142=5,0,INDEX(C_Acq,A142))</f>
        <v>0.6204</v>
      </c>
      <c r="L142" s="18" t="n">
        <f aca="false">IF(C142=5,0,INDEX(C_Fee,A142))</f>
        <v>0.16476</v>
      </c>
      <c r="M142" s="21" t="n">
        <f aca="false">IF(C142=4,MAX(0,I142-J142),0)</f>
        <v>0</v>
      </c>
      <c r="N142" s="21" t="n">
        <f aca="false">IF(C142=5,I142,IF(C142=4,(H142-I142)+K142+L142+M142,H142-J142+K142+L142))</f>
        <v>19.58516</v>
      </c>
      <c r="O142" s="20" t="n">
        <f aca="false">IF(C142=4,RentYears,0)</f>
        <v>0</v>
      </c>
      <c r="P142" s="20" t="n">
        <f aca="false">IF(C142=5,0,MAX(0,G142-O142-NonRes))</f>
        <v>10</v>
      </c>
      <c r="Q142" s="21" t="n">
        <f aca="false">IF(C142=5,0,H142*(1+F142)^G142)</f>
        <v>33.6679366950057</v>
      </c>
      <c r="R142" s="21" t="n">
        <f aca="false">IF(C142=5,0,Q142*LOOKUP(Q142,FeeLo,FeeR)*(1+VAT))</f>
        <v>0.259243112551544</v>
      </c>
      <c r="S142" s="21" t="n">
        <f aca="false">IF(J142&gt;0,-CUMIPMT(Rm,LoanYears*12,J142,1,(G142-O142)*12,0),0)</f>
        <v>0</v>
      </c>
      <c r="T142" s="29" t="n">
        <f aca="false">IF(C142=5,0,SUMIFS(Sch_Total,Sch_Idx,A142,Sch_Scen,E142,Sch_Year,"&lt;="&amp;G142))</f>
        <v>0.762496850031817</v>
      </c>
      <c r="U142" s="21" t="n">
        <f aca="false">K142+L142+R142</f>
        <v>1.04440311255154</v>
      </c>
      <c r="V142" s="21" t="n">
        <f aca="false">IF(C142=5,0,Q142-H142-U142)</f>
        <v>13.8235335824541</v>
      </c>
      <c r="W142" s="21" t="n">
        <f aca="false">IF(C142=5,0,MAX(0,IF(P142&gt;=2,IF(Q142&gt;Exempt,V142*(Q142-Exempt)/Q142,0),V142)))</f>
        <v>8.8965193584415</v>
      </c>
      <c r="X142" s="10" t="n">
        <f aca="false">IF(P142&gt;=2,MIN(MaxDed,MIN(0.4,HoldRate*G142)+MIN(0.4,LiveRate*P142)),IF(G142&gt;=3,MIN(0.3,0.02*G142),0))</f>
        <v>0.8</v>
      </c>
      <c r="Y142" s="21" t="n">
        <f aca="false">MAX(0,W142*(1-X142)-InitDed)</f>
        <v>1.7543038716883</v>
      </c>
      <c r="Z142" s="29" t="n">
        <f aca="false">SUMPRODUCT((Y142&gt;CLo)*(Y142-CLo)*CD)*(1+LocalTax)</f>
        <v>0.513959018365709</v>
      </c>
      <c r="AA142" s="21" t="n">
        <f aca="false">K142+T142+Z142</f>
        <v>1.89685586839753</v>
      </c>
      <c r="AB142" s="29" t="n">
        <f aca="false">IF(C142=5,0,(Q142-H142)-K142-L142-R142-S142-T142-Z142)</f>
        <v>12.5470777140566</v>
      </c>
      <c r="AC142" s="21" t="n">
        <f aca="false">IF(C142=5,0,N142*((1+DepRate*(1-DepTax))^G142-1))</f>
        <v>5.57860071240447</v>
      </c>
      <c r="AD142" s="29" t="n">
        <f aca="false">IF(C142=5,0,AB142-AC142+I142*(((1+DepRate*(1-DepTax))^G142-1)-((1+DepRate*(1-DepTax))^O142-1)))</f>
        <v>9.75305474135229</v>
      </c>
      <c r="AE142" s="30" t="n">
        <f aca="false">IF(J142&gt;0,-PMT(Rm,LoanYears*12,J142)*10000,0)</f>
        <v>0</v>
      </c>
      <c r="AF142" s="21" t="n">
        <f aca="false">IF(J142&gt;0,-PMT((Rate+Stress)/12,LoanYears*12,J142)*12/DSR,0)</f>
        <v>0</v>
      </c>
      <c r="AG142" s="20" t="n">
        <f aca="false">IF(N142&lt;=CapA,1,0)</f>
        <v>0</v>
      </c>
      <c r="AH142" s="20" t="n">
        <f aca="false">IF(N142&lt;=CapB,1,0)</f>
        <v>0</v>
      </c>
      <c r="AI142" s="20" t="n">
        <f aca="false">IF(N142&lt;=CapC,1,0)</f>
        <v>0</v>
      </c>
      <c r="AJ142" s="21" t="n">
        <f aca="false">IF(AG142=1,AD142,-999)</f>
        <v>-999</v>
      </c>
      <c r="AK142" s="21" t="n">
        <f aca="false">IF(AH142=1,AD142,-999)</f>
        <v>-999</v>
      </c>
      <c r="AL142" s="21" t="n">
        <f aca="false">IF(AI142=1,AD142,-999)</f>
        <v>-999</v>
      </c>
      <c r="AM142" s="21" t="str">
        <f aca="false">C142&amp;"|"&amp;E142&amp;"|"&amp;G142&amp;"|"&amp;TEXT(AJ142,"0.00000")</f>
        <v>3|3|10|-999.00000</v>
      </c>
      <c r="AN142" s="21" t="str">
        <f aca="false">C142&amp;"|"&amp;E142&amp;"|"&amp;G142&amp;"|"&amp;TEXT(AK142,"0.00000")</f>
        <v>3|3|10|-999.00000</v>
      </c>
      <c r="AO142" s="21" t="str">
        <f aca="false">C142&amp;"|"&amp;E142&amp;"|"&amp;G142&amp;"|"&amp;TEXT(AL142,"0.00000")</f>
        <v>3|3|10|-999.00000</v>
      </c>
    </row>
    <row r="143" customFormat="false" ht="15" hidden="false" customHeight="false" outlineLevel="0" collapsed="false">
      <c r="A143" s="20" t="n">
        <v>5</v>
      </c>
      <c r="B143" s="18" t="str">
        <f aca="false">INDEX(C_Name,A143)</f>
        <v>신길 래미안에스티움 84㎡</v>
      </c>
      <c r="C143" s="20" t="n">
        <v>4</v>
      </c>
      <c r="D143" s="21" t="str">
        <f aca="false">CHOOSE(C143,"1안 표준형(대출 최대)","2안 절충형(대출 50%)","3안 무대출형","4안 임대차 승계 후 입주","5안 매수 보류(전세 거주)")</f>
        <v>4안 임대차 승계 후 입주</v>
      </c>
      <c r="E143" s="20" t="n">
        <v>1</v>
      </c>
      <c r="F143" s="10" t="n">
        <f aca="false">CHOOSE(E143,GrowLo,GrowMid,GrowHi)</f>
        <v>0.02</v>
      </c>
      <c r="G143" s="20" t="n">
        <v>5</v>
      </c>
      <c r="H143" s="18" t="n">
        <f aca="false">INDEX(C_Price,A143)</f>
        <v>18.8</v>
      </c>
      <c r="I143" s="18" t="n">
        <f aca="false">INDEX(C_Jeonse,A143)</f>
        <v>9.776</v>
      </c>
      <c r="J143" s="21" t="n">
        <f aca="false">IF(C143=5,0,IF(C143=1,INDEX(C_Loan,A143),IF(C143=2,INDEX(C_Loan,A143)*LoanShare2,IF(C143=3,0,MIN(INDEX(C_Loan,A143),I143)))))</f>
        <v>4</v>
      </c>
      <c r="K143" s="18" t="n">
        <f aca="false">IF(C143=5,0,INDEX(C_Acq,A143))</f>
        <v>0.6204</v>
      </c>
      <c r="L143" s="18" t="n">
        <f aca="false">IF(C143=5,0,INDEX(C_Fee,A143))</f>
        <v>0.16476</v>
      </c>
      <c r="M143" s="21" t="n">
        <f aca="false">IF(C143=4,MAX(0,I143-J143),0)</f>
        <v>5.776</v>
      </c>
      <c r="N143" s="21" t="n">
        <f aca="false">IF(C143=5,I143,IF(C143=4,(H143-I143)+K143+L143+M143,H143-J143+K143+L143))</f>
        <v>15.58516</v>
      </c>
      <c r="O143" s="20" t="n">
        <f aca="false">IF(C143=4,RentYears,0)</f>
        <v>2</v>
      </c>
      <c r="P143" s="20" t="n">
        <f aca="false">IF(C143=5,0,MAX(0,G143-O143-NonRes))</f>
        <v>3</v>
      </c>
      <c r="Q143" s="21" t="n">
        <f aca="false">IF(C143=5,0,H143*(1+F143)^G143)</f>
        <v>20.75671910016</v>
      </c>
      <c r="R143" s="21" t="n">
        <f aca="false">IF(C143=5,0,Q143*LOOKUP(Q143,FeeLo,FeeR)*(1+VAT))</f>
        <v>0.159826737071232</v>
      </c>
      <c r="S143" s="21" t="n">
        <f aca="false">IF(J143&gt;0,-CUMIPMT(Rm,LoanYears*12,J143,1,(G143-O143)*12,0),0)</f>
        <v>0.467427048612969</v>
      </c>
      <c r="T143" s="29" t="n">
        <f aca="false">IF(C143=5,0,SUMIFS(Sch_Total,Sch_Idx,A143,Sch_Scen,E143,Sch_Year,"&lt;="&amp;G143))</f>
        <v>0.240349841554406</v>
      </c>
      <c r="U143" s="21" t="n">
        <f aca="false">K143+L143+R143</f>
        <v>0.944986737071232</v>
      </c>
      <c r="V143" s="21" t="n">
        <f aca="false">IF(C143=5,0,Q143-H143-U143)</f>
        <v>1.01173236308877</v>
      </c>
      <c r="W143" s="21" t="n">
        <f aca="false">IF(C143=5,0,MAX(0,IF(P143&gt;=2,IF(Q143&gt;Exempt,V143*(Q143-Exempt)/Q143,0),V143)))</f>
        <v>0.426823529545242</v>
      </c>
      <c r="X143" s="10" t="n">
        <f aca="false">IF(P143&gt;=2,MIN(MaxDed,MIN(0.4,HoldRate*G143)+MIN(0.4,LiveRate*P143)),IF(G143&gt;=3,MIN(0.3,0.02*G143),0))</f>
        <v>0.32</v>
      </c>
      <c r="Y143" s="21" t="n">
        <f aca="false">MAX(0,W143*(1-X143)-InitDed)</f>
        <v>0.265240000090765</v>
      </c>
      <c r="Z143" s="29" t="n">
        <f aca="false">SUMPRODUCT((Y143&gt;CLo)*(Y143-CLo)*CD)*(1+LocalTax)</f>
        <v>0.0299046000149762</v>
      </c>
      <c r="AA143" s="21" t="n">
        <f aca="false">K143+T143+Z143</f>
        <v>0.890654441569383</v>
      </c>
      <c r="AB143" s="29" t="n">
        <f aca="false">IF(C143=5,0,(Q143-H143)-K143-L143-R143-S143-T143-Z143)</f>
        <v>0.274050872906418</v>
      </c>
      <c r="AC143" s="21" t="n">
        <f aca="false">IF(C143=5,0,N143*((1+DepRate*(1-DepTax))^G143-1))</f>
        <v>2.08072815856313</v>
      </c>
      <c r="AD143" s="29" t="n">
        <f aca="false">IF(C143=5,0,AB143-AC143+I143*(((1+DepRate*(1-DepTax))^G143-1)-((1+DepRate*(1-DepTax))^O143-1)))</f>
        <v>-1.00403964232595</v>
      </c>
      <c r="AE143" s="30" t="n">
        <f aca="false">IF(J143&gt;0,-PMT(Rm,LoanYears*12,J143)*10000,0)</f>
        <v>190.966118186184</v>
      </c>
      <c r="AF143" s="21" t="n">
        <f aca="false">IF(J143&gt;0,-PMT((Rate+Stress)/12,LoanYears*12,J143)*12/DSR,0)</f>
        <v>0.79836299421502</v>
      </c>
      <c r="AG143" s="20" t="n">
        <f aca="false">IF(N143&lt;=CapA,1,0)</f>
        <v>0</v>
      </c>
      <c r="AH143" s="20" t="n">
        <f aca="false">IF(N143&lt;=CapB,1,0)</f>
        <v>0</v>
      </c>
      <c r="AI143" s="20" t="n">
        <f aca="false">IF(N143&lt;=CapC,1,0)</f>
        <v>1</v>
      </c>
      <c r="AJ143" s="21" t="n">
        <f aca="false">IF(AG143=1,AD143,-999)</f>
        <v>-999</v>
      </c>
      <c r="AK143" s="21" t="n">
        <f aca="false">IF(AH143=1,AD143,-999)</f>
        <v>-999</v>
      </c>
      <c r="AL143" s="21" t="n">
        <f aca="false">IF(AI143=1,AD143,-999)</f>
        <v>-1.00403964232595</v>
      </c>
      <c r="AM143" s="21" t="str">
        <f aca="false">C143&amp;"|"&amp;E143&amp;"|"&amp;G143&amp;"|"&amp;TEXT(AJ143,"0.00000")</f>
        <v>4|1|5|-999.00000</v>
      </c>
      <c r="AN143" s="21" t="str">
        <f aca="false">C143&amp;"|"&amp;E143&amp;"|"&amp;G143&amp;"|"&amp;TEXT(AK143,"0.00000")</f>
        <v>4|1|5|-999.00000</v>
      </c>
      <c r="AO143" s="21" t="str">
        <f aca="false">C143&amp;"|"&amp;E143&amp;"|"&amp;G143&amp;"|"&amp;TEXT(AL143,"0.00000")</f>
        <v>4|1|5|-1.00404</v>
      </c>
    </row>
    <row r="144" customFormat="false" ht="15" hidden="false" customHeight="false" outlineLevel="0" collapsed="false">
      <c r="A144" s="20" t="n">
        <v>5</v>
      </c>
      <c r="B144" s="18" t="str">
        <f aca="false">INDEX(C_Name,A144)</f>
        <v>신길 래미안에스티움 84㎡</v>
      </c>
      <c r="C144" s="20" t="n">
        <v>4</v>
      </c>
      <c r="D144" s="21" t="str">
        <f aca="false">CHOOSE(C144,"1안 표준형(대출 최대)","2안 절충형(대출 50%)","3안 무대출형","4안 임대차 승계 후 입주","5안 매수 보류(전세 거주)")</f>
        <v>4안 임대차 승계 후 입주</v>
      </c>
      <c r="E144" s="20" t="n">
        <v>1</v>
      </c>
      <c r="F144" s="10" t="n">
        <f aca="false">CHOOSE(E144,GrowLo,GrowMid,GrowHi)</f>
        <v>0.02</v>
      </c>
      <c r="G144" s="20" t="n">
        <v>10</v>
      </c>
      <c r="H144" s="18" t="n">
        <f aca="false">INDEX(C_Price,A144)</f>
        <v>18.8</v>
      </c>
      <c r="I144" s="18" t="n">
        <f aca="false">INDEX(C_Jeonse,A144)</f>
        <v>9.776</v>
      </c>
      <c r="J144" s="21" t="n">
        <f aca="false">IF(C144=5,0,IF(C144=1,INDEX(C_Loan,A144),IF(C144=2,INDEX(C_Loan,A144)*LoanShare2,IF(C144=3,0,MIN(INDEX(C_Loan,A144),I144)))))</f>
        <v>4</v>
      </c>
      <c r="K144" s="18" t="n">
        <f aca="false">IF(C144=5,0,INDEX(C_Acq,A144))</f>
        <v>0.6204</v>
      </c>
      <c r="L144" s="18" t="n">
        <f aca="false">IF(C144=5,0,INDEX(C_Fee,A144))</f>
        <v>0.16476</v>
      </c>
      <c r="M144" s="21" t="n">
        <f aca="false">IF(C144=4,MAX(0,I144-J144),0)</f>
        <v>5.776</v>
      </c>
      <c r="N144" s="21" t="n">
        <f aca="false">IF(C144=5,I144,IF(C144=4,(H144-I144)+K144+L144+M144,H144-J144+K144+L144))</f>
        <v>15.58516</v>
      </c>
      <c r="O144" s="20" t="n">
        <f aca="false">IF(C144=4,RentYears,0)</f>
        <v>2</v>
      </c>
      <c r="P144" s="20" t="n">
        <f aca="false">IF(C144=5,0,MAX(0,G144-O144-NonRes))</f>
        <v>8</v>
      </c>
      <c r="Q144" s="21" t="n">
        <f aca="false">IF(C144=5,0,H144*(1+F144)^G144)</f>
        <v>22.9170950959014</v>
      </c>
      <c r="R144" s="21" t="n">
        <f aca="false">IF(C144=5,0,Q144*LOOKUP(Q144,FeeLo,FeeR)*(1+VAT))</f>
        <v>0.176461632238441</v>
      </c>
      <c r="S144" s="21" t="n">
        <f aca="false">IF(J144&gt;0,-CUMIPMT(Rm,LoanYears*12,J144,1,(G144-O144)*12,0),0)</f>
        <v>1.18249376679461</v>
      </c>
      <c r="T144" s="29" t="n">
        <f aca="false">IF(C144=5,0,SUMIFS(Sch_Total,Sch_Idx,A144,Sch_Scen,E144,Sch_Year,"&lt;="&amp;G144))</f>
        <v>0.532131195518948</v>
      </c>
      <c r="U144" s="21" t="n">
        <f aca="false">K144+L144+R144</f>
        <v>0.961621632238441</v>
      </c>
      <c r="V144" s="21" t="n">
        <f aca="false">IF(C144=5,0,Q144-H144-U144)</f>
        <v>3.155473463663</v>
      </c>
      <c r="W144" s="21" t="n">
        <f aca="false">IF(C144=5,0,MAX(0,IF(P144&gt;=2,IF(Q144&gt;Exempt,V144*(Q144-Exempt)/Q144,0),V144)))</f>
        <v>1.50318370331165</v>
      </c>
      <c r="X144" s="10" t="n">
        <f aca="false">IF(P144&gt;=2,MIN(MaxDed,MIN(0.4,HoldRate*G144)+MIN(0.4,LiveRate*P144)),IF(G144&gt;=3,MIN(0.3,0.02*G144),0))</f>
        <v>0.72</v>
      </c>
      <c r="Y144" s="21" t="n">
        <f aca="false">MAX(0,W144*(1-X144)-InitDed)</f>
        <v>0.395891436927262</v>
      </c>
      <c r="Z144" s="29" t="n">
        <f aca="false">SUMPRODUCT((Y144&gt;CLo)*(Y144-CLo)*CD)*(1+LocalTax)</f>
        <v>0.0514620870929983</v>
      </c>
      <c r="AA144" s="21" t="n">
        <f aca="false">K144+T144+Z144</f>
        <v>1.20399328261195</v>
      </c>
      <c r="AB144" s="29" t="n">
        <f aca="false">IF(C144=5,0,(Q144-H144)-K144-L144-R144-S144-T144-Z144)</f>
        <v>1.38938641425644</v>
      </c>
      <c r="AC144" s="21" t="n">
        <f aca="false">IF(C144=5,0,N144*((1+DepRate*(1-DepTax))^G144-1))</f>
        <v>4.43924811841913</v>
      </c>
      <c r="AD144" s="29" t="n">
        <f aca="false">IF(C144=5,0,AB144-AC144+I144*(((1+DepRate*(1-DepTax))^G144-1)-((1+DepRate*(1-DepTax))^O144-1)))</f>
        <v>-0.767810880116926</v>
      </c>
      <c r="AE144" s="30" t="n">
        <f aca="false">IF(J144&gt;0,-PMT(Rm,LoanYears*12,J144)*10000,0)</f>
        <v>190.966118186184</v>
      </c>
      <c r="AF144" s="21" t="n">
        <f aca="false">IF(J144&gt;0,-PMT((Rate+Stress)/12,LoanYears*12,J144)*12/DSR,0)</f>
        <v>0.79836299421502</v>
      </c>
      <c r="AG144" s="20" t="n">
        <f aca="false">IF(N144&lt;=CapA,1,0)</f>
        <v>0</v>
      </c>
      <c r="AH144" s="20" t="n">
        <f aca="false">IF(N144&lt;=CapB,1,0)</f>
        <v>0</v>
      </c>
      <c r="AI144" s="20" t="n">
        <f aca="false">IF(N144&lt;=CapC,1,0)</f>
        <v>1</v>
      </c>
      <c r="AJ144" s="21" t="n">
        <f aca="false">IF(AG144=1,AD144,-999)</f>
        <v>-999</v>
      </c>
      <c r="AK144" s="21" t="n">
        <f aca="false">IF(AH144=1,AD144,-999)</f>
        <v>-999</v>
      </c>
      <c r="AL144" s="21" t="n">
        <f aca="false">IF(AI144=1,AD144,-999)</f>
        <v>-0.767810880116926</v>
      </c>
      <c r="AM144" s="21" t="str">
        <f aca="false">C144&amp;"|"&amp;E144&amp;"|"&amp;G144&amp;"|"&amp;TEXT(AJ144,"0.00000")</f>
        <v>4|1|10|-999.00000</v>
      </c>
      <c r="AN144" s="21" t="str">
        <f aca="false">C144&amp;"|"&amp;E144&amp;"|"&amp;G144&amp;"|"&amp;TEXT(AK144,"0.00000")</f>
        <v>4|1|10|-999.00000</v>
      </c>
      <c r="AO144" s="21" t="str">
        <f aca="false">C144&amp;"|"&amp;E144&amp;"|"&amp;G144&amp;"|"&amp;TEXT(AL144,"0.00000")</f>
        <v>4|1|10|-0.76781</v>
      </c>
    </row>
    <row r="145" customFormat="false" ht="15" hidden="false" customHeight="false" outlineLevel="0" collapsed="false">
      <c r="A145" s="20" t="n">
        <v>5</v>
      </c>
      <c r="B145" s="18" t="str">
        <f aca="false">INDEX(C_Name,A145)</f>
        <v>신길 래미안에스티움 84㎡</v>
      </c>
      <c r="C145" s="20" t="n">
        <v>4</v>
      </c>
      <c r="D145" s="21" t="str">
        <f aca="false">CHOOSE(C145,"1안 표준형(대출 최대)","2안 절충형(대출 50%)","3안 무대출형","4안 임대차 승계 후 입주","5안 매수 보류(전세 거주)")</f>
        <v>4안 임대차 승계 후 입주</v>
      </c>
      <c r="E145" s="20" t="n">
        <v>2</v>
      </c>
      <c r="F145" s="10" t="n">
        <f aca="false">CHOOSE(E145,GrowLo,GrowMid,GrowHi)</f>
        <v>0.04</v>
      </c>
      <c r="G145" s="20" t="n">
        <v>5</v>
      </c>
      <c r="H145" s="18" t="n">
        <f aca="false">INDEX(C_Price,A145)</f>
        <v>18.8</v>
      </c>
      <c r="I145" s="18" t="n">
        <f aca="false">INDEX(C_Jeonse,A145)</f>
        <v>9.776</v>
      </c>
      <c r="J145" s="21" t="n">
        <f aca="false">IF(C145=5,0,IF(C145=1,INDEX(C_Loan,A145),IF(C145=2,INDEX(C_Loan,A145)*LoanShare2,IF(C145=3,0,MIN(INDEX(C_Loan,A145),I145)))))</f>
        <v>4</v>
      </c>
      <c r="K145" s="18" t="n">
        <f aca="false">IF(C145=5,0,INDEX(C_Acq,A145))</f>
        <v>0.6204</v>
      </c>
      <c r="L145" s="18" t="n">
        <f aca="false">IF(C145=5,0,INDEX(C_Fee,A145))</f>
        <v>0.16476</v>
      </c>
      <c r="M145" s="21" t="n">
        <f aca="false">IF(C145=4,MAX(0,I145-J145),0)</f>
        <v>5.776</v>
      </c>
      <c r="N145" s="21" t="n">
        <f aca="false">IF(C145=5,I145,IF(C145=4,(H145-I145)+K145+L145+M145,H145-J145+K145+L145))</f>
        <v>15.58516</v>
      </c>
      <c r="O145" s="20" t="n">
        <f aca="false">IF(C145=4,RentYears,0)</f>
        <v>2</v>
      </c>
      <c r="P145" s="20" t="n">
        <f aca="false">IF(C145=5,0,MAX(0,G145-O145-NonRes))</f>
        <v>3</v>
      </c>
      <c r="Q145" s="21" t="n">
        <f aca="false">IF(C145=5,0,H145*(1+F145)^G145)</f>
        <v>22.87307456512</v>
      </c>
      <c r="R145" s="21" t="n">
        <f aca="false">IF(C145=5,0,Q145*LOOKUP(Q145,FeeLo,FeeR)*(1+VAT))</f>
        <v>0.176122674151424</v>
      </c>
      <c r="S145" s="21" t="n">
        <f aca="false">IF(J145&gt;0,-CUMIPMT(Rm,LoanYears*12,J145,1,(G145-O145)*12,0),0)</f>
        <v>0.467427048612969</v>
      </c>
      <c r="T145" s="29" t="n">
        <f aca="false">IF(C145=5,0,SUMIFS(Sch_Total,Sch_Idx,A145,Sch_Scen,E145,Sch_Year,"&lt;="&amp;G145))</f>
        <v>0.260507125337702</v>
      </c>
      <c r="U145" s="21" t="n">
        <f aca="false">K145+L145+R145</f>
        <v>0.961282674151424</v>
      </c>
      <c r="V145" s="21" t="n">
        <f aca="false">IF(C145=5,0,Q145-H145-U145)</f>
        <v>3.11179189096858</v>
      </c>
      <c r="W145" s="21" t="n">
        <f aca="false">IF(C145=5,0,MAX(0,IF(P145&gt;=2,IF(Q145&gt;Exempt,V145*(Q145-Exempt)/Q145,0),V145)))</f>
        <v>1.47923905749133</v>
      </c>
      <c r="X145" s="10" t="n">
        <f aca="false">IF(P145&gt;=2,MIN(MaxDed,MIN(0.4,HoldRate*G145)+MIN(0.4,LiveRate*P145)),IF(G145&gt;=3,MIN(0.3,0.02*G145),0))</f>
        <v>0.32</v>
      </c>
      <c r="Y145" s="21" t="n">
        <f aca="false">MAX(0,W145*(1-X145)-InitDed)</f>
        <v>0.980882559094107</v>
      </c>
      <c r="Z145" s="29" t="n">
        <f aca="false">SUMPRODUCT((Y145&gt;CLo)*(Y145-CLo)*CD)*(1+LocalTax)</f>
        <v>0.207799785251231</v>
      </c>
      <c r="AA145" s="21" t="n">
        <f aca="false">K145+T145+Z145</f>
        <v>1.08870691058893</v>
      </c>
      <c r="AB145" s="29" t="n">
        <f aca="false">IF(C145=5,0,(Q145-H145)-K145-L145-R145-S145-T145-Z145)</f>
        <v>2.17605793176668</v>
      </c>
      <c r="AC145" s="21" t="n">
        <f aca="false">IF(C145=5,0,N145*((1+DepRate*(1-DepTax))^G145-1))</f>
        <v>2.08072815856313</v>
      </c>
      <c r="AD145" s="29" t="n">
        <f aca="false">IF(C145=5,0,AB145-AC145+I145*(((1+DepRate*(1-DepTax))^G145-1)-((1+DepRate*(1-DepTax))^O145-1)))</f>
        <v>0.897967416534305</v>
      </c>
      <c r="AE145" s="30" t="n">
        <f aca="false">IF(J145&gt;0,-PMT(Rm,LoanYears*12,J145)*10000,0)</f>
        <v>190.966118186184</v>
      </c>
      <c r="AF145" s="21" t="n">
        <f aca="false">IF(J145&gt;0,-PMT((Rate+Stress)/12,LoanYears*12,J145)*12/DSR,0)</f>
        <v>0.79836299421502</v>
      </c>
      <c r="AG145" s="20" t="n">
        <f aca="false">IF(N145&lt;=CapA,1,0)</f>
        <v>0</v>
      </c>
      <c r="AH145" s="20" t="n">
        <f aca="false">IF(N145&lt;=CapB,1,0)</f>
        <v>0</v>
      </c>
      <c r="AI145" s="20" t="n">
        <f aca="false">IF(N145&lt;=CapC,1,0)</f>
        <v>1</v>
      </c>
      <c r="AJ145" s="21" t="n">
        <f aca="false">IF(AG145=1,AD145,-999)</f>
        <v>-999</v>
      </c>
      <c r="AK145" s="21" t="n">
        <f aca="false">IF(AH145=1,AD145,-999)</f>
        <v>-999</v>
      </c>
      <c r="AL145" s="21" t="n">
        <f aca="false">IF(AI145=1,AD145,-999)</f>
        <v>0.897967416534305</v>
      </c>
      <c r="AM145" s="21" t="str">
        <f aca="false">C145&amp;"|"&amp;E145&amp;"|"&amp;G145&amp;"|"&amp;TEXT(AJ145,"0.00000")</f>
        <v>4|2|5|-999.00000</v>
      </c>
      <c r="AN145" s="21" t="str">
        <f aca="false">C145&amp;"|"&amp;E145&amp;"|"&amp;G145&amp;"|"&amp;TEXT(AK145,"0.00000")</f>
        <v>4|2|5|-999.00000</v>
      </c>
      <c r="AO145" s="21" t="str">
        <f aca="false">C145&amp;"|"&amp;E145&amp;"|"&amp;G145&amp;"|"&amp;TEXT(AL145,"0.00000")</f>
        <v>4|2|5|0.89797</v>
      </c>
    </row>
    <row r="146" customFormat="false" ht="15" hidden="false" customHeight="false" outlineLevel="0" collapsed="false">
      <c r="A146" s="20" t="n">
        <v>5</v>
      </c>
      <c r="B146" s="18" t="str">
        <f aca="false">INDEX(C_Name,A146)</f>
        <v>신길 래미안에스티움 84㎡</v>
      </c>
      <c r="C146" s="20" t="n">
        <v>4</v>
      </c>
      <c r="D146" s="21" t="str">
        <f aca="false">CHOOSE(C146,"1안 표준형(대출 최대)","2안 절충형(대출 50%)","3안 무대출형","4안 임대차 승계 후 입주","5안 매수 보류(전세 거주)")</f>
        <v>4안 임대차 승계 후 입주</v>
      </c>
      <c r="E146" s="20" t="n">
        <v>2</v>
      </c>
      <c r="F146" s="10" t="n">
        <f aca="false">CHOOSE(E146,GrowLo,GrowMid,GrowHi)</f>
        <v>0.04</v>
      </c>
      <c r="G146" s="20" t="n">
        <v>10</v>
      </c>
      <c r="H146" s="18" t="n">
        <f aca="false">INDEX(C_Price,A146)</f>
        <v>18.8</v>
      </c>
      <c r="I146" s="18" t="n">
        <f aca="false">INDEX(C_Jeonse,A146)</f>
        <v>9.776</v>
      </c>
      <c r="J146" s="21" t="n">
        <f aca="false">IF(C146=5,0,IF(C146=1,INDEX(C_Loan,A146),IF(C146=2,INDEX(C_Loan,A146)*LoanShare2,IF(C146=3,0,MIN(INDEX(C_Loan,A146),I146)))))</f>
        <v>4</v>
      </c>
      <c r="K146" s="18" t="n">
        <f aca="false">IF(C146=5,0,INDEX(C_Acq,A146))</f>
        <v>0.6204</v>
      </c>
      <c r="L146" s="18" t="n">
        <f aca="false">IF(C146=5,0,INDEX(C_Fee,A146))</f>
        <v>0.16476</v>
      </c>
      <c r="M146" s="21" t="n">
        <f aca="false">IF(C146=4,MAX(0,I146-J146),0)</f>
        <v>5.776</v>
      </c>
      <c r="N146" s="21" t="n">
        <f aca="false">IF(C146=5,I146,IF(C146=4,(H146-I146)+K146+L146+M146,H146-J146+K146+L146))</f>
        <v>15.58516</v>
      </c>
      <c r="O146" s="20" t="n">
        <f aca="false">IF(C146=4,RentYears,0)</f>
        <v>2</v>
      </c>
      <c r="P146" s="20" t="n">
        <f aca="false">IF(C146=5,0,MAX(0,G146-O146-NonRes))</f>
        <v>8</v>
      </c>
      <c r="Q146" s="21" t="n">
        <f aca="false">IF(C146=5,0,H146*(1+F146)^G146)</f>
        <v>27.8285925564649</v>
      </c>
      <c r="R146" s="21" t="n">
        <f aca="false">IF(C146=5,0,Q146*LOOKUP(Q146,FeeLo,FeeR)*(1+VAT))</f>
        <v>0.21428016268478</v>
      </c>
      <c r="S146" s="21" t="n">
        <f aca="false">IF(J146&gt;0,-CUMIPMT(Rm,LoanYears*12,J146,1,(G146-O146)*12,0),0)</f>
        <v>1.18249376679461</v>
      </c>
      <c r="T146" s="29" t="n">
        <f aca="false">IF(C146=5,0,SUMIFS(Sch_Total,Sch_Idx,A146,Sch_Scen,E146,Sch_Year,"&lt;="&amp;G146))</f>
        <v>0.635733007758503</v>
      </c>
      <c r="U146" s="21" t="n">
        <f aca="false">K146+L146+R146</f>
        <v>0.99944016268478</v>
      </c>
      <c r="V146" s="21" t="n">
        <f aca="false">IF(C146=5,0,Q146-H146-U146)</f>
        <v>8.0291523937801</v>
      </c>
      <c r="W146" s="21" t="n">
        <f aca="false">IF(C146=5,0,MAX(0,IF(P146&gt;=2,IF(Q146&gt;Exempt,V146*(Q146-Exempt)/Q146,0),V146)))</f>
        <v>4.56689218317602</v>
      </c>
      <c r="X146" s="10" t="n">
        <f aca="false">IF(P146&gt;=2,MIN(MaxDed,MIN(0.4,HoldRate*G146)+MIN(0.4,LiveRate*P146)),IF(G146&gt;=3,MIN(0.3,0.02*G146),0))</f>
        <v>0.72</v>
      </c>
      <c r="Y146" s="21" t="n">
        <f aca="false">MAX(0,W146*(1-X146)-InitDed)</f>
        <v>1.25372981128929</v>
      </c>
      <c r="Z146" s="29" t="n">
        <f aca="false">SUMPRODUCT((Y146&gt;CLo)*(Y146-CLo)*CD)*(1+LocalTax)</f>
        <v>0.312845977346375</v>
      </c>
      <c r="AA146" s="21" t="n">
        <f aca="false">K146+T146+Z146</f>
        <v>1.56897898510488</v>
      </c>
      <c r="AB146" s="29" t="n">
        <f aca="false">IF(C146=5,0,(Q146-H146)-K146-L146-R146-S146-T146-Z146)</f>
        <v>5.89807964188061</v>
      </c>
      <c r="AC146" s="21" t="n">
        <f aca="false">IF(C146=5,0,N146*((1+DepRate*(1-DepTax))^G146-1))</f>
        <v>4.43924811841913</v>
      </c>
      <c r="AD146" s="29" t="n">
        <f aca="false">IF(C146=5,0,AB146-AC146+I146*(((1+DepRate*(1-DepTax))^G146-1)-((1+DepRate*(1-DepTax))^O146-1)))</f>
        <v>3.74088234750724</v>
      </c>
      <c r="AE146" s="30" t="n">
        <f aca="false">IF(J146&gt;0,-PMT(Rm,LoanYears*12,J146)*10000,0)</f>
        <v>190.966118186184</v>
      </c>
      <c r="AF146" s="21" t="n">
        <f aca="false">IF(J146&gt;0,-PMT((Rate+Stress)/12,LoanYears*12,J146)*12/DSR,0)</f>
        <v>0.79836299421502</v>
      </c>
      <c r="AG146" s="20" t="n">
        <f aca="false">IF(N146&lt;=CapA,1,0)</f>
        <v>0</v>
      </c>
      <c r="AH146" s="20" t="n">
        <f aca="false">IF(N146&lt;=CapB,1,0)</f>
        <v>0</v>
      </c>
      <c r="AI146" s="20" t="n">
        <f aca="false">IF(N146&lt;=CapC,1,0)</f>
        <v>1</v>
      </c>
      <c r="AJ146" s="21" t="n">
        <f aca="false">IF(AG146=1,AD146,-999)</f>
        <v>-999</v>
      </c>
      <c r="AK146" s="21" t="n">
        <f aca="false">IF(AH146=1,AD146,-999)</f>
        <v>-999</v>
      </c>
      <c r="AL146" s="21" t="n">
        <f aca="false">IF(AI146=1,AD146,-999)</f>
        <v>3.74088234750724</v>
      </c>
      <c r="AM146" s="21" t="str">
        <f aca="false">C146&amp;"|"&amp;E146&amp;"|"&amp;G146&amp;"|"&amp;TEXT(AJ146,"0.00000")</f>
        <v>4|2|10|-999.00000</v>
      </c>
      <c r="AN146" s="21" t="str">
        <f aca="false">C146&amp;"|"&amp;E146&amp;"|"&amp;G146&amp;"|"&amp;TEXT(AK146,"0.00000")</f>
        <v>4|2|10|-999.00000</v>
      </c>
      <c r="AO146" s="21" t="str">
        <f aca="false">C146&amp;"|"&amp;E146&amp;"|"&amp;G146&amp;"|"&amp;TEXT(AL146,"0.00000")</f>
        <v>4|2|10|3.74088</v>
      </c>
    </row>
    <row r="147" customFormat="false" ht="15" hidden="false" customHeight="false" outlineLevel="0" collapsed="false">
      <c r="A147" s="20" t="n">
        <v>5</v>
      </c>
      <c r="B147" s="18" t="str">
        <f aca="false">INDEX(C_Name,A147)</f>
        <v>신길 래미안에스티움 84㎡</v>
      </c>
      <c r="C147" s="20" t="n">
        <v>4</v>
      </c>
      <c r="D147" s="21" t="str">
        <f aca="false">CHOOSE(C147,"1안 표준형(대출 최대)","2안 절충형(대출 50%)","3안 무대출형","4안 임대차 승계 후 입주","5안 매수 보류(전세 거주)")</f>
        <v>4안 임대차 승계 후 입주</v>
      </c>
      <c r="E147" s="20" t="n">
        <v>3</v>
      </c>
      <c r="F147" s="10" t="n">
        <f aca="false">CHOOSE(E147,GrowLo,GrowMid,GrowHi)</f>
        <v>0.06</v>
      </c>
      <c r="G147" s="20" t="n">
        <v>5</v>
      </c>
      <c r="H147" s="18" t="n">
        <f aca="false">INDEX(C_Price,A147)</f>
        <v>18.8</v>
      </c>
      <c r="I147" s="18" t="n">
        <f aca="false">INDEX(C_Jeonse,A147)</f>
        <v>9.776</v>
      </c>
      <c r="J147" s="21" t="n">
        <f aca="false">IF(C147=5,0,IF(C147=1,INDEX(C_Loan,A147),IF(C147=2,INDEX(C_Loan,A147)*LoanShare2,IF(C147=3,0,MIN(INDEX(C_Loan,A147),I147)))))</f>
        <v>4</v>
      </c>
      <c r="K147" s="18" t="n">
        <f aca="false">IF(C147=5,0,INDEX(C_Acq,A147))</f>
        <v>0.6204</v>
      </c>
      <c r="L147" s="18" t="n">
        <f aca="false">IF(C147=5,0,INDEX(C_Fee,A147))</f>
        <v>0.16476</v>
      </c>
      <c r="M147" s="21" t="n">
        <f aca="false">IF(C147=4,MAX(0,I147-J147),0)</f>
        <v>5.776</v>
      </c>
      <c r="N147" s="21" t="n">
        <f aca="false">IF(C147=5,I147,IF(C147=4,(H147-I147)+K147+L147+M147,H147-J147+K147+L147))</f>
        <v>15.58516</v>
      </c>
      <c r="O147" s="20" t="n">
        <f aca="false">IF(C147=4,RentYears,0)</f>
        <v>2</v>
      </c>
      <c r="P147" s="20" t="n">
        <f aca="false">IF(C147=5,0,MAX(0,G147-O147-NonRes))</f>
        <v>3</v>
      </c>
      <c r="Q147" s="21" t="n">
        <f aca="false">IF(C147=5,0,H147*(1+F147)^G147)</f>
        <v>25.15864085888</v>
      </c>
      <c r="R147" s="21" t="n">
        <f aca="false">IF(C147=5,0,Q147*LOOKUP(Q147,FeeLo,FeeR)*(1+VAT))</f>
        <v>0.193721534613376</v>
      </c>
      <c r="S147" s="21" t="n">
        <f aca="false">IF(J147&gt;0,-CUMIPMT(Rm,LoanYears*12,J147,1,(G147-O147)*12,0),0)</f>
        <v>0.467427048612969</v>
      </c>
      <c r="T147" s="29" t="n">
        <f aca="false">IF(C147=5,0,SUMIFS(Sch_Total,Sch_Idx,A147,Sch_Scen,E147,Sch_Year,"&lt;="&amp;G147))</f>
        <v>0.281470387500518</v>
      </c>
      <c r="U147" s="21" t="n">
        <f aca="false">K147+L147+R147</f>
        <v>0.978881534613376</v>
      </c>
      <c r="V147" s="21" t="n">
        <f aca="false">IF(C147=5,0,Q147-H147-U147)</f>
        <v>5.37975932426663</v>
      </c>
      <c r="W147" s="21" t="n">
        <f aca="false">IF(C147=5,0,MAX(0,IF(P147&gt;=2,IF(Q147&gt;Exempt,V147*(Q147-Exempt)/Q147,0),V147)))</f>
        <v>2.81375775632368</v>
      </c>
      <c r="X147" s="10" t="n">
        <f aca="false">IF(P147&gt;=2,MIN(MaxDed,MIN(0.4,HoldRate*G147)+MIN(0.4,LiveRate*P147)),IF(G147&gt;=3,MIN(0.3,0.02*G147),0))</f>
        <v>0.32</v>
      </c>
      <c r="Y147" s="21" t="n">
        <f aca="false">MAX(0,W147*(1-X147)-InitDed)</f>
        <v>1.8883552743001</v>
      </c>
      <c r="Z147" s="29" t="n">
        <f aca="false">SUMPRODUCT((Y147&gt;CLo)*(Y147-CLo)*CD)*(1+LocalTax)</f>
        <v>0.569992504657444</v>
      </c>
      <c r="AA147" s="21" t="n">
        <f aca="false">K147+T147+Z147</f>
        <v>1.47186289215796</v>
      </c>
      <c r="AB147" s="29" t="n">
        <f aca="false">IF(C147=5,0,(Q147-H147)-K147-L147-R147-S147-T147-Z147)</f>
        <v>4.0608693834957</v>
      </c>
      <c r="AC147" s="21" t="n">
        <f aca="false">IF(C147=5,0,N147*((1+DepRate*(1-DepTax))^G147-1))</f>
        <v>2.08072815856313</v>
      </c>
      <c r="AD147" s="29" t="n">
        <f aca="false">IF(C147=5,0,AB147-AC147+I147*(((1+DepRate*(1-DepTax))^G147-1)-((1+DepRate*(1-DepTax))^O147-1)))</f>
        <v>2.78277886826333</v>
      </c>
      <c r="AE147" s="30" t="n">
        <f aca="false">IF(J147&gt;0,-PMT(Rm,LoanYears*12,J147)*10000,0)</f>
        <v>190.966118186184</v>
      </c>
      <c r="AF147" s="21" t="n">
        <f aca="false">IF(J147&gt;0,-PMT((Rate+Stress)/12,LoanYears*12,J147)*12/DSR,0)</f>
        <v>0.79836299421502</v>
      </c>
      <c r="AG147" s="20" t="n">
        <f aca="false">IF(N147&lt;=CapA,1,0)</f>
        <v>0</v>
      </c>
      <c r="AH147" s="20" t="n">
        <f aca="false">IF(N147&lt;=CapB,1,0)</f>
        <v>0</v>
      </c>
      <c r="AI147" s="20" t="n">
        <f aca="false">IF(N147&lt;=CapC,1,0)</f>
        <v>1</v>
      </c>
      <c r="AJ147" s="21" t="n">
        <f aca="false">IF(AG147=1,AD147,-999)</f>
        <v>-999</v>
      </c>
      <c r="AK147" s="21" t="n">
        <f aca="false">IF(AH147=1,AD147,-999)</f>
        <v>-999</v>
      </c>
      <c r="AL147" s="21" t="n">
        <f aca="false">IF(AI147=1,AD147,-999)</f>
        <v>2.78277886826333</v>
      </c>
      <c r="AM147" s="21" t="str">
        <f aca="false">C147&amp;"|"&amp;E147&amp;"|"&amp;G147&amp;"|"&amp;TEXT(AJ147,"0.00000")</f>
        <v>4|3|5|-999.00000</v>
      </c>
      <c r="AN147" s="21" t="str">
        <f aca="false">C147&amp;"|"&amp;E147&amp;"|"&amp;G147&amp;"|"&amp;TEXT(AK147,"0.00000")</f>
        <v>4|3|5|-999.00000</v>
      </c>
      <c r="AO147" s="21" t="str">
        <f aca="false">C147&amp;"|"&amp;E147&amp;"|"&amp;G147&amp;"|"&amp;TEXT(AL147,"0.00000")</f>
        <v>4|3|5|2.78278</v>
      </c>
    </row>
    <row r="148" customFormat="false" ht="15" hidden="false" customHeight="false" outlineLevel="0" collapsed="false">
      <c r="A148" s="20" t="n">
        <v>5</v>
      </c>
      <c r="B148" s="18" t="str">
        <f aca="false">INDEX(C_Name,A148)</f>
        <v>신길 래미안에스티움 84㎡</v>
      </c>
      <c r="C148" s="20" t="n">
        <v>4</v>
      </c>
      <c r="D148" s="21" t="str">
        <f aca="false">CHOOSE(C148,"1안 표준형(대출 최대)","2안 절충형(대출 50%)","3안 무대출형","4안 임대차 승계 후 입주","5안 매수 보류(전세 거주)")</f>
        <v>4안 임대차 승계 후 입주</v>
      </c>
      <c r="E148" s="20" t="n">
        <v>3</v>
      </c>
      <c r="F148" s="10" t="n">
        <f aca="false">CHOOSE(E148,GrowLo,GrowMid,GrowHi)</f>
        <v>0.06</v>
      </c>
      <c r="G148" s="20" t="n">
        <v>10</v>
      </c>
      <c r="H148" s="18" t="n">
        <f aca="false">INDEX(C_Price,A148)</f>
        <v>18.8</v>
      </c>
      <c r="I148" s="18" t="n">
        <f aca="false">INDEX(C_Jeonse,A148)</f>
        <v>9.776</v>
      </c>
      <c r="J148" s="21" t="n">
        <f aca="false">IF(C148=5,0,IF(C148=1,INDEX(C_Loan,A148),IF(C148=2,INDEX(C_Loan,A148)*LoanShare2,IF(C148=3,0,MIN(INDEX(C_Loan,A148),I148)))))</f>
        <v>4</v>
      </c>
      <c r="K148" s="18" t="n">
        <f aca="false">IF(C148=5,0,INDEX(C_Acq,A148))</f>
        <v>0.6204</v>
      </c>
      <c r="L148" s="18" t="n">
        <f aca="false">IF(C148=5,0,INDEX(C_Fee,A148))</f>
        <v>0.16476</v>
      </c>
      <c r="M148" s="21" t="n">
        <f aca="false">IF(C148=4,MAX(0,I148-J148),0)</f>
        <v>5.776</v>
      </c>
      <c r="N148" s="21" t="n">
        <f aca="false">IF(C148=5,I148,IF(C148=4,(H148-I148)+K148+L148+M148,H148-J148+K148+L148))</f>
        <v>15.58516</v>
      </c>
      <c r="O148" s="20" t="n">
        <f aca="false">IF(C148=4,RentYears,0)</f>
        <v>2</v>
      </c>
      <c r="P148" s="20" t="n">
        <f aca="false">IF(C148=5,0,MAX(0,G148-O148-NonRes))</f>
        <v>8</v>
      </c>
      <c r="Q148" s="21" t="n">
        <f aca="false">IF(C148=5,0,H148*(1+F148)^G148)</f>
        <v>33.6679366950057</v>
      </c>
      <c r="R148" s="21" t="n">
        <f aca="false">IF(C148=5,0,Q148*LOOKUP(Q148,FeeLo,FeeR)*(1+VAT))</f>
        <v>0.259243112551544</v>
      </c>
      <c r="S148" s="21" t="n">
        <f aca="false">IF(J148&gt;0,-CUMIPMT(Rm,LoanYears*12,J148,1,(G148-O148)*12,0),0)</f>
        <v>1.18249376679461</v>
      </c>
      <c r="T148" s="29" t="n">
        <f aca="false">IF(C148=5,0,SUMIFS(Sch_Total,Sch_Idx,A148,Sch_Scen,E148,Sch_Year,"&lt;="&amp;G148))</f>
        <v>0.762496850031817</v>
      </c>
      <c r="U148" s="21" t="n">
        <f aca="false">K148+L148+R148</f>
        <v>1.04440311255154</v>
      </c>
      <c r="V148" s="21" t="n">
        <f aca="false">IF(C148=5,0,Q148-H148-U148)</f>
        <v>13.8235335824541</v>
      </c>
      <c r="W148" s="21" t="n">
        <f aca="false">IF(C148=5,0,MAX(0,IF(P148&gt;=2,IF(Q148&gt;Exempt,V148*(Q148-Exempt)/Q148,0),V148)))</f>
        <v>8.8965193584415</v>
      </c>
      <c r="X148" s="10" t="n">
        <f aca="false">IF(P148&gt;=2,MIN(MaxDed,MIN(0.4,HoldRate*G148)+MIN(0.4,LiveRate*P148)),IF(G148&gt;=3,MIN(0.3,0.02*G148),0))</f>
        <v>0.72</v>
      </c>
      <c r="Y148" s="21" t="n">
        <f aca="false">MAX(0,W148*(1-X148)-InitDed)</f>
        <v>2.46602542036362</v>
      </c>
      <c r="Z148" s="29" t="n">
        <f aca="false">SUMPRODUCT((Y148&gt;CLo)*(Y148-CLo)*CD)*(1+LocalTax)</f>
        <v>0.811458625711993</v>
      </c>
      <c r="AA148" s="21" t="n">
        <f aca="false">K148+T148+Z148</f>
        <v>2.19435547574381</v>
      </c>
      <c r="AB148" s="29" t="n">
        <f aca="false">IF(C148=5,0,(Q148-H148)-K148-L148-R148-S148-T148-Z148)</f>
        <v>11.0670843399157</v>
      </c>
      <c r="AC148" s="21" t="n">
        <f aca="false">IF(C148=5,0,N148*((1+DepRate*(1-DepTax))^G148-1))</f>
        <v>4.43924811841913</v>
      </c>
      <c r="AD148" s="29" t="n">
        <f aca="false">IF(C148=5,0,AB148-AC148+I148*(((1+DepRate*(1-DepTax))^G148-1)-((1+DepRate*(1-DepTax))^O148-1)))</f>
        <v>8.90988704554234</v>
      </c>
      <c r="AE148" s="30" t="n">
        <f aca="false">IF(J148&gt;0,-PMT(Rm,LoanYears*12,J148)*10000,0)</f>
        <v>190.966118186184</v>
      </c>
      <c r="AF148" s="21" t="n">
        <f aca="false">IF(J148&gt;0,-PMT((Rate+Stress)/12,LoanYears*12,J148)*12/DSR,0)</f>
        <v>0.79836299421502</v>
      </c>
      <c r="AG148" s="20" t="n">
        <f aca="false">IF(N148&lt;=CapA,1,0)</f>
        <v>0</v>
      </c>
      <c r="AH148" s="20" t="n">
        <f aca="false">IF(N148&lt;=CapB,1,0)</f>
        <v>0</v>
      </c>
      <c r="AI148" s="20" t="n">
        <f aca="false">IF(N148&lt;=CapC,1,0)</f>
        <v>1</v>
      </c>
      <c r="AJ148" s="21" t="n">
        <f aca="false">IF(AG148=1,AD148,-999)</f>
        <v>-999</v>
      </c>
      <c r="AK148" s="21" t="n">
        <f aca="false">IF(AH148=1,AD148,-999)</f>
        <v>-999</v>
      </c>
      <c r="AL148" s="21" t="n">
        <f aca="false">IF(AI148=1,AD148,-999)</f>
        <v>8.90988704554234</v>
      </c>
      <c r="AM148" s="21" t="str">
        <f aca="false">C148&amp;"|"&amp;E148&amp;"|"&amp;G148&amp;"|"&amp;TEXT(AJ148,"0.00000")</f>
        <v>4|3|10|-999.00000</v>
      </c>
      <c r="AN148" s="21" t="str">
        <f aca="false">C148&amp;"|"&amp;E148&amp;"|"&amp;G148&amp;"|"&amp;TEXT(AK148,"0.00000")</f>
        <v>4|3|10|-999.00000</v>
      </c>
      <c r="AO148" s="21" t="str">
        <f aca="false">C148&amp;"|"&amp;E148&amp;"|"&amp;G148&amp;"|"&amp;TEXT(AL148,"0.00000")</f>
        <v>4|3|10|8.90989</v>
      </c>
    </row>
    <row r="149" customFormat="false" ht="15" hidden="false" customHeight="false" outlineLevel="0" collapsed="false">
      <c r="A149" s="20" t="n">
        <v>5</v>
      </c>
      <c r="B149" s="18" t="str">
        <f aca="false">INDEX(C_Name,A149)</f>
        <v>신길 래미안에스티움 84㎡</v>
      </c>
      <c r="C149" s="20" t="n">
        <v>5</v>
      </c>
      <c r="D149" s="21" t="str">
        <f aca="false">CHOOSE(C149,"1안 표준형(대출 최대)","2안 절충형(대출 50%)","3안 무대출형","4안 임대차 승계 후 입주","5안 매수 보류(전세 거주)")</f>
        <v>5안 매수 보류(전세 거주)</v>
      </c>
      <c r="E149" s="20" t="n">
        <v>1</v>
      </c>
      <c r="F149" s="10" t="n">
        <f aca="false">CHOOSE(E149,GrowLo,GrowMid,GrowHi)</f>
        <v>0.02</v>
      </c>
      <c r="G149" s="20" t="n">
        <v>5</v>
      </c>
      <c r="H149" s="18" t="n">
        <f aca="false">INDEX(C_Price,A149)</f>
        <v>18.8</v>
      </c>
      <c r="I149" s="18" t="n">
        <f aca="false">INDEX(C_Jeonse,A149)</f>
        <v>9.776</v>
      </c>
      <c r="J149" s="21" t="n">
        <f aca="false">IF(C149=5,0,IF(C149=1,INDEX(C_Loan,A149),IF(C149=2,INDEX(C_Loan,A149)*LoanShare2,IF(C149=3,0,MIN(INDEX(C_Loan,A149),I149)))))</f>
        <v>0</v>
      </c>
      <c r="K149" s="18" t="n">
        <f aca="false">IF(C149=5,0,INDEX(C_Acq,A149))</f>
        <v>0</v>
      </c>
      <c r="L149" s="18" t="n">
        <f aca="false">IF(C149=5,0,INDEX(C_Fee,A149))</f>
        <v>0</v>
      </c>
      <c r="M149" s="21" t="n">
        <f aca="false">IF(C149=4,MAX(0,I149-J149),0)</f>
        <v>0</v>
      </c>
      <c r="N149" s="21" t="n">
        <f aca="false">IF(C149=5,I149,IF(C149=4,(H149-I149)+K149+L149+M149,H149-J149+K149+L149))</f>
        <v>9.776</v>
      </c>
      <c r="O149" s="20" t="n">
        <f aca="false">IF(C149=4,RentYears,0)</f>
        <v>0</v>
      </c>
      <c r="P149" s="20" t="n">
        <f aca="false">IF(C149=5,0,MAX(0,G149-O149-NonRes))</f>
        <v>0</v>
      </c>
      <c r="Q149" s="21" t="n">
        <f aca="false">IF(C149=5,0,H149*(1+F149)^G149)</f>
        <v>0</v>
      </c>
      <c r="R149" s="21" t="n">
        <f aca="false">IF(C149=5,0,Q149*LOOKUP(Q149,FeeLo,FeeR)*(1+VAT))</f>
        <v>0</v>
      </c>
      <c r="S149" s="21" t="n">
        <f aca="false">IF(J149&gt;0,-CUMIPMT(Rm,LoanYears*12,J149,1,(G149-O149)*12,0),0)</f>
        <v>0</v>
      </c>
      <c r="T149" s="29" t="n">
        <f aca="false">IF(C149=5,0,SUMIFS(Sch_Total,Sch_Idx,A149,Sch_Scen,E149,Sch_Year,"&lt;="&amp;G149))</f>
        <v>0</v>
      </c>
      <c r="U149" s="21" t="n">
        <f aca="false">K149+L149+R149</f>
        <v>0</v>
      </c>
      <c r="V149" s="21" t="n">
        <f aca="false">IF(C149=5,0,Q149-H149-U149)</f>
        <v>0</v>
      </c>
      <c r="W149" s="21" t="n">
        <f aca="false">IF(C149=5,0,MAX(0,IF(P149&gt;=2,IF(Q149&gt;Exempt,V149*(Q149-Exempt)/Q149,0),V149)))</f>
        <v>0</v>
      </c>
      <c r="X149" s="10" t="n">
        <f aca="false">IF(P149&gt;=2,MIN(MaxDed,MIN(0.4,HoldRate*G149)+MIN(0.4,LiveRate*P149)),IF(G149&gt;=3,MIN(0.3,0.02*G149),0))</f>
        <v>0.1</v>
      </c>
      <c r="Y149" s="21" t="n">
        <f aca="false">MAX(0,W149*(1-X149)-InitDed)</f>
        <v>0</v>
      </c>
      <c r="Z149" s="29" t="n">
        <f aca="false">SUMPRODUCT((Y149&gt;CLo)*(Y149-CLo)*CD)*(1+LocalTax)</f>
        <v>0</v>
      </c>
      <c r="AA149" s="21" t="n">
        <f aca="false">K149+T149+Z149</f>
        <v>0</v>
      </c>
      <c r="AB149" s="29" t="n">
        <f aca="false">IF(C149=5,0,(Q149-H149)-K149-L149-R149-S149-T149-Z149)</f>
        <v>0</v>
      </c>
      <c r="AC149" s="21" t="n">
        <f aca="false">IF(C149=5,0,N149*((1+DepRate*(1-DepTax))^G149-1))</f>
        <v>0</v>
      </c>
      <c r="AD149" s="29" t="n">
        <f aca="false">IF(C149=5,0,AB149-AC149+I149*(((1+DepRate*(1-DepTax))^G149-1)-((1+DepRate*(1-DepTax))^O149-1)))</f>
        <v>0</v>
      </c>
      <c r="AE149" s="30" t="n">
        <f aca="false">IF(J149&gt;0,-PMT(Rm,LoanYears*12,J149)*10000,0)</f>
        <v>0</v>
      </c>
      <c r="AF149" s="21" t="n">
        <f aca="false">IF(J149&gt;0,-PMT((Rate+Stress)/12,LoanYears*12,J149)*12/DSR,0)</f>
        <v>0</v>
      </c>
      <c r="AG149" s="20" t="n">
        <f aca="false">IF(N149&lt;=CapA,1,0)</f>
        <v>1</v>
      </c>
      <c r="AH149" s="20" t="n">
        <f aca="false">IF(N149&lt;=CapB,1,0)</f>
        <v>1</v>
      </c>
      <c r="AI149" s="20" t="n">
        <f aca="false">IF(N149&lt;=CapC,1,0)</f>
        <v>1</v>
      </c>
      <c r="AJ149" s="21" t="n">
        <f aca="false">IF(AG149=1,AD149,-999)</f>
        <v>0</v>
      </c>
      <c r="AK149" s="21" t="n">
        <f aca="false">IF(AH149=1,AD149,-999)</f>
        <v>0</v>
      </c>
      <c r="AL149" s="21" t="n">
        <f aca="false">IF(AI149=1,AD149,-999)</f>
        <v>0</v>
      </c>
      <c r="AM149" s="21" t="str">
        <f aca="false">C149&amp;"|"&amp;E149&amp;"|"&amp;G149&amp;"|"&amp;TEXT(AJ149,"0.00000")</f>
        <v>5|1|5|0.00000</v>
      </c>
      <c r="AN149" s="21" t="str">
        <f aca="false">C149&amp;"|"&amp;E149&amp;"|"&amp;G149&amp;"|"&amp;TEXT(AK149,"0.00000")</f>
        <v>5|1|5|0.00000</v>
      </c>
      <c r="AO149" s="21" t="str">
        <f aca="false">C149&amp;"|"&amp;E149&amp;"|"&amp;G149&amp;"|"&amp;TEXT(AL149,"0.00000")</f>
        <v>5|1|5|0.00000</v>
      </c>
    </row>
    <row r="150" customFormat="false" ht="15" hidden="false" customHeight="false" outlineLevel="0" collapsed="false">
      <c r="A150" s="20" t="n">
        <v>5</v>
      </c>
      <c r="B150" s="18" t="str">
        <f aca="false">INDEX(C_Name,A150)</f>
        <v>신길 래미안에스티움 84㎡</v>
      </c>
      <c r="C150" s="20" t="n">
        <v>5</v>
      </c>
      <c r="D150" s="21" t="str">
        <f aca="false">CHOOSE(C150,"1안 표준형(대출 최대)","2안 절충형(대출 50%)","3안 무대출형","4안 임대차 승계 후 입주","5안 매수 보류(전세 거주)")</f>
        <v>5안 매수 보류(전세 거주)</v>
      </c>
      <c r="E150" s="20" t="n">
        <v>1</v>
      </c>
      <c r="F150" s="10" t="n">
        <f aca="false">CHOOSE(E150,GrowLo,GrowMid,GrowHi)</f>
        <v>0.02</v>
      </c>
      <c r="G150" s="20" t="n">
        <v>10</v>
      </c>
      <c r="H150" s="18" t="n">
        <f aca="false">INDEX(C_Price,A150)</f>
        <v>18.8</v>
      </c>
      <c r="I150" s="18" t="n">
        <f aca="false">INDEX(C_Jeonse,A150)</f>
        <v>9.776</v>
      </c>
      <c r="J150" s="21" t="n">
        <f aca="false">IF(C150=5,0,IF(C150=1,INDEX(C_Loan,A150),IF(C150=2,INDEX(C_Loan,A150)*LoanShare2,IF(C150=3,0,MIN(INDEX(C_Loan,A150),I150)))))</f>
        <v>0</v>
      </c>
      <c r="K150" s="18" t="n">
        <f aca="false">IF(C150=5,0,INDEX(C_Acq,A150))</f>
        <v>0</v>
      </c>
      <c r="L150" s="18" t="n">
        <f aca="false">IF(C150=5,0,INDEX(C_Fee,A150))</f>
        <v>0</v>
      </c>
      <c r="M150" s="21" t="n">
        <f aca="false">IF(C150=4,MAX(0,I150-J150),0)</f>
        <v>0</v>
      </c>
      <c r="N150" s="21" t="n">
        <f aca="false">IF(C150=5,I150,IF(C150=4,(H150-I150)+K150+L150+M150,H150-J150+K150+L150))</f>
        <v>9.776</v>
      </c>
      <c r="O150" s="20" t="n">
        <f aca="false">IF(C150=4,RentYears,0)</f>
        <v>0</v>
      </c>
      <c r="P150" s="20" t="n">
        <f aca="false">IF(C150=5,0,MAX(0,G150-O150-NonRes))</f>
        <v>0</v>
      </c>
      <c r="Q150" s="21" t="n">
        <f aca="false">IF(C150=5,0,H150*(1+F150)^G150)</f>
        <v>0</v>
      </c>
      <c r="R150" s="21" t="n">
        <f aca="false">IF(C150=5,0,Q150*LOOKUP(Q150,FeeLo,FeeR)*(1+VAT))</f>
        <v>0</v>
      </c>
      <c r="S150" s="21" t="n">
        <f aca="false">IF(J150&gt;0,-CUMIPMT(Rm,LoanYears*12,J150,1,(G150-O150)*12,0),0)</f>
        <v>0</v>
      </c>
      <c r="T150" s="29" t="n">
        <f aca="false">IF(C150=5,0,SUMIFS(Sch_Total,Sch_Idx,A150,Sch_Scen,E150,Sch_Year,"&lt;="&amp;G150))</f>
        <v>0</v>
      </c>
      <c r="U150" s="21" t="n">
        <f aca="false">K150+L150+R150</f>
        <v>0</v>
      </c>
      <c r="V150" s="21" t="n">
        <f aca="false">IF(C150=5,0,Q150-H150-U150)</f>
        <v>0</v>
      </c>
      <c r="W150" s="21" t="n">
        <f aca="false">IF(C150=5,0,MAX(0,IF(P150&gt;=2,IF(Q150&gt;Exempt,V150*(Q150-Exempt)/Q150,0),V150)))</f>
        <v>0</v>
      </c>
      <c r="X150" s="10" t="n">
        <f aca="false">IF(P150&gt;=2,MIN(MaxDed,MIN(0.4,HoldRate*G150)+MIN(0.4,LiveRate*P150)),IF(G150&gt;=3,MIN(0.3,0.02*G150),0))</f>
        <v>0.2</v>
      </c>
      <c r="Y150" s="21" t="n">
        <f aca="false">MAX(0,W150*(1-X150)-InitDed)</f>
        <v>0</v>
      </c>
      <c r="Z150" s="29" t="n">
        <f aca="false">SUMPRODUCT((Y150&gt;CLo)*(Y150-CLo)*CD)*(1+LocalTax)</f>
        <v>0</v>
      </c>
      <c r="AA150" s="21" t="n">
        <f aca="false">K150+T150+Z150</f>
        <v>0</v>
      </c>
      <c r="AB150" s="29" t="n">
        <f aca="false">IF(C150=5,0,(Q150-H150)-K150-L150-R150-S150-T150-Z150)</f>
        <v>0</v>
      </c>
      <c r="AC150" s="21" t="n">
        <f aca="false">IF(C150=5,0,N150*((1+DepRate*(1-DepTax))^G150-1))</f>
        <v>0</v>
      </c>
      <c r="AD150" s="29" t="n">
        <f aca="false">IF(C150=5,0,AB150-AC150+I150*(((1+DepRate*(1-DepTax))^G150-1)-((1+DepRate*(1-DepTax))^O150-1)))</f>
        <v>0</v>
      </c>
      <c r="AE150" s="30" t="n">
        <f aca="false">IF(J150&gt;0,-PMT(Rm,LoanYears*12,J150)*10000,0)</f>
        <v>0</v>
      </c>
      <c r="AF150" s="21" t="n">
        <f aca="false">IF(J150&gt;0,-PMT((Rate+Stress)/12,LoanYears*12,J150)*12/DSR,0)</f>
        <v>0</v>
      </c>
      <c r="AG150" s="20" t="n">
        <f aca="false">IF(N150&lt;=CapA,1,0)</f>
        <v>1</v>
      </c>
      <c r="AH150" s="20" t="n">
        <f aca="false">IF(N150&lt;=CapB,1,0)</f>
        <v>1</v>
      </c>
      <c r="AI150" s="20" t="n">
        <f aca="false">IF(N150&lt;=CapC,1,0)</f>
        <v>1</v>
      </c>
      <c r="AJ150" s="21" t="n">
        <f aca="false">IF(AG150=1,AD150,-999)</f>
        <v>0</v>
      </c>
      <c r="AK150" s="21" t="n">
        <f aca="false">IF(AH150=1,AD150,-999)</f>
        <v>0</v>
      </c>
      <c r="AL150" s="21" t="n">
        <f aca="false">IF(AI150=1,AD150,-999)</f>
        <v>0</v>
      </c>
      <c r="AM150" s="21" t="str">
        <f aca="false">C150&amp;"|"&amp;E150&amp;"|"&amp;G150&amp;"|"&amp;TEXT(AJ150,"0.00000")</f>
        <v>5|1|10|0.00000</v>
      </c>
      <c r="AN150" s="21" t="str">
        <f aca="false">C150&amp;"|"&amp;E150&amp;"|"&amp;G150&amp;"|"&amp;TEXT(AK150,"0.00000")</f>
        <v>5|1|10|0.00000</v>
      </c>
      <c r="AO150" s="21" t="str">
        <f aca="false">C150&amp;"|"&amp;E150&amp;"|"&amp;G150&amp;"|"&amp;TEXT(AL150,"0.00000")</f>
        <v>5|1|10|0.00000</v>
      </c>
    </row>
    <row r="151" customFormat="false" ht="15" hidden="false" customHeight="false" outlineLevel="0" collapsed="false">
      <c r="A151" s="20" t="n">
        <v>5</v>
      </c>
      <c r="B151" s="18" t="str">
        <f aca="false">INDEX(C_Name,A151)</f>
        <v>신길 래미안에스티움 84㎡</v>
      </c>
      <c r="C151" s="20" t="n">
        <v>5</v>
      </c>
      <c r="D151" s="21" t="str">
        <f aca="false">CHOOSE(C151,"1안 표준형(대출 최대)","2안 절충형(대출 50%)","3안 무대출형","4안 임대차 승계 후 입주","5안 매수 보류(전세 거주)")</f>
        <v>5안 매수 보류(전세 거주)</v>
      </c>
      <c r="E151" s="20" t="n">
        <v>2</v>
      </c>
      <c r="F151" s="10" t="n">
        <f aca="false">CHOOSE(E151,GrowLo,GrowMid,GrowHi)</f>
        <v>0.04</v>
      </c>
      <c r="G151" s="20" t="n">
        <v>5</v>
      </c>
      <c r="H151" s="18" t="n">
        <f aca="false">INDEX(C_Price,A151)</f>
        <v>18.8</v>
      </c>
      <c r="I151" s="18" t="n">
        <f aca="false">INDEX(C_Jeonse,A151)</f>
        <v>9.776</v>
      </c>
      <c r="J151" s="21" t="n">
        <f aca="false">IF(C151=5,0,IF(C151=1,INDEX(C_Loan,A151),IF(C151=2,INDEX(C_Loan,A151)*LoanShare2,IF(C151=3,0,MIN(INDEX(C_Loan,A151),I151)))))</f>
        <v>0</v>
      </c>
      <c r="K151" s="18" t="n">
        <f aca="false">IF(C151=5,0,INDEX(C_Acq,A151))</f>
        <v>0</v>
      </c>
      <c r="L151" s="18" t="n">
        <f aca="false">IF(C151=5,0,INDEX(C_Fee,A151))</f>
        <v>0</v>
      </c>
      <c r="M151" s="21" t="n">
        <f aca="false">IF(C151=4,MAX(0,I151-J151),0)</f>
        <v>0</v>
      </c>
      <c r="N151" s="21" t="n">
        <f aca="false">IF(C151=5,I151,IF(C151=4,(H151-I151)+K151+L151+M151,H151-J151+K151+L151))</f>
        <v>9.776</v>
      </c>
      <c r="O151" s="20" t="n">
        <f aca="false">IF(C151=4,RentYears,0)</f>
        <v>0</v>
      </c>
      <c r="P151" s="20" t="n">
        <f aca="false">IF(C151=5,0,MAX(0,G151-O151-NonRes))</f>
        <v>0</v>
      </c>
      <c r="Q151" s="21" t="n">
        <f aca="false">IF(C151=5,0,H151*(1+F151)^G151)</f>
        <v>0</v>
      </c>
      <c r="R151" s="21" t="n">
        <f aca="false">IF(C151=5,0,Q151*LOOKUP(Q151,FeeLo,FeeR)*(1+VAT))</f>
        <v>0</v>
      </c>
      <c r="S151" s="21" t="n">
        <f aca="false">IF(J151&gt;0,-CUMIPMT(Rm,LoanYears*12,J151,1,(G151-O151)*12,0),0)</f>
        <v>0</v>
      </c>
      <c r="T151" s="29" t="n">
        <f aca="false">IF(C151=5,0,SUMIFS(Sch_Total,Sch_Idx,A151,Sch_Scen,E151,Sch_Year,"&lt;="&amp;G151))</f>
        <v>0</v>
      </c>
      <c r="U151" s="21" t="n">
        <f aca="false">K151+L151+R151</f>
        <v>0</v>
      </c>
      <c r="V151" s="21" t="n">
        <f aca="false">IF(C151=5,0,Q151-H151-U151)</f>
        <v>0</v>
      </c>
      <c r="W151" s="21" t="n">
        <f aca="false">IF(C151=5,0,MAX(0,IF(P151&gt;=2,IF(Q151&gt;Exempt,V151*(Q151-Exempt)/Q151,0),V151)))</f>
        <v>0</v>
      </c>
      <c r="X151" s="10" t="n">
        <f aca="false">IF(P151&gt;=2,MIN(MaxDed,MIN(0.4,HoldRate*G151)+MIN(0.4,LiveRate*P151)),IF(G151&gt;=3,MIN(0.3,0.02*G151),0))</f>
        <v>0.1</v>
      </c>
      <c r="Y151" s="21" t="n">
        <f aca="false">MAX(0,W151*(1-X151)-InitDed)</f>
        <v>0</v>
      </c>
      <c r="Z151" s="29" t="n">
        <f aca="false">SUMPRODUCT((Y151&gt;CLo)*(Y151-CLo)*CD)*(1+LocalTax)</f>
        <v>0</v>
      </c>
      <c r="AA151" s="21" t="n">
        <f aca="false">K151+T151+Z151</f>
        <v>0</v>
      </c>
      <c r="AB151" s="29" t="n">
        <f aca="false">IF(C151=5,0,(Q151-H151)-K151-L151-R151-S151-T151-Z151)</f>
        <v>0</v>
      </c>
      <c r="AC151" s="21" t="n">
        <f aca="false">IF(C151=5,0,N151*((1+DepRate*(1-DepTax))^G151-1))</f>
        <v>0</v>
      </c>
      <c r="AD151" s="29" t="n">
        <f aca="false">IF(C151=5,0,AB151-AC151+I151*(((1+DepRate*(1-DepTax))^G151-1)-((1+DepRate*(1-DepTax))^O151-1)))</f>
        <v>0</v>
      </c>
      <c r="AE151" s="30" t="n">
        <f aca="false">IF(J151&gt;0,-PMT(Rm,LoanYears*12,J151)*10000,0)</f>
        <v>0</v>
      </c>
      <c r="AF151" s="21" t="n">
        <f aca="false">IF(J151&gt;0,-PMT((Rate+Stress)/12,LoanYears*12,J151)*12/DSR,0)</f>
        <v>0</v>
      </c>
      <c r="AG151" s="20" t="n">
        <f aca="false">IF(N151&lt;=CapA,1,0)</f>
        <v>1</v>
      </c>
      <c r="AH151" s="20" t="n">
        <f aca="false">IF(N151&lt;=CapB,1,0)</f>
        <v>1</v>
      </c>
      <c r="AI151" s="20" t="n">
        <f aca="false">IF(N151&lt;=CapC,1,0)</f>
        <v>1</v>
      </c>
      <c r="AJ151" s="21" t="n">
        <f aca="false">IF(AG151=1,AD151,-999)</f>
        <v>0</v>
      </c>
      <c r="AK151" s="21" t="n">
        <f aca="false">IF(AH151=1,AD151,-999)</f>
        <v>0</v>
      </c>
      <c r="AL151" s="21" t="n">
        <f aca="false">IF(AI151=1,AD151,-999)</f>
        <v>0</v>
      </c>
      <c r="AM151" s="21" t="str">
        <f aca="false">C151&amp;"|"&amp;E151&amp;"|"&amp;G151&amp;"|"&amp;TEXT(AJ151,"0.00000")</f>
        <v>5|2|5|0.00000</v>
      </c>
      <c r="AN151" s="21" t="str">
        <f aca="false">C151&amp;"|"&amp;E151&amp;"|"&amp;G151&amp;"|"&amp;TEXT(AK151,"0.00000")</f>
        <v>5|2|5|0.00000</v>
      </c>
      <c r="AO151" s="21" t="str">
        <f aca="false">C151&amp;"|"&amp;E151&amp;"|"&amp;G151&amp;"|"&amp;TEXT(AL151,"0.00000")</f>
        <v>5|2|5|0.00000</v>
      </c>
    </row>
    <row r="152" customFormat="false" ht="15" hidden="false" customHeight="false" outlineLevel="0" collapsed="false">
      <c r="A152" s="20" t="n">
        <v>5</v>
      </c>
      <c r="B152" s="18" t="str">
        <f aca="false">INDEX(C_Name,A152)</f>
        <v>신길 래미안에스티움 84㎡</v>
      </c>
      <c r="C152" s="20" t="n">
        <v>5</v>
      </c>
      <c r="D152" s="21" t="str">
        <f aca="false">CHOOSE(C152,"1안 표준형(대출 최대)","2안 절충형(대출 50%)","3안 무대출형","4안 임대차 승계 후 입주","5안 매수 보류(전세 거주)")</f>
        <v>5안 매수 보류(전세 거주)</v>
      </c>
      <c r="E152" s="20" t="n">
        <v>2</v>
      </c>
      <c r="F152" s="10" t="n">
        <f aca="false">CHOOSE(E152,GrowLo,GrowMid,GrowHi)</f>
        <v>0.04</v>
      </c>
      <c r="G152" s="20" t="n">
        <v>10</v>
      </c>
      <c r="H152" s="18" t="n">
        <f aca="false">INDEX(C_Price,A152)</f>
        <v>18.8</v>
      </c>
      <c r="I152" s="18" t="n">
        <f aca="false">INDEX(C_Jeonse,A152)</f>
        <v>9.776</v>
      </c>
      <c r="J152" s="21" t="n">
        <f aca="false">IF(C152=5,0,IF(C152=1,INDEX(C_Loan,A152),IF(C152=2,INDEX(C_Loan,A152)*LoanShare2,IF(C152=3,0,MIN(INDEX(C_Loan,A152),I152)))))</f>
        <v>0</v>
      </c>
      <c r="K152" s="18" t="n">
        <f aca="false">IF(C152=5,0,INDEX(C_Acq,A152))</f>
        <v>0</v>
      </c>
      <c r="L152" s="18" t="n">
        <f aca="false">IF(C152=5,0,INDEX(C_Fee,A152))</f>
        <v>0</v>
      </c>
      <c r="M152" s="21" t="n">
        <f aca="false">IF(C152=4,MAX(0,I152-J152),0)</f>
        <v>0</v>
      </c>
      <c r="N152" s="21" t="n">
        <f aca="false">IF(C152=5,I152,IF(C152=4,(H152-I152)+K152+L152+M152,H152-J152+K152+L152))</f>
        <v>9.776</v>
      </c>
      <c r="O152" s="20" t="n">
        <f aca="false">IF(C152=4,RentYears,0)</f>
        <v>0</v>
      </c>
      <c r="P152" s="20" t="n">
        <f aca="false">IF(C152=5,0,MAX(0,G152-O152-NonRes))</f>
        <v>0</v>
      </c>
      <c r="Q152" s="21" t="n">
        <f aca="false">IF(C152=5,0,H152*(1+F152)^G152)</f>
        <v>0</v>
      </c>
      <c r="R152" s="21" t="n">
        <f aca="false">IF(C152=5,0,Q152*LOOKUP(Q152,FeeLo,FeeR)*(1+VAT))</f>
        <v>0</v>
      </c>
      <c r="S152" s="21" t="n">
        <f aca="false">IF(J152&gt;0,-CUMIPMT(Rm,LoanYears*12,J152,1,(G152-O152)*12,0),0)</f>
        <v>0</v>
      </c>
      <c r="T152" s="29" t="n">
        <f aca="false">IF(C152=5,0,SUMIFS(Sch_Total,Sch_Idx,A152,Sch_Scen,E152,Sch_Year,"&lt;="&amp;G152))</f>
        <v>0</v>
      </c>
      <c r="U152" s="21" t="n">
        <f aca="false">K152+L152+R152</f>
        <v>0</v>
      </c>
      <c r="V152" s="21" t="n">
        <f aca="false">IF(C152=5,0,Q152-H152-U152)</f>
        <v>0</v>
      </c>
      <c r="W152" s="21" t="n">
        <f aca="false">IF(C152=5,0,MAX(0,IF(P152&gt;=2,IF(Q152&gt;Exempt,V152*(Q152-Exempt)/Q152,0),V152)))</f>
        <v>0</v>
      </c>
      <c r="X152" s="10" t="n">
        <f aca="false">IF(P152&gt;=2,MIN(MaxDed,MIN(0.4,HoldRate*G152)+MIN(0.4,LiveRate*P152)),IF(G152&gt;=3,MIN(0.3,0.02*G152),0))</f>
        <v>0.2</v>
      </c>
      <c r="Y152" s="21" t="n">
        <f aca="false">MAX(0,W152*(1-X152)-InitDed)</f>
        <v>0</v>
      </c>
      <c r="Z152" s="29" t="n">
        <f aca="false">SUMPRODUCT((Y152&gt;CLo)*(Y152-CLo)*CD)*(1+LocalTax)</f>
        <v>0</v>
      </c>
      <c r="AA152" s="21" t="n">
        <f aca="false">K152+T152+Z152</f>
        <v>0</v>
      </c>
      <c r="AB152" s="29" t="n">
        <f aca="false">IF(C152=5,0,(Q152-H152)-K152-L152-R152-S152-T152-Z152)</f>
        <v>0</v>
      </c>
      <c r="AC152" s="21" t="n">
        <f aca="false">IF(C152=5,0,N152*((1+DepRate*(1-DepTax))^G152-1))</f>
        <v>0</v>
      </c>
      <c r="AD152" s="29" t="n">
        <f aca="false">IF(C152=5,0,AB152-AC152+I152*(((1+DepRate*(1-DepTax))^G152-1)-((1+DepRate*(1-DepTax))^O152-1)))</f>
        <v>0</v>
      </c>
      <c r="AE152" s="30" t="n">
        <f aca="false">IF(J152&gt;0,-PMT(Rm,LoanYears*12,J152)*10000,0)</f>
        <v>0</v>
      </c>
      <c r="AF152" s="21" t="n">
        <f aca="false">IF(J152&gt;0,-PMT((Rate+Stress)/12,LoanYears*12,J152)*12/DSR,0)</f>
        <v>0</v>
      </c>
      <c r="AG152" s="20" t="n">
        <f aca="false">IF(N152&lt;=CapA,1,0)</f>
        <v>1</v>
      </c>
      <c r="AH152" s="20" t="n">
        <f aca="false">IF(N152&lt;=CapB,1,0)</f>
        <v>1</v>
      </c>
      <c r="AI152" s="20" t="n">
        <f aca="false">IF(N152&lt;=CapC,1,0)</f>
        <v>1</v>
      </c>
      <c r="AJ152" s="21" t="n">
        <f aca="false">IF(AG152=1,AD152,-999)</f>
        <v>0</v>
      </c>
      <c r="AK152" s="21" t="n">
        <f aca="false">IF(AH152=1,AD152,-999)</f>
        <v>0</v>
      </c>
      <c r="AL152" s="21" t="n">
        <f aca="false">IF(AI152=1,AD152,-999)</f>
        <v>0</v>
      </c>
      <c r="AM152" s="21" t="str">
        <f aca="false">C152&amp;"|"&amp;E152&amp;"|"&amp;G152&amp;"|"&amp;TEXT(AJ152,"0.00000")</f>
        <v>5|2|10|0.00000</v>
      </c>
      <c r="AN152" s="21" t="str">
        <f aca="false">C152&amp;"|"&amp;E152&amp;"|"&amp;G152&amp;"|"&amp;TEXT(AK152,"0.00000")</f>
        <v>5|2|10|0.00000</v>
      </c>
      <c r="AO152" s="21" t="str">
        <f aca="false">C152&amp;"|"&amp;E152&amp;"|"&amp;G152&amp;"|"&amp;TEXT(AL152,"0.00000")</f>
        <v>5|2|10|0.00000</v>
      </c>
    </row>
    <row r="153" customFormat="false" ht="15" hidden="false" customHeight="false" outlineLevel="0" collapsed="false">
      <c r="A153" s="20" t="n">
        <v>5</v>
      </c>
      <c r="B153" s="18" t="str">
        <f aca="false">INDEX(C_Name,A153)</f>
        <v>신길 래미안에스티움 84㎡</v>
      </c>
      <c r="C153" s="20" t="n">
        <v>5</v>
      </c>
      <c r="D153" s="21" t="str">
        <f aca="false">CHOOSE(C153,"1안 표준형(대출 최대)","2안 절충형(대출 50%)","3안 무대출형","4안 임대차 승계 후 입주","5안 매수 보류(전세 거주)")</f>
        <v>5안 매수 보류(전세 거주)</v>
      </c>
      <c r="E153" s="20" t="n">
        <v>3</v>
      </c>
      <c r="F153" s="10" t="n">
        <f aca="false">CHOOSE(E153,GrowLo,GrowMid,GrowHi)</f>
        <v>0.06</v>
      </c>
      <c r="G153" s="20" t="n">
        <v>5</v>
      </c>
      <c r="H153" s="18" t="n">
        <f aca="false">INDEX(C_Price,A153)</f>
        <v>18.8</v>
      </c>
      <c r="I153" s="18" t="n">
        <f aca="false">INDEX(C_Jeonse,A153)</f>
        <v>9.776</v>
      </c>
      <c r="J153" s="21" t="n">
        <f aca="false">IF(C153=5,0,IF(C153=1,INDEX(C_Loan,A153),IF(C153=2,INDEX(C_Loan,A153)*LoanShare2,IF(C153=3,0,MIN(INDEX(C_Loan,A153),I153)))))</f>
        <v>0</v>
      </c>
      <c r="K153" s="18" t="n">
        <f aca="false">IF(C153=5,0,INDEX(C_Acq,A153))</f>
        <v>0</v>
      </c>
      <c r="L153" s="18" t="n">
        <f aca="false">IF(C153=5,0,INDEX(C_Fee,A153))</f>
        <v>0</v>
      </c>
      <c r="M153" s="21" t="n">
        <f aca="false">IF(C153=4,MAX(0,I153-J153),0)</f>
        <v>0</v>
      </c>
      <c r="N153" s="21" t="n">
        <f aca="false">IF(C153=5,I153,IF(C153=4,(H153-I153)+K153+L153+M153,H153-J153+K153+L153))</f>
        <v>9.776</v>
      </c>
      <c r="O153" s="20" t="n">
        <f aca="false">IF(C153=4,RentYears,0)</f>
        <v>0</v>
      </c>
      <c r="P153" s="20" t="n">
        <f aca="false">IF(C153=5,0,MAX(0,G153-O153-NonRes))</f>
        <v>0</v>
      </c>
      <c r="Q153" s="21" t="n">
        <f aca="false">IF(C153=5,0,H153*(1+F153)^G153)</f>
        <v>0</v>
      </c>
      <c r="R153" s="21" t="n">
        <f aca="false">IF(C153=5,0,Q153*LOOKUP(Q153,FeeLo,FeeR)*(1+VAT))</f>
        <v>0</v>
      </c>
      <c r="S153" s="21" t="n">
        <f aca="false">IF(J153&gt;0,-CUMIPMT(Rm,LoanYears*12,J153,1,(G153-O153)*12,0),0)</f>
        <v>0</v>
      </c>
      <c r="T153" s="29" t="n">
        <f aca="false">IF(C153=5,0,SUMIFS(Sch_Total,Sch_Idx,A153,Sch_Scen,E153,Sch_Year,"&lt;="&amp;G153))</f>
        <v>0</v>
      </c>
      <c r="U153" s="21" t="n">
        <f aca="false">K153+L153+R153</f>
        <v>0</v>
      </c>
      <c r="V153" s="21" t="n">
        <f aca="false">IF(C153=5,0,Q153-H153-U153)</f>
        <v>0</v>
      </c>
      <c r="W153" s="21" t="n">
        <f aca="false">IF(C153=5,0,MAX(0,IF(P153&gt;=2,IF(Q153&gt;Exempt,V153*(Q153-Exempt)/Q153,0),V153)))</f>
        <v>0</v>
      </c>
      <c r="X153" s="10" t="n">
        <f aca="false">IF(P153&gt;=2,MIN(MaxDed,MIN(0.4,HoldRate*G153)+MIN(0.4,LiveRate*P153)),IF(G153&gt;=3,MIN(0.3,0.02*G153),0))</f>
        <v>0.1</v>
      </c>
      <c r="Y153" s="21" t="n">
        <f aca="false">MAX(0,W153*(1-X153)-InitDed)</f>
        <v>0</v>
      </c>
      <c r="Z153" s="29" t="n">
        <f aca="false">SUMPRODUCT((Y153&gt;CLo)*(Y153-CLo)*CD)*(1+LocalTax)</f>
        <v>0</v>
      </c>
      <c r="AA153" s="21" t="n">
        <f aca="false">K153+T153+Z153</f>
        <v>0</v>
      </c>
      <c r="AB153" s="29" t="n">
        <f aca="false">IF(C153=5,0,(Q153-H153)-K153-L153-R153-S153-T153-Z153)</f>
        <v>0</v>
      </c>
      <c r="AC153" s="21" t="n">
        <f aca="false">IF(C153=5,0,N153*((1+DepRate*(1-DepTax))^G153-1))</f>
        <v>0</v>
      </c>
      <c r="AD153" s="29" t="n">
        <f aca="false">IF(C153=5,0,AB153-AC153+I153*(((1+DepRate*(1-DepTax))^G153-1)-((1+DepRate*(1-DepTax))^O153-1)))</f>
        <v>0</v>
      </c>
      <c r="AE153" s="30" t="n">
        <f aca="false">IF(J153&gt;0,-PMT(Rm,LoanYears*12,J153)*10000,0)</f>
        <v>0</v>
      </c>
      <c r="AF153" s="21" t="n">
        <f aca="false">IF(J153&gt;0,-PMT((Rate+Stress)/12,LoanYears*12,J153)*12/DSR,0)</f>
        <v>0</v>
      </c>
      <c r="AG153" s="20" t="n">
        <f aca="false">IF(N153&lt;=CapA,1,0)</f>
        <v>1</v>
      </c>
      <c r="AH153" s="20" t="n">
        <f aca="false">IF(N153&lt;=CapB,1,0)</f>
        <v>1</v>
      </c>
      <c r="AI153" s="20" t="n">
        <f aca="false">IF(N153&lt;=CapC,1,0)</f>
        <v>1</v>
      </c>
      <c r="AJ153" s="21" t="n">
        <f aca="false">IF(AG153=1,AD153,-999)</f>
        <v>0</v>
      </c>
      <c r="AK153" s="21" t="n">
        <f aca="false">IF(AH153=1,AD153,-999)</f>
        <v>0</v>
      </c>
      <c r="AL153" s="21" t="n">
        <f aca="false">IF(AI153=1,AD153,-999)</f>
        <v>0</v>
      </c>
      <c r="AM153" s="21" t="str">
        <f aca="false">C153&amp;"|"&amp;E153&amp;"|"&amp;G153&amp;"|"&amp;TEXT(AJ153,"0.00000")</f>
        <v>5|3|5|0.00000</v>
      </c>
      <c r="AN153" s="21" t="str">
        <f aca="false">C153&amp;"|"&amp;E153&amp;"|"&amp;G153&amp;"|"&amp;TEXT(AK153,"0.00000")</f>
        <v>5|3|5|0.00000</v>
      </c>
      <c r="AO153" s="21" t="str">
        <f aca="false">C153&amp;"|"&amp;E153&amp;"|"&amp;G153&amp;"|"&amp;TEXT(AL153,"0.00000")</f>
        <v>5|3|5|0.00000</v>
      </c>
    </row>
    <row r="154" customFormat="false" ht="15" hidden="false" customHeight="false" outlineLevel="0" collapsed="false">
      <c r="A154" s="20" t="n">
        <v>5</v>
      </c>
      <c r="B154" s="18" t="str">
        <f aca="false">INDEX(C_Name,A154)</f>
        <v>신길 래미안에스티움 84㎡</v>
      </c>
      <c r="C154" s="20" t="n">
        <v>5</v>
      </c>
      <c r="D154" s="21" t="str">
        <f aca="false">CHOOSE(C154,"1안 표준형(대출 최대)","2안 절충형(대출 50%)","3안 무대출형","4안 임대차 승계 후 입주","5안 매수 보류(전세 거주)")</f>
        <v>5안 매수 보류(전세 거주)</v>
      </c>
      <c r="E154" s="20" t="n">
        <v>3</v>
      </c>
      <c r="F154" s="10" t="n">
        <f aca="false">CHOOSE(E154,GrowLo,GrowMid,GrowHi)</f>
        <v>0.06</v>
      </c>
      <c r="G154" s="20" t="n">
        <v>10</v>
      </c>
      <c r="H154" s="18" t="n">
        <f aca="false">INDEX(C_Price,A154)</f>
        <v>18.8</v>
      </c>
      <c r="I154" s="18" t="n">
        <f aca="false">INDEX(C_Jeonse,A154)</f>
        <v>9.776</v>
      </c>
      <c r="J154" s="21" t="n">
        <f aca="false">IF(C154=5,0,IF(C154=1,INDEX(C_Loan,A154),IF(C154=2,INDEX(C_Loan,A154)*LoanShare2,IF(C154=3,0,MIN(INDEX(C_Loan,A154),I154)))))</f>
        <v>0</v>
      </c>
      <c r="K154" s="18" t="n">
        <f aca="false">IF(C154=5,0,INDEX(C_Acq,A154))</f>
        <v>0</v>
      </c>
      <c r="L154" s="18" t="n">
        <f aca="false">IF(C154=5,0,INDEX(C_Fee,A154))</f>
        <v>0</v>
      </c>
      <c r="M154" s="21" t="n">
        <f aca="false">IF(C154=4,MAX(0,I154-J154),0)</f>
        <v>0</v>
      </c>
      <c r="N154" s="21" t="n">
        <f aca="false">IF(C154=5,I154,IF(C154=4,(H154-I154)+K154+L154+M154,H154-J154+K154+L154))</f>
        <v>9.776</v>
      </c>
      <c r="O154" s="20" t="n">
        <f aca="false">IF(C154=4,RentYears,0)</f>
        <v>0</v>
      </c>
      <c r="P154" s="20" t="n">
        <f aca="false">IF(C154=5,0,MAX(0,G154-O154-NonRes))</f>
        <v>0</v>
      </c>
      <c r="Q154" s="21" t="n">
        <f aca="false">IF(C154=5,0,H154*(1+F154)^G154)</f>
        <v>0</v>
      </c>
      <c r="R154" s="21" t="n">
        <f aca="false">IF(C154=5,0,Q154*LOOKUP(Q154,FeeLo,FeeR)*(1+VAT))</f>
        <v>0</v>
      </c>
      <c r="S154" s="21" t="n">
        <f aca="false">IF(J154&gt;0,-CUMIPMT(Rm,LoanYears*12,J154,1,(G154-O154)*12,0),0)</f>
        <v>0</v>
      </c>
      <c r="T154" s="29" t="n">
        <f aca="false">IF(C154=5,0,SUMIFS(Sch_Total,Sch_Idx,A154,Sch_Scen,E154,Sch_Year,"&lt;="&amp;G154))</f>
        <v>0</v>
      </c>
      <c r="U154" s="21" t="n">
        <f aca="false">K154+L154+R154</f>
        <v>0</v>
      </c>
      <c r="V154" s="21" t="n">
        <f aca="false">IF(C154=5,0,Q154-H154-U154)</f>
        <v>0</v>
      </c>
      <c r="W154" s="21" t="n">
        <f aca="false">IF(C154=5,0,MAX(0,IF(P154&gt;=2,IF(Q154&gt;Exempt,V154*(Q154-Exempt)/Q154,0),V154)))</f>
        <v>0</v>
      </c>
      <c r="X154" s="10" t="n">
        <f aca="false">IF(P154&gt;=2,MIN(MaxDed,MIN(0.4,HoldRate*G154)+MIN(0.4,LiveRate*P154)),IF(G154&gt;=3,MIN(0.3,0.02*G154),0))</f>
        <v>0.2</v>
      </c>
      <c r="Y154" s="21" t="n">
        <f aca="false">MAX(0,W154*(1-X154)-InitDed)</f>
        <v>0</v>
      </c>
      <c r="Z154" s="29" t="n">
        <f aca="false">SUMPRODUCT((Y154&gt;CLo)*(Y154-CLo)*CD)*(1+LocalTax)</f>
        <v>0</v>
      </c>
      <c r="AA154" s="21" t="n">
        <f aca="false">K154+T154+Z154</f>
        <v>0</v>
      </c>
      <c r="AB154" s="29" t="n">
        <f aca="false">IF(C154=5,0,(Q154-H154)-K154-L154-R154-S154-T154-Z154)</f>
        <v>0</v>
      </c>
      <c r="AC154" s="21" t="n">
        <f aca="false">IF(C154=5,0,N154*((1+DepRate*(1-DepTax))^G154-1))</f>
        <v>0</v>
      </c>
      <c r="AD154" s="29" t="n">
        <f aca="false">IF(C154=5,0,AB154-AC154+I154*(((1+DepRate*(1-DepTax))^G154-1)-((1+DepRate*(1-DepTax))^O154-1)))</f>
        <v>0</v>
      </c>
      <c r="AE154" s="30" t="n">
        <f aca="false">IF(J154&gt;0,-PMT(Rm,LoanYears*12,J154)*10000,0)</f>
        <v>0</v>
      </c>
      <c r="AF154" s="21" t="n">
        <f aca="false">IF(J154&gt;0,-PMT((Rate+Stress)/12,LoanYears*12,J154)*12/DSR,0)</f>
        <v>0</v>
      </c>
      <c r="AG154" s="20" t="n">
        <f aca="false">IF(N154&lt;=CapA,1,0)</f>
        <v>1</v>
      </c>
      <c r="AH154" s="20" t="n">
        <f aca="false">IF(N154&lt;=CapB,1,0)</f>
        <v>1</v>
      </c>
      <c r="AI154" s="20" t="n">
        <f aca="false">IF(N154&lt;=CapC,1,0)</f>
        <v>1</v>
      </c>
      <c r="AJ154" s="21" t="n">
        <f aca="false">IF(AG154=1,AD154,-999)</f>
        <v>0</v>
      </c>
      <c r="AK154" s="21" t="n">
        <f aca="false">IF(AH154=1,AD154,-999)</f>
        <v>0</v>
      </c>
      <c r="AL154" s="21" t="n">
        <f aca="false">IF(AI154=1,AD154,-999)</f>
        <v>0</v>
      </c>
      <c r="AM154" s="21" t="str">
        <f aca="false">C154&amp;"|"&amp;E154&amp;"|"&amp;G154&amp;"|"&amp;TEXT(AJ154,"0.00000")</f>
        <v>5|3|10|0.00000</v>
      </c>
      <c r="AN154" s="21" t="str">
        <f aca="false">C154&amp;"|"&amp;E154&amp;"|"&amp;G154&amp;"|"&amp;TEXT(AK154,"0.00000")</f>
        <v>5|3|10|0.00000</v>
      </c>
      <c r="AO154" s="21" t="str">
        <f aca="false">C154&amp;"|"&amp;E154&amp;"|"&amp;G154&amp;"|"&amp;TEXT(AL154,"0.00000")</f>
        <v>5|3|10|0.00000</v>
      </c>
    </row>
    <row r="155" customFormat="false" ht="15" hidden="false" customHeight="false" outlineLevel="0" collapsed="false">
      <c r="A155" s="20" t="n">
        <v>6</v>
      </c>
      <c r="B155" s="18" t="str">
        <f aca="false">INDEX(C_Name,A155)</f>
        <v>신길 보라매SK뷰 84.98㎡</v>
      </c>
      <c r="C155" s="20" t="n">
        <v>1</v>
      </c>
      <c r="D155" s="21" t="str">
        <f aca="false">CHOOSE(C155,"1안 표준형(대출 최대)","2안 절충형(대출 50%)","3안 무대출형","4안 임대차 승계 후 입주","5안 매수 보류(전세 거주)")</f>
        <v>1안 표준형(대출 최대)</v>
      </c>
      <c r="E155" s="20" t="n">
        <v>1</v>
      </c>
      <c r="F155" s="10" t="n">
        <f aca="false">CHOOSE(E155,GrowLo,GrowMid,GrowHi)</f>
        <v>0.02</v>
      </c>
      <c r="G155" s="20" t="n">
        <v>5</v>
      </c>
      <c r="H155" s="18" t="n">
        <f aca="false">INDEX(C_Price,A155)</f>
        <v>20.4</v>
      </c>
      <c r="I155" s="18" t="n">
        <f aca="false">INDEX(C_Jeonse,A155)</f>
        <v>10.608</v>
      </c>
      <c r="J155" s="21" t="n">
        <f aca="false">IF(C155=5,0,IF(C155=1,INDEX(C_Loan,A155),IF(C155=2,INDEX(C_Loan,A155)*LoanShare2,IF(C155=3,0,MIN(INDEX(C_Loan,A155),I155)))))</f>
        <v>4</v>
      </c>
      <c r="K155" s="18" t="n">
        <f aca="false">IF(C155=5,0,INDEX(C_Acq,A155))</f>
        <v>0.6732</v>
      </c>
      <c r="L155" s="18" t="n">
        <f aca="false">IF(C155=5,0,INDEX(C_Fee,A155))</f>
        <v>0.17708</v>
      </c>
      <c r="M155" s="21" t="n">
        <f aca="false">IF(C155=4,MAX(0,I155-J155),0)</f>
        <v>0</v>
      </c>
      <c r="N155" s="21" t="n">
        <f aca="false">IF(C155=5,I155,IF(C155=4,(H155-I155)+K155+L155+M155,H155-J155+K155+L155))</f>
        <v>17.25028</v>
      </c>
      <c r="O155" s="20" t="n">
        <f aca="false">IF(C155=4,RentYears,0)</f>
        <v>0</v>
      </c>
      <c r="P155" s="20" t="n">
        <f aca="false">IF(C155=5,0,MAX(0,G155-O155-NonRes))</f>
        <v>5</v>
      </c>
      <c r="Q155" s="21" t="n">
        <f aca="false">IF(C155=5,0,H155*(1+F155)^G155)</f>
        <v>22.52324838528</v>
      </c>
      <c r="R155" s="21" t="n">
        <f aca="false">IF(C155=5,0,Q155*LOOKUP(Q155,FeeLo,FeeR)*(1+VAT))</f>
        <v>0.173429012566656</v>
      </c>
      <c r="S155" s="21" t="n">
        <f aca="false">IF(J155&gt;0,-CUMIPMT(Rm,LoanYears*12,J155,1,(G155-O155)*12,0),0)</f>
        <v>0.76369723456074</v>
      </c>
      <c r="T155" s="29" t="n">
        <f aca="false">IF(C155=5,0,SUMIFS(Sch_Total,Sch_Idx,A155,Sch_Scen,E155,Sch_Year,"&lt;="&amp;G155))</f>
        <v>0.282405147218611</v>
      </c>
      <c r="U155" s="21" t="n">
        <f aca="false">K155+L155+R155</f>
        <v>1.02370901256666</v>
      </c>
      <c r="V155" s="21" t="n">
        <f aca="false">IF(C155=5,0,Q155-H155-U155)</f>
        <v>1.09953937271334</v>
      </c>
      <c r="W155" s="21" t="n">
        <f aca="false">IF(C155=5,0,MAX(0,IF(P155&gt;=2,IF(Q155&gt;Exempt,V155*(Q155-Exempt)/Q155,0),V155)))</f>
        <v>0.5137236747795</v>
      </c>
      <c r="X155" s="10" t="n">
        <f aca="false">IF(P155&gt;=2,MIN(MaxDed,MIN(0.4,HoldRate*G155)+MIN(0.4,LiveRate*P155)),IF(G155&gt;=3,MIN(0.3,0.02*G155),0))</f>
        <v>0.4</v>
      </c>
      <c r="Y155" s="21" t="n">
        <f aca="false">MAX(0,W155*(1-X155)-InitDed)</f>
        <v>0.2832342048677</v>
      </c>
      <c r="Z155" s="29" t="n">
        <f aca="false">SUMPRODUCT((Y155&gt;CLo)*(Y155-CLo)*CD)*(1+LocalTax)</f>
        <v>0.0328736438031705</v>
      </c>
      <c r="AA155" s="21" t="n">
        <f aca="false">K155+T155+Z155</f>
        <v>0.988478791021782</v>
      </c>
      <c r="AB155" s="29" t="n">
        <f aca="false">IF(C155=5,0,(Q155-H155)-K155-L155-R155-S155-T155-Z155)</f>
        <v>0.0205633471308224</v>
      </c>
      <c r="AC155" s="21" t="n">
        <f aca="false">IF(C155=5,0,N155*((1+DepRate*(1-DepTax))^G155-1))</f>
        <v>2.30303335603218</v>
      </c>
      <c r="AD155" s="29" t="n">
        <f aca="false">IF(C155=5,0,AB155-AC155+I155*(((1+DepRate*(1-DepTax))^G155-1)-((1+DepRate*(1-DepTax))^O155-1)))</f>
        <v>-0.866227615108945</v>
      </c>
      <c r="AE155" s="30" t="n">
        <f aca="false">IF(J155&gt;0,-PMT(Rm,LoanYears*12,J155)*10000,0)</f>
        <v>190.966118186184</v>
      </c>
      <c r="AF155" s="21" t="n">
        <f aca="false">IF(J155&gt;0,-PMT((Rate+Stress)/12,LoanYears*12,J155)*12/DSR,0)</f>
        <v>0.79836299421502</v>
      </c>
      <c r="AG155" s="20" t="n">
        <f aca="false">IF(N155&lt;=CapA,1,0)</f>
        <v>0</v>
      </c>
      <c r="AH155" s="20" t="n">
        <f aca="false">IF(N155&lt;=CapB,1,0)</f>
        <v>0</v>
      </c>
      <c r="AI155" s="20" t="n">
        <f aca="false">IF(N155&lt;=CapC,1,0)</f>
        <v>0</v>
      </c>
      <c r="AJ155" s="21" t="n">
        <f aca="false">IF(AG155=1,AD155,-999)</f>
        <v>-999</v>
      </c>
      <c r="AK155" s="21" t="n">
        <f aca="false">IF(AH155=1,AD155,-999)</f>
        <v>-999</v>
      </c>
      <c r="AL155" s="21" t="n">
        <f aca="false">IF(AI155=1,AD155,-999)</f>
        <v>-999</v>
      </c>
      <c r="AM155" s="21" t="str">
        <f aca="false">C155&amp;"|"&amp;E155&amp;"|"&amp;G155&amp;"|"&amp;TEXT(AJ155,"0.00000")</f>
        <v>1|1|5|-999.00000</v>
      </c>
      <c r="AN155" s="21" t="str">
        <f aca="false">C155&amp;"|"&amp;E155&amp;"|"&amp;G155&amp;"|"&amp;TEXT(AK155,"0.00000")</f>
        <v>1|1|5|-999.00000</v>
      </c>
      <c r="AO155" s="21" t="str">
        <f aca="false">C155&amp;"|"&amp;E155&amp;"|"&amp;G155&amp;"|"&amp;TEXT(AL155,"0.00000")</f>
        <v>1|1|5|-999.00000</v>
      </c>
    </row>
    <row r="156" customFormat="false" ht="15" hidden="false" customHeight="false" outlineLevel="0" collapsed="false">
      <c r="A156" s="20" t="n">
        <v>6</v>
      </c>
      <c r="B156" s="18" t="str">
        <f aca="false">INDEX(C_Name,A156)</f>
        <v>신길 보라매SK뷰 84.98㎡</v>
      </c>
      <c r="C156" s="20" t="n">
        <v>1</v>
      </c>
      <c r="D156" s="21" t="str">
        <f aca="false">CHOOSE(C156,"1안 표준형(대출 최대)","2안 절충형(대출 50%)","3안 무대출형","4안 임대차 승계 후 입주","5안 매수 보류(전세 거주)")</f>
        <v>1안 표준형(대출 최대)</v>
      </c>
      <c r="E156" s="20" t="n">
        <v>1</v>
      </c>
      <c r="F156" s="10" t="n">
        <f aca="false">CHOOSE(E156,GrowLo,GrowMid,GrowHi)</f>
        <v>0.02</v>
      </c>
      <c r="G156" s="20" t="n">
        <v>10</v>
      </c>
      <c r="H156" s="18" t="n">
        <f aca="false">INDEX(C_Price,A156)</f>
        <v>20.4</v>
      </c>
      <c r="I156" s="18" t="n">
        <f aca="false">INDEX(C_Jeonse,A156)</f>
        <v>10.608</v>
      </c>
      <c r="J156" s="21" t="n">
        <f aca="false">IF(C156=5,0,IF(C156=1,INDEX(C_Loan,A156),IF(C156=2,INDEX(C_Loan,A156)*LoanShare2,IF(C156=3,0,MIN(INDEX(C_Loan,A156),I156)))))</f>
        <v>4</v>
      </c>
      <c r="K156" s="18" t="n">
        <f aca="false">IF(C156=5,0,INDEX(C_Acq,A156))</f>
        <v>0.6732</v>
      </c>
      <c r="L156" s="18" t="n">
        <f aca="false">IF(C156=5,0,INDEX(C_Fee,A156))</f>
        <v>0.17708</v>
      </c>
      <c r="M156" s="21" t="n">
        <f aca="false">IF(C156=4,MAX(0,I156-J156),0)</f>
        <v>0</v>
      </c>
      <c r="N156" s="21" t="n">
        <f aca="false">IF(C156=5,I156,IF(C156=4,(H156-I156)+K156+L156+M156,H156-J156+K156+L156))</f>
        <v>17.25028</v>
      </c>
      <c r="O156" s="20" t="n">
        <f aca="false">IF(C156=4,RentYears,0)</f>
        <v>0</v>
      </c>
      <c r="P156" s="20" t="n">
        <f aca="false">IF(C156=5,0,MAX(0,G156-O156-NonRes))</f>
        <v>10</v>
      </c>
      <c r="Q156" s="21" t="n">
        <f aca="false">IF(C156=5,0,H156*(1+F156)^G156)</f>
        <v>24.8674861678931</v>
      </c>
      <c r="R156" s="21" t="n">
        <f aca="false">IF(C156=5,0,Q156*LOOKUP(Q156,FeeLo,FeeR)*(1+VAT))</f>
        <v>0.191479643492777</v>
      </c>
      <c r="S156" s="21" t="n">
        <f aca="false">IF(J156&gt;0,-CUMIPMT(Rm,LoanYears*12,J156,1,(G156-O156)*12,0),0)</f>
        <v>1.44295178669745</v>
      </c>
      <c r="T156" s="29" t="n">
        <f aca="false">IF(C156=5,0,SUMIFS(Sch_Total,Sch_Idx,A156,Sch_Scen,E156,Sch_Year,"&lt;="&amp;G156))</f>
        <v>0.62061895683971</v>
      </c>
      <c r="U156" s="21" t="n">
        <f aca="false">K156+L156+R156</f>
        <v>1.04175964349278</v>
      </c>
      <c r="V156" s="21" t="n">
        <f aca="false">IF(C156=5,0,Q156-H156-U156)</f>
        <v>3.42572652440027</v>
      </c>
      <c r="W156" s="21" t="n">
        <f aca="false">IF(C156=5,0,MAX(0,IF(P156&gt;=2,IF(Q156&gt;Exempt,V156*(Q156-Exempt)/Q156,0),V156)))</f>
        <v>1.77261538903028</v>
      </c>
      <c r="X156" s="10" t="n">
        <f aca="false">IF(P156&gt;=2,MIN(MaxDed,MIN(0.4,HoldRate*G156)+MIN(0.4,LiveRate*P156)),IF(G156&gt;=3,MIN(0.3,0.02*G156),0))</f>
        <v>0.8</v>
      </c>
      <c r="Y156" s="21" t="n">
        <f aca="false">MAX(0,W156*(1-X156)-InitDed)</f>
        <v>0.329523077806056</v>
      </c>
      <c r="Z156" s="29" t="n">
        <f aca="false">SUMPRODUCT((Y156&gt;CLo)*(Y156-CLo)*CD)*(1+LocalTax)</f>
        <v>0.0405113078379992</v>
      </c>
      <c r="AA156" s="21" t="n">
        <f aca="false">K156+T156+Z156</f>
        <v>1.33433026467771</v>
      </c>
      <c r="AB156" s="29" t="n">
        <f aca="false">IF(C156=5,0,(Q156-H156)-K156-L156-R156-S156-T156-Z156)</f>
        <v>1.32164447302511</v>
      </c>
      <c r="AC156" s="21" t="n">
        <f aca="false">IF(C156=5,0,N156*((1+DepRate*(1-DepTax))^G156-1))</f>
        <v>4.91353781624335</v>
      </c>
      <c r="AD156" s="29" t="n">
        <f aca="false">IF(C156=5,0,AB156-AC156+I156*(((1+DepRate*(1-DepTax))^G156-1)-((1+DepRate*(1-DepTax))^O156-1)))</f>
        <v>-0.570330263969119</v>
      </c>
      <c r="AE156" s="30" t="n">
        <f aca="false">IF(J156&gt;0,-PMT(Rm,LoanYears*12,J156)*10000,0)</f>
        <v>190.966118186184</v>
      </c>
      <c r="AF156" s="21" t="n">
        <f aca="false">IF(J156&gt;0,-PMT((Rate+Stress)/12,LoanYears*12,J156)*12/DSR,0)</f>
        <v>0.79836299421502</v>
      </c>
      <c r="AG156" s="20" t="n">
        <f aca="false">IF(N156&lt;=CapA,1,0)</f>
        <v>0</v>
      </c>
      <c r="AH156" s="20" t="n">
        <f aca="false">IF(N156&lt;=CapB,1,0)</f>
        <v>0</v>
      </c>
      <c r="AI156" s="20" t="n">
        <f aca="false">IF(N156&lt;=CapC,1,0)</f>
        <v>0</v>
      </c>
      <c r="AJ156" s="21" t="n">
        <f aca="false">IF(AG156=1,AD156,-999)</f>
        <v>-999</v>
      </c>
      <c r="AK156" s="21" t="n">
        <f aca="false">IF(AH156=1,AD156,-999)</f>
        <v>-999</v>
      </c>
      <c r="AL156" s="21" t="n">
        <f aca="false">IF(AI156=1,AD156,-999)</f>
        <v>-999</v>
      </c>
      <c r="AM156" s="21" t="str">
        <f aca="false">C156&amp;"|"&amp;E156&amp;"|"&amp;G156&amp;"|"&amp;TEXT(AJ156,"0.00000")</f>
        <v>1|1|10|-999.00000</v>
      </c>
      <c r="AN156" s="21" t="str">
        <f aca="false">C156&amp;"|"&amp;E156&amp;"|"&amp;G156&amp;"|"&amp;TEXT(AK156,"0.00000")</f>
        <v>1|1|10|-999.00000</v>
      </c>
      <c r="AO156" s="21" t="str">
        <f aca="false">C156&amp;"|"&amp;E156&amp;"|"&amp;G156&amp;"|"&amp;TEXT(AL156,"0.00000")</f>
        <v>1|1|10|-999.00000</v>
      </c>
    </row>
    <row r="157" customFormat="false" ht="15" hidden="false" customHeight="false" outlineLevel="0" collapsed="false">
      <c r="A157" s="20" t="n">
        <v>6</v>
      </c>
      <c r="B157" s="18" t="str">
        <f aca="false">INDEX(C_Name,A157)</f>
        <v>신길 보라매SK뷰 84.98㎡</v>
      </c>
      <c r="C157" s="20" t="n">
        <v>1</v>
      </c>
      <c r="D157" s="21" t="str">
        <f aca="false">CHOOSE(C157,"1안 표준형(대출 최대)","2안 절충형(대출 50%)","3안 무대출형","4안 임대차 승계 후 입주","5안 매수 보류(전세 거주)")</f>
        <v>1안 표준형(대출 최대)</v>
      </c>
      <c r="E157" s="20" t="n">
        <v>2</v>
      </c>
      <c r="F157" s="10" t="n">
        <f aca="false">CHOOSE(E157,GrowLo,GrowMid,GrowHi)</f>
        <v>0.04</v>
      </c>
      <c r="G157" s="20" t="n">
        <v>5</v>
      </c>
      <c r="H157" s="18" t="n">
        <f aca="false">INDEX(C_Price,A157)</f>
        <v>20.4</v>
      </c>
      <c r="I157" s="18" t="n">
        <f aca="false">INDEX(C_Jeonse,A157)</f>
        <v>10.608</v>
      </c>
      <c r="J157" s="21" t="n">
        <f aca="false">IF(C157=5,0,IF(C157=1,INDEX(C_Loan,A157),IF(C157=2,INDEX(C_Loan,A157)*LoanShare2,IF(C157=3,0,MIN(INDEX(C_Loan,A157),I157)))))</f>
        <v>4</v>
      </c>
      <c r="K157" s="18" t="n">
        <f aca="false">IF(C157=5,0,INDEX(C_Acq,A157))</f>
        <v>0.6732</v>
      </c>
      <c r="L157" s="18" t="n">
        <f aca="false">IF(C157=5,0,INDEX(C_Fee,A157))</f>
        <v>0.17708</v>
      </c>
      <c r="M157" s="21" t="n">
        <f aca="false">IF(C157=4,MAX(0,I157-J157),0)</f>
        <v>0</v>
      </c>
      <c r="N157" s="21" t="n">
        <f aca="false">IF(C157=5,I157,IF(C157=4,(H157-I157)+K157+L157+M157,H157-J157+K157+L157))</f>
        <v>17.25028</v>
      </c>
      <c r="O157" s="20" t="n">
        <f aca="false">IF(C157=4,RentYears,0)</f>
        <v>0</v>
      </c>
      <c r="P157" s="20" t="n">
        <f aca="false">IF(C157=5,0,MAX(0,G157-O157-NonRes))</f>
        <v>5</v>
      </c>
      <c r="Q157" s="21" t="n">
        <f aca="false">IF(C157=5,0,H157*(1+F157)^G157)</f>
        <v>24.81971920896</v>
      </c>
      <c r="R157" s="21" t="n">
        <f aca="false">IF(C157=5,0,Q157*LOOKUP(Q157,FeeLo,FeeR)*(1+VAT))</f>
        <v>0.191111837908992</v>
      </c>
      <c r="S157" s="21" t="n">
        <f aca="false">IF(J157&gt;0,-CUMIPMT(Rm,LoanYears*12,J157,1,(G157-O157)*12,0),0)</f>
        <v>0.76369723456074</v>
      </c>
      <c r="T157" s="29" t="n">
        <f aca="false">IF(C157=5,0,SUMIFS(Sch_Total,Sch_Idx,A157,Sch_Scen,E157,Sch_Year,"&lt;="&amp;G157))</f>
        <v>0.304277944515379</v>
      </c>
      <c r="U157" s="21" t="n">
        <f aca="false">K157+L157+R157</f>
        <v>1.04139183790899</v>
      </c>
      <c r="V157" s="21" t="n">
        <f aca="false">IF(C157=5,0,Q157-H157-U157)</f>
        <v>3.37832737105101</v>
      </c>
      <c r="W157" s="21" t="n">
        <f aca="false">IF(C157=5,0,MAX(0,IF(P157&gt;=2,IF(Q157&gt;Exempt,V157*(Q157-Exempt)/Q157,0),V157)))</f>
        <v>1.74495158177226</v>
      </c>
      <c r="X157" s="10" t="n">
        <f aca="false">IF(P157&gt;=2,MIN(MaxDed,MIN(0.4,HoldRate*G157)+MIN(0.4,LiveRate*P157)),IF(G157&gt;=3,MIN(0.3,0.02*G157),0))</f>
        <v>0.4</v>
      </c>
      <c r="Y157" s="21" t="n">
        <f aca="false">MAX(0,W157*(1-X157)-InitDed)</f>
        <v>1.02197094906335</v>
      </c>
      <c r="Z157" s="29" t="n">
        <f aca="false">SUMPRODUCT((Y157&gt;CLo)*(Y157-CLo)*CD)*(1+LocalTax)</f>
        <v>0.223618815389391</v>
      </c>
      <c r="AA157" s="21" t="n">
        <f aca="false">K157+T157+Z157</f>
        <v>1.20109675990477</v>
      </c>
      <c r="AB157" s="29" t="n">
        <f aca="false">IF(C157=5,0,(Q157-H157)-K157-L157-R157-S157-T157-Z157)</f>
        <v>2.0867333765855</v>
      </c>
      <c r="AC157" s="21" t="n">
        <f aca="false">IF(C157=5,0,N157*((1+DepRate*(1-DepTax))^G157-1))</f>
        <v>2.30303335603218</v>
      </c>
      <c r="AD157" s="29" t="n">
        <f aca="false">IF(C157=5,0,AB157-AC157+I157*(((1+DepRate*(1-DepTax))^G157-1)-((1+DepRate*(1-DepTax))^O157-1)))</f>
        <v>1.19994241434573</v>
      </c>
      <c r="AE157" s="30" t="n">
        <f aca="false">IF(J157&gt;0,-PMT(Rm,LoanYears*12,J157)*10000,0)</f>
        <v>190.966118186184</v>
      </c>
      <c r="AF157" s="21" t="n">
        <f aca="false">IF(J157&gt;0,-PMT((Rate+Stress)/12,LoanYears*12,J157)*12/DSR,0)</f>
        <v>0.79836299421502</v>
      </c>
      <c r="AG157" s="20" t="n">
        <f aca="false">IF(N157&lt;=CapA,1,0)</f>
        <v>0</v>
      </c>
      <c r="AH157" s="20" t="n">
        <f aca="false">IF(N157&lt;=CapB,1,0)</f>
        <v>0</v>
      </c>
      <c r="AI157" s="20" t="n">
        <f aca="false">IF(N157&lt;=CapC,1,0)</f>
        <v>0</v>
      </c>
      <c r="AJ157" s="21" t="n">
        <f aca="false">IF(AG157=1,AD157,-999)</f>
        <v>-999</v>
      </c>
      <c r="AK157" s="21" t="n">
        <f aca="false">IF(AH157=1,AD157,-999)</f>
        <v>-999</v>
      </c>
      <c r="AL157" s="21" t="n">
        <f aca="false">IF(AI157=1,AD157,-999)</f>
        <v>-999</v>
      </c>
      <c r="AM157" s="21" t="str">
        <f aca="false">C157&amp;"|"&amp;E157&amp;"|"&amp;G157&amp;"|"&amp;TEXT(AJ157,"0.00000")</f>
        <v>1|2|5|-999.00000</v>
      </c>
      <c r="AN157" s="21" t="str">
        <f aca="false">C157&amp;"|"&amp;E157&amp;"|"&amp;G157&amp;"|"&amp;TEXT(AK157,"0.00000")</f>
        <v>1|2|5|-999.00000</v>
      </c>
      <c r="AO157" s="21" t="str">
        <f aca="false">C157&amp;"|"&amp;E157&amp;"|"&amp;G157&amp;"|"&amp;TEXT(AL157,"0.00000")</f>
        <v>1|2|5|-999.00000</v>
      </c>
    </row>
    <row r="158" customFormat="false" ht="15" hidden="false" customHeight="false" outlineLevel="0" collapsed="false">
      <c r="A158" s="20" t="n">
        <v>6</v>
      </c>
      <c r="B158" s="18" t="str">
        <f aca="false">INDEX(C_Name,A158)</f>
        <v>신길 보라매SK뷰 84.98㎡</v>
      </c>
      <c r="C158" s="20" t="n">
        <v>1</v>
      </c>
      <c r="D158" s="21" t="str">
        <f aca="false">CHOOSE(C158,"1안 표준형(대출 최대)","2안 절충형(대출 50%)","3안 무대출형","4안 임대차 승계 후 입주","5안 매수 보류(전세 거주)")</f>
        <v>1안 표준형(대출 최대)</v>
      </c>
      <c r="E158" s="20" t="n">
        <v>2</v>
      </c>
      <c r="F158" s="10" t="n">
        <f aca="false">CHOOSE(E158,GrowLo,GrowMid,GrowHi)</f>
        <v>0.04</v>
      </c>
      <c r="G158" s="20" t="n">
        <v>10</v>
      </c>
      <c r="H158" s="18" t="n">
        <f aca="false">INDEX(C_Price,A158)</f>
        <v>20.4</v>
      </c>
      <c r="I158" s="18" t="n">
        <f aca="false">INDEX(C_Jeonse,A158)</f>
        <v>10.608</v>
      </c>
      <c r="J158" s="21" t="n">
        <f aca="false">IF(C158=5,0,IF(C158=1,INDEX(C_Loan,A158),IF(C158=2,INDEX(C_Loan,A158)*LoanShare2,IF(C158=3,0,MIN(INDEX(C_Loan,A158),I158)))))</f>
        <v>4</v>
      </c>
      <c r="K158" s="18" t="n">
        <f aca="false">IF(C158=5,0,INDEX(C_Acq,A158))</f>
        <v>0.6732</v>
      </c>
      <c r="L158" s="18" t="n">
        <f aca="false">IF(C158=5,0,INDEX(C_Fee,A158))</f>
        <v>0.17708</v>
      </c>
      <c r="M158" s="21" t="n">
        <f aca="false">IF(C158=4,MAX(0,I158-J158),0)</f>
        <v>0</v>
      </c>
      <c r="N158" s="21" t="n">
        <f aca="false">IF(C158=5,I158,IF(C158=4,(H158-I158)+K158+L158+M158,H158-J158+K158+L158))</f>
        <v>17.25028</v>
      </c>
      <c r="O158" s="20" t="n">
        <f aca="false">IF(C158=4,RentYears,0)</f>
        <v>0</v>
      </c>
      <c r="P158" s="20" t="n">
        <f aca="false">IF(C158=5,0,MAX(0,G158-O158-NonRes))</f>
        <v>10</v>
      </c>
      <c r="Q158" s="21" t="n">
        <f aca="false">IF(C158=5,0,H158*(1+F158)^G158)</f>
        <v>30.1969834123342</v>
      </c>
      <c r="R158" s="21" t="n">
        <f aca="false">IF(C158=5,0,Q158*LOOKUP(Q158,FeeLo,FeeR)*(1+VAT))</f>
        <v>0.232516772274974</v>
      </c>
      <c r="S158" s="21" t="n">
        <f aca="false">IF(J158&gt;0,-CUMIPMT(Rm,LoanYears*12,J158,1,(G158-O158)*12,0),0)</f>
        <v>1.44295178669745</v>
      </c>
      <c r="T158" s="29" t="n">
        <f aca="false">IF(C158=5,0,SUMIFS(Sch_Total,Sch_Idx,A158,Sch_Scen,E158,Sch_Year,"&lt;="&amp;G158))</f>
        <v>0.740636338287257</v>
      </c>
      <c r="U158" s="21" t="n">
        <f aca="false">K158+L158+R158</f>
        <v>1.08279677227497</v>
      </c>
      <c r="V158" s="21" t="n">
        <f aca="false">IF(C158=5,0,Q158-H158-U158)</f>
        <v>8.71418664005925</v>
      </c>
      <c r="W158" s="21" t="n">
        <f aca="false">IF(C158=5,0,MAX(0,IF(P158&gt;=2,IF(Q158&gt;Exempt,V158*(Q158-Exempt)/Q158,0),V158)))</f>
        <v>5.25125001977425</v>
      </c>
      <c r="X158" s="10" t="n">
        <f aca="false">IF(P158&gt;=2,MIN(MaxDed,MIN(0.4,HoldRate*G158)+MIN(0.4,LiveRate*P158)),IF(G158&gt;=3,MIN(0.3,0.02*G158),0))</f>
        <v>0.8</v>
      </c>
      <c r="Y158" s="21" t="n">
        <f aca="false">MAX(0,W158*(1-X158)-InitDed)</f>
        <v>1.02525000395485</v>
      </c>
      <c r="Z158" s="29" t="n">
        <f aca="false">SUMPRODUCT((Y158&gt;CLo)*(Y158-CLo)*CD)*(1+LocalTax)</f>
        <v>0.224881251522617</v>
      </c>
      <c r="AA158" s="21" t="n">
        <f aca="false">K158+T158+Z158</f>
        <v>1.63871758980987</v>
      </c>
      <c r="AB158" s="29" t="n">
        <f aca="false">IF(C158=5,0,(Q158-H158)-K158-L158-R158-S158-T158-Z158)</f>
        <v>6.30571726355193</v>
      </c>
      <c r="AC158" s="21" t="n">
        <f aca="false">IF(C158=5,0,N158*((1+DepRate*(1-DepTax))^G158-1))</f>
        <v>4.91353781624335</v>
      </c>
      <c r="AD158" s="29" t="n">
        <f aca="false">IF(C158=5,0,AB158-AC158+I158*(((1+DepRate*(1-DepTax))^G158-1)-((1+DepRate*(1-DepTax))^O158-1)))</f>
        <v>4.41374252655769</v>
      </c>
      <c r="AE158" s="30" t="n">
        <f aca="false">IF(J158&gt;0,-PMT(Rm,LoanYears*12,J158)*10000,0)</f>
        <v>190.966118186184</v>
      </c>
      <c r="AF158" s="21" t="n">
        <f aca="false">IF(J158&gt;0,-PMT((Rate+Stress)/12,LoanYears*12,J158)*12/DSR,0)</f>
        <v>0.79836299421502</v>
      </c>
      <c r="AG158" s="20" t="n">
        <f aca="false">IF(N158&lt;=CapA,1,0)</f>
        <v>0</v>
      </c>
      <c r="AH158" s="20" t="n">
        <f aca="false">IF(N158&lt;=CapB,1,0)</f>
        <v>0</v>
      </c>
      <c r="AI158" s="20" t="n">
        <f aca="false">IF(N158&lt;=CapC,1,0)</f>
        <v>0</v>
      </c>
      <c r="AJ158" s="21" t="n">
        <f aca="false">IF(AG158=1,AD158,-999)</f>
        <v>-999</v>
      </c>
      <c r="AK158" s="21" t="n">
        <f aca="false">IF(AH158=1,AD158,-999)</f>
        <v>-999</v>
      </c>
      <c r="AL158" s="21" t="n">
        <f aca="false">IF(AI158=1,AD158,-999)</f>
        <v>-999</v>
      </c>
      <c r="AM158" s="21" t="str">
        <f aca="false">C158&amp;"|"&amp;E158&amp;"|"&amp;G158&amp;"|"&amp;TEXT(AJ158,"0.00000")</f>
        <v>1|2|10|-999.00000</v>
      </c>
      <c r="AN158" s="21" t="str">
        <f aca="false">C158&amp;"|"&amp;E158&amp;"|"&amp;G158&amp;"|"&amp;TEXT(AK158,"0.00000")</f>
        <v>1|2|10|-999.00000</v>
      </c>
      <c r="AO158" s="21" t="str">
        <f aca="false">C158&amp;"|"&amp;E158&amp;"|"&amp;G158&amp;"|"&amp;TEXT(AL158,"0.00000")</f>
        <v>1|2|10|-999.00000</v>
      </c>
    </row>
    <row r="159" customFormat="false" ht="15" hidden="false" customHeight="false" outlineLevel="0" collapsed="false">
      <c r="A159" s="20" t="n">
        <v>6</v>
      </c>
      <c r="B159" s="18" t="str">
        <f aca="false">INDEX(C_Name,A159)</f>
        <v>신길 보라매SK뷰 84.98㎡</v>
      </c>
      <c r="C159" s="20" t="n">
        <v>1</v>
      </c>
      <c r="D159" s="21" t="str">
        <f aca="false">CHOOSE(C159,"1안 표준형(대출 최대)","2안 절충형(대출 50%)","3안 무대출형","4안 임대차 승계 후 입주","5안 매수 보류(전세 거주)")</f>
        <v>1안 표준형(대출 최대)</v>
      </c>
      <c r="E159" s="20" t="n">
        <v>3</v>
      </c>
      <c r="F159" s="10" t="n">
        <f aca="false">CHOOSE(E159,GrowLo,GrowMid,GrowHi)</f>
        <v>0.06</v>
      </c>
      <c r="G159" s="20" t="n">
        <v>5</v>
      </c>
      <c r="H159" s="18" t="n">
        <f aca="false">INDEX(C_Price,A159)</f>
        <v>20.4</v>
      </c>
      <c r="I159" s="18" t="n">
        <f aca="false">INDEX(C_Jeonse,A159)</f>
        <v>10.608</v>
      </c>
      <c r="J159" s="21" t="n">
        <f aca="false">IF(C159=5,0,IF(C159=1,INDEX(C_Loan,A159),IF(C159=2,INDEX(C_Loan,A159)*LoanShare2,IF(C159=3,0,MIN(INDEX(C_Loan,A159),I159)))))</f>
        <v>4</v>
      </c>
      <c r="K159" s="18" t="n">
        <f aca="false">IF(C159=5,0,INDEX(C_Acq,A159))</f>
        <v>0.6732</v>
      </c>
      <c r="L159" s="18" t="n">
        <f aca="false">IF(C159=5,0,INDEX(C_Fee,A159))</f>
        <v>0.17708</v>
      </c>
      <c r="M159" s="21" t="n">
        <f aca="false">IF(C159=4,MAX(0,I159-J159),0)</f>
        <v>0</v>
      </c>
      <c r="N159" s="21" t="n">
        <f aca="false">IF(C159=5,I159,IF(C159=4,(H159-I159)+K159+L159+M159,H159-J159+K159+L159))</f>
        <v>17.25028</v>
      </c>
      <c r="O159" s="20" t="n">
        <f aca="false">IF(C159=4,RentYears,0)</f>
        <v>0</v>
      </c>
      <c r="P159" s="20" t="n">
        <f aca="false">IF(C159=5,0,MAX(0,G159-O159-NonRes))</f>
        <v>5</v>
      </c>
      <c r="Q159" s="21" t="n">
        <f aca="false">IF(C159=5,0,H159*(1+F159)^G159)</f>
        <v>27.29980178304</v>
      </c>
      <c r="R159" s="21" t="n">
        <f aca="false">IF(C159=5,0,Q159*LOOKUP(Q159,FeeLo,FeeR)*(1+VAT))</f>
        <v>0.210208473729408</v>
      </c>
      <c r="S159" s="21" t="n">
        <f aca="false">IF(J159&gt;0,-CUMIPMT(Rm,LoanYears*12,J159,1,(G159-O159)*12,0),0)</f>
        <v>0.76369723456074</v>
      </c>
      <c r="T159" s="29" t="n">
        <f aca="false">IF(C159=5,0,SUMIFS(Sch_Total,Sch_Idx,A159,Sch_Scen,E159,Sch_Year,"&lt;="&amp;G159))</f>
        <v>0.32813501508841</v>
      </c>
      <c r="U159" s="21" t="n">
        <f aca="false">K159+L159+R159</f>
        <v>1.06048847372941</v>
      </c>
      <c r="V159" s="21" t="n">
        <f aca="false">IF(C159=5,0,Q159-H159-U159)</f>
        <v>5.8393133093106</v>
      </c>
      <c r="W159" s="21" t="n">
        <f aca="false">IF(C159=5,0,MAX(0,IF(P159&gt;=2,IF(Q159&gt;Exempt,V159*(Q159-Exempt)/Q159,0),V159)))</f>
        <v>3.27256354795302</v>
      </c>
      <c r="X159" s="10" t="n">
        <f aca="false">IF(P159&gt;=2,MIN(MaxDed,MIN(0.4,HoldRate*G159)+MIN(0.4,LiveRate*P159)),IF(G159&gt;=3,MIN(0.3,0.02*G159),0))</f>
        <v>0.4</v>
      </c>
      <c r="Y159" s="21" t="n">
        <f aca="false">MAX(0,W159*(1-X159)-InitDed)</f>
        <v>1.93853812877181</v>
      </c>
      <c r="Z159" s="29" t="n">
        <f aca="false">SUMPRODUCT((Y159&gt;CLo)*(Y159-CLo)*CD)*(1+LocalTax)</f>
        <v>0.590968937826617</v>
      </c>
      <c r="AA159" s="21" t="n">
        <f aca="false">K159+T159+Z159</f>
        <v>1.59230395291503</v>
      </c>
      <c r="AB159" s="29" t="n">
        <f aca="false">IF(C159=5,0,(Q159-H159)-K159-L159-R159-S159-T159-Z159)</f>
        <v>4.15651212183483</v>
      </c>
      <c r="AC159" s="21" t="n">
        <f aca="false">IF(C159=5,0,N159*((1+DepRate*(1-DepTax))^G159-1))</f>
        <v>2.30303335603218</v>
      </c>
      <c r="AD159" s="29" t="n">
        <f aca="false">IF(C159=5,0,AB159-AC159+I159*(((1+DepRate*(1-DepTax))^G159-1)-((1+DepRate*(1-DepTax))^O159-1)))</f>
        <v>3.26972115959506</v>
      </c>
      <c r="AE159" s="30" t="n">
        <f aca="false">IF(J159&gt;0,-PMT(Rm,LoanYears*12,J159)*10000,0)</f>
        <v>190.966118186184</v>
      </c>
      <c r="AF159" s="21" t="n">
        <f aca="false">IF(J159&gt;0,-PMT((Rate+Stress)/12,LoanYears*12,J159)*12/DSR,0)</f>
        <v>0.79836299421502</v>
      </c>
      <c r="AG159" s="20" t="n">
        <f aca="false">IF(N159&lt;=CapA,1,0)</f>
        <v>0</v>
      </c>
      <c r="AH159" s="20" t="n">
        <f aca="false">IF(N159&lt;=CapB,1,0)</f>
        <v>0</v>
      </c>
      <c r="AI159" s="20" t="n">
        <f aca="false">IF(N159&lt;=CapC,1,0)</f>
        <v>0</v>
      </c>
      <c r="AJ159" s="21" t="n">
        <f aca="false">IF(AG159=1,AD159,-999)</f>
        <v>-999</v>
      </c>
      <c r="AK159" s="21" t="n">
        <f aca="false">IF(AH159=1,AD159,-999)</f>
        <v>-999</v>
      </c>
      <c r="AL159" s="21" t="n">
        <f aca="false">IF(AI159=1,AD159,-999)</f>
        <v>-999</v>
      </c>
      <c r="AM159" s="21" t="str">
        <f aca="false">C159&amp;"|"&amp;E159&amp;"|"&amp;G159&amp;"|"&amp;TEXT(AJ159,"0.00000")</f>
        <v>1|3|5|-999.00000</v>
      </c>
      <c r="AN159" s="21" t="str">
        <f aca="false">C159&amp;"|"&amp;E159&amp;"|"&amp;G159&amp;"|"&amp;TEXT(AK159,"0.00000")</f>
        <v>1|3|5|-999.00000</v>
      </c>
      <c r="AO159" s="21" t="str">
        <f aca="false">C159&amp;"|"&amp;E159&amp;"|"&amp;G159&amp;"|"&amp;TEXT(AL159,"0.00000")</f>
        <v>1|3|5|-999.00000</v>
      </c>
    </row>
    <row r="160" customFormat="false" ht="15" hidden="false" customHeight="false" outlineLevel="0" collapsed="false">
      <c r="A160" s="20" t="n">
        <v>6</v>
      </c>
      <c r="B160" s="18" t="str">
        <f aca="false">INDEX(C_Name,A160)</f>
        <v>신길 보라매SK뷰 84.98㎡</v>
      </c>
      <c r="C160" s="20" t="n">
        <v>1</v>
      </c>
      <c r="D160" s="21" t="str">
        <f aca="false">CHOOSE(C160,"1안 표준형(대출 최대)","2안 절충형(대출 50%)","3안 무대출형","4안 임대차 승계 후 입주","5안 매수 보류(전세 거주)")</f>
        <v>1안 표준형(대출 최대)</v>
      </c>
      <c r="E160" s="20" t="n">
        <v>3</v>
      </c>
      <c r="F160" s="10" t="n">
        <f aca="false">CHOOSE(E160,GrowLo,GrowMid,GrowHi)</f>
        <v>0.06</v>
      </c>
      <c r="G160" s="20" t="n">
        <v>10</v>
      </c>
      <c r="H160" s="18" t="n">
        <f aca="false">INDEX(C_Price,A160)</f>
        <v>20.4</v>
      </c>
      <c r="I160" s="18" t="n">
        <f aca="false">INDEX(C_Jeonse,A160)</f>
        <v>10.608</v>
      </c>
      <c r="J160" s="21" t="n">
        <f aca="false">IF(C160=5,0,IF(C160=1,INDEX(C_Loan,A160),IF(C160=2,INDEX(C_Loan,A160)*LoanShare2,IF(C160=3,0,MIN(INDEX(C_Loan,A160),I160)))))</f>
        <v>4</v>
      </c>
      <c r="K160" s="18" t="n">
        <f aca="false">IF(C160=5,0,INDEX(C_Acq,A160))</f>
        <v>0.6732</v>
      </c>
      <c r="L160" s="18" t="n">
        <f aca="false">IF(C160=5,0,INDEX(C_Fee,A160))</f>
        <v>0.17708</v>
      </c>
      <c r="M160" s="21" t="n">
        <f aca="false">IF(C160=4,MAX(0,I160-J160),0)</f>
        <v>0</v>
      </c>
      <c r="N160" s="21" t="n">
        <f aca="false">IF(C160=5,I160,IF(C160=4,(H160-I160)+K160+L160+M160,H160-J160+K160+L160))</f>
        <v>17.25028</v>
      </c>
      <c r="O160" s="20" t="n">
        <f aca="false">IF(C160=4,RentYears,0)</f>
        <v>0</v>
      </c>
      <c r="P160" s="20" t="n">
        <f aca="false">IF(C160=5,0,MAX(0,G160-O160-NonRes))</f>
        <v>10</v>
      </c>
      <c r="Q160" s="21" t="n">
        <f aca="false">IF(C160=5,0,H160*(1+F160)^G160)</f>
        <v>36.5332930094742</v>
      </c>
      <c r="R160" s="21" t="n">
        <f aca="false">IF(C160=5,0,Q160*LOOKUP(Q160,FeeLo,FeeR)*(1+VAT))</f>
        <v>0.281306356172952</v>
      </c>
      <c r="S160" s="21" t="n">
        <f aca="false">IF(J160&gt;0,-CUMIPMT(Rm,LoanYears*12,J160,1,(G160-O160)*12,0),0)</f>
        <v>1.44295178669745</v>
      </c>
      <c r="T160" s="29" t="n">
        <f aca="false">IF(C160=5,0,SUMIFS(Sch_Total,Sch_Idx,A160,Sch_Scen,E160,Sch_Year,"&lt;="&amp;G160))</f>
        <v>0.886903721699272</v>
      </c>
      <c r="U160" s="21" t="n">
        <f aca="false">K160+L160+R160</f>
        <v>1.13158635617295</v>
      </c>
      <c r="V160" s="21" t="n">
        <f aca="false">IF(C160=5,0,Q160-H160-U160)</f>
        <v>15.0017066533013</v>
      </c>
      <c r="W160" s="21" t="n">
        <f aca="false">IF(C160=5,0,MAX(0,IF(P160&gt;=2,IF(Q160&gt;Exempt,V160*(Q160-Exempt)/Q160,0),V160)))</f>
        <v>10.0741333356447</v>
      </c>
      <c r="X160" s="10" t="n">
        <f aca="false">IF(P160&gt;=2,MIN(MaxDed,MIN(0.4,HoldRate*G160)+MIN(0.4,LiveRate*P160)),IF(G160&gt;=3,MIN(0.3,0.02*G160),0))</f>
        <v>0.8</v>
      </c>
      <c r="Y160" s="21" t="n">
        <f aca="false">MAX(0,W160*(1-X160)-InitDed)</f>
        <v>1.98982666712894</v>
      </c>
      <c r="Z160" s="29" t="n">
        <f aca="false">SUMPRODUCT((Y160&gt;CLo)*(Y160-CLo)*CD)*(1+LocalTax)</f>
        <v>0.612407546859896</v>
      </c>
      <c r="AA160" s="21" t="n">
        <f aca="false">K160+T160+Z160</f>
        <v>2.17251126855917</v>
      </c>
      <c r="AB160" s="29" t="n">
        <f aca="false">IF(C160=5,0,(Q160-H160)-K160-L160-R160-S160-T160-Z160)</f>
        <v>12.0594435980447</v>
      </c>
      <c r="AC160" s="21" t="n">
        <f aca="false">IF(C160=5,0,N160*((1+DepRate*(1-DepTax))^G160-1))</f>
        <v>4.91353781624335</v>
      </c>
      <c r="AD160" s="29" t="n">
        <f aca="false">IF(C160=5,0,AB160-AC160+I160*(((1+DepRate*(1-DepTax))^G160-1)-((1+DepRate*(1-DepTax))^O160-1)))</f>
        <v>10.1674688610504</v>
      </c>
      <c r="AE160" s="30" t="n">
        <f aca="false">IF(J160&gt;0,-PMT(Rm,LoanYears*12,J160)*10000,0)</f>
        <v>190.966118186184</v>
      </c>
      <c r="AF160" s="21" t="n">
        <f aca="false">IF(J160&gt;0,-PMT((Rate+Stress)/12,LoanYears*12,J160)*12/DSR,0)</f>
        <v>0.79836299421502</v>
      </c>
      <c r="AG160" s="20" t="n">
        <f aca="false">IF(N160&lt;=CapA,1,0)</f>
        <v>0</v>
      </c>
      <c r="AH160" s="20" t="n">
        <f aca="false">IF(N160&lt;=CapB,1,0)</f>
        <v>0</v>
      </c>
      <c r="AI160" s="20" t="n">
        <f aca="false">IF(N160&lt;=CapC,1,0)</f>
        <v>0</v>
      </c>
      <c r="AJ160" s="21" t="n">
        <f aca="false">IF(AG160=1,AD160,-999)</f>
        <v>-999</v>
      </c>
      <c r="AK160" s="21" t="n">
        <f aca="false">IF(AH160=1,AD160,-999)</f>
        <v>-999</v>
      </c>
      <c r="AL160" s="21" t="n">
        <f aca="false">IF(AI160=1,AD160,-999)</f>
        <v>-999</v>
      </c>
      <c r="AM160" s="21" t="str">
        <f aca="false">C160&amp;"|"&amp;E160&amp;"|"&amp;G160&amp;"|"&amp;TEXT(AJ160,"0.00000")</f>
        <v>1|3|10|-999.00000</v>
      </c>
      <c r="AN160" s="21" t="str">
        <f aca="false">C160&amp;"|"&amp;E160&amp;"|"&amp;G160&amp;"|"&amp;TEXT(AK160,"0.00000")</f>
        <v>1|3|10|-999.00000</v>
      </c>
      <c r="AO160" s="21" t="str">
        <f aca="false">C160&amp;"|"&amp;E160&amp;"|"&amp;G160&amp;"|"&amp;TEXT(AL160,"0.00000")</f>
        <v>1|3|10|-999.00000</v>
      </c>
    </row>
    <row r="161" customFormat="false" ht="15" hidden="false" customHeight="false" outlineLevel="0" collapsed="false">
      <c r="A161" s="20" t="n">
        <v>6</v>
      </c>
      <c r="B161" s="18" t="str">
        <f aca="false">INDEX(C_Name,A161)</f>
        <v>신길 보라매SK뷰 84.98㎡</v>
      </c>
      <c r="C161" s="20" t="n">
        <v>2</v>
      </c>
      <c r="D161" s="21" t="str">
        <f aca="false">CHOOSE(C161,"1안 표준형(대출 최대)","2안 절충형(대출 50%)","3안 무대출형","4안 임대차 승계 후 입주","5안 매수 보류(전세 거주)")</f>
        <v>2안 절충형(대출 50%)</v>
      </c>
      <c r="E161" s="20" t="n">
        <v>1</v>
      </c>
      <c r="F161" s="10" t="n">
        <f aca="false">CHOOSE(E161,GrowLo,GrowMid,GrowHi)</f>
        <v>0.02</v>
      </c>
      <c r="G161" s="20" t="n">
        <v>5</v>
      </c>
      <c r="H161" s="18" t="n">
        <f aca="false">INDEX(C_Price,A161)</f>
        <v>20.4</v>
      </c>
      <c r="I161" s="18" t="n">
        <f aca="false">INDEX(C_Jeonse,A161)</f>
        <v>10.608</v>
      </c>
      <c r="J161" s="21" t="n">
        <f aca="false">IF(C161=5,0,IF(C161=1,INDEX(C_Loan,A161),IF(C161=2,INDEX(C_Loan,A161)*LoanShare2,IF(C161=3,0,MIN(INDEX(C_Loan,A161),I161)))))</f>
        <v>2</v>
      </c>
      <c r="K161" s="18" t="n">
        <f aca="false">IF(C161=5,0,INDEX(C_Acq,A161))</f>
        <v>0.6732</v>
      </c>
      <c r="L161" s="18" t="n">
        <f aca="false">IF(C161=5,0,INDEX(C_Fee,A161))</f>
        <v>0.17708</v>
      </c>
      <c r="M161" s="21" t="n">
        <f aca="false">IF(C161=4,MAX(0,I161-J161),0)</f>
        <v>0</v>
      </c>
      <c r="N161" s="21" t="n">
        <f aca="false">IF(C161=5,I161,IF(C161=4,(H161-I161)+K161+L161+M161,H161-J161+K161+L161))</f>
        <v>19.25028</v>
      </c>
      <c r="O161" s="20" t="n">
        <f aca="false">IF(C161=4,RentYears,0)</f>
        <v>0</v>
      </c>
      <c r="P161" s="20" t="n">
        <f aca="false">IF(C161=5,0,MAX(0,G161-O161-NonRes))</f>
        <v>5</v>
      </c>
      <c r="Q161" s="21" t="n">
        <f aca="false">IF(C161=5,0,H161*(1+F161)^G161)</f>
        <v>22.52324838528</v>
      </c>
      <c r="R161" s="21" t="n">
        <f aca="false">IF(C161=5,0,Q161*LOOKUP(Q161,FeeLo,FeeR)*(1+VAT))</f>
        <v>0.173429012566656</v>
      </c>
      <c r="S161" s="21" t="n">
        <f aca="false">IF(J161&gt;0,-CUMIPMT(Rm,LoanYears*12,J161,1,(G161-O161)*12,0),0)</f>
        <v>0.38184861728037</v>
      </c>
      <c r="T161" s="29" t="n">
        <f aca="false">IF(C161=5,0,SUMIFS(Sch_Total,Sch_Idx,A161,Sch_Scen,E161,Sch_Year,"&lt;="&amp;G161))</f>
        <v>0.282405147218611</v>
      </c>
      <c r="U161" s="21" t="n">
        <f aca="false">K161+L161+R161</f>
        <v>1.02370901256666</v>
      </c>
      <c r="V161" s="21" t="n">
        <f aca="false">IF(C161=5,0,Q161-H161-U161)</f>
        <v>1.09953937271334</v>
      </c>
      <c r="W161" s="21" t="n">
        <f aca="false">IF(C161=5,0,MAX(0,IF(P161&gt;=2,IF(Q161&gt;Exempt,V161*(Q161-Exempt)/Q161,0),V161)))</f>
        <v>0.5137236747795</v>
      </c>
      <c r="X161" s="10" t="n">
        <f aca="false">IF(P161&gt;=2,MIN(MaxDed,MIN(0.4,HoldRate*G161)+MIN(0.4,LiveRate*P161)),IF(G161&gt;=3,MIN(0.3,0.02*G161),0))</f>
        <v>0.4</v>
      </c>
      <c r="Y161" s="21" t="n">
        <f aca="false">MAX(0,W161*(1-X161)-InitDed)</f>
        <v>0.2832342048677</v>
      </c>
      <c r="Z161" s="29" t="n">
        <f aca="false">SUMPRODUCT((Y161&gt;CLo)*(Y161-CLo)*CD)*(1+LocalTax)</f>
        <v>0.0328736438031705</v>
      </c>
      <c r="AA161" s="21" t="n">
        <f aca="false">K161+T161+Z161</f>
        <v>0.988478791021782</v>
      </c>
      <c r="AB161" s="29" t="n">
        <f aca="false">IF(C161=5,0,(Q161-H161)-K161-L161-R161-S161-T161-Z161)</f>
        <v>0.402411964411193</v>
      </c>
      <c r="AC161" s="21" t="n">
        <f aca="false">IF(C161=5,0,N161*((1+DepRate*(1-DepTax))^G161-1))</f>
        <v>2.57004738201114</v>
      </c>
      <c r="AD161" s="29" t="n">
        <f aca="false">IF(C161=5,0,AB161-AC161+I161*(((1+DepRate*(1-DepTax))^G161-1)-((1+DepRate*(1-DepTax))^O161-1)))</f>
        <v>-0.751393023807536</v>
      </c>
      <c r="AE161" s="30" t="n">
        <f aca="false">IF(J161&gt;0,-PMT(Rm,LoanYears*12,J161)*10000,0)</f>
        <v>95.4830590930919</v>
      </c>
      <c r="AF161" s="21" t="n">
        <f aca="false">IF(J161&gt;0,-PMT((Rate+Stress)/12,LoanYears*12,J161)*12/DSR,0)</f>
        <v>0.39918149710751</v>
      </c>
      <c r="AG161" s="20" t="n">
        <f aca="false">IF(N161&lt;=CapA,1,0)</f>
        <v>0</v>
      </c>
      <c r="AH161" s="20" t="n">
        <f aca="false">IF(N161&lt;=CapB,1,0)</f>
        <v>0</v>
      </c>
      <c r="AI161" s="20" t="n">
        <f aca="false">IF(N161&lt;=CapC,1,0)</f>
        <v>0</v>
      </c>
      <c r="AJ161" s="21" t="n">
        <f aca="false">IF(AG161=1,AD161,-999)</f>
        <v>-999</v>
      </c>
      <c r="AK161" s="21" t="n">
        <f aca="false">IF(AH161=1,AD161,-999)</f>
        <v>-999</v>
      </c>
      <c r="AL161" s="21" t="n">
        <f aca="false">IF(AI161=1,AD161,-999)</f>
        <v>-999</v>
      </c>
      <c r="AM161" s="21" t="str">
        <f aca="false">C161&amp;"|"&amp;E161&amp;"|"&amp;G161&amp;"|"&amp;TEXT(AJ161,"0.00000")</f>
        <v>2|1|5|-999.00000</v>
      </c>
      <c r="AN161" s="21" t="str">
        <f aca="false">C161&amp;"|"&amp;E161&amp;"|"&amp;G161&amp;"|"&amp;TEXT(AK161,"0.00000")</f>
        <v>2|1|5|-999.00000</v>
      </c>
      <c r="AO161" s="21" t="str">
        <f aca="false">C161&amp;"|"&amp;E161&amp;"|"&amp;G161&amp;"|"&amp;TEXT(AL161,"0.00000")</f>
        <v>2|1|5|-999.00000</v>
      </c>
    </row>
    <row r="162" customFormat="false" ht="15" hidden="false" customHeight="false" outlineLevel="0" collapsed="false">
      <c r="A162" s="20" t="n">
        <v>6</v>
      </c>
      <c r="B162" s="18" t="str">
        <f aca="false">INDEX(C_Name,A162)</f>
        <v>신길 보라매SK뷰 84.98㎡</v>
      </c>
      <c r="C162" s="20" t="n">
        <v>2</v>
      </c>
      <c r="D162" s="21" t="str">
        <f aca="false">CHOOSE(C162,"1안 표준형(대출 최대)","2안 절충형(대출 50%)","3안 무대출형","4안 임대차 승계 후 입주","5안 매수 보류(전세 거주)")</f>
        <v>2안 절충형(대출 50%)</v>
      </c>
      <c r="E162" s="20" t="n">
        <v>1</v>
      </c>
      <c r="F162" s="10" t="n">
        <f aca="false">CHOOSE(E162,GrowLo,GrowMid,GrowHi)</f>
        <v>0.02</v>
      </c>
      <c r="G162" s="20" t="n">
        <v>10</v>
      </c>
      <c r="H162" s="18" t="n">
        <f aca="false">INDEX(C_Price,A162)</f>
        <v>20.4</v>
      </c>
      <c r="I162" s="18" t="n">
        <f aca="false">INDEX(C_Jeonse,A162)</f>
        <v>10.608</v>
      </c>
      <c r="J162" s="21" t="n">
        <f aca="false">IF(C162=5,0,IF(C162=1,INDEX(C_Loan,A162),IF(C162=2,INDEX(C_Loan,A162)*LoanShare2,IF(C162=3,0,MIN(INDEX(C_Loan,A162),I162)))))</f>
        <v>2</v>
      </c>
      <c r="K162" s="18" t="n">
        <f aca="false">IF(C162=5,0,INDEX(C_Acq,A162))</f>
        <v>0.6732</v>
      </c>
      <c r="L162" s="18" t="n">
        <f aca="false">IF(C162=5,0,INDEX(C_Fee,A162))</f>
        <v>0.17708</v>
      </c>
      <c r="M162" s="21" t="n">
        <f aca="false">IF(C162=4,MAX(0,I162-J162),0)</f>
        <v>0</v>
      </c>
      <c r="N162" s="21" t="n">
        <f aca="false">IF(C162=5,I162,IF(C162=4,(H162-I162)+K162+L162+M162,H162-J162+K162+L162))</f>
        <v>19.25028</v>
      </c>
      <c r="O162" s="20" t="n">
        <f aca="false">IF(C162=4,RentYears,0)</f>
        <v>0</v>
      </c>
      <c r="P162" s="20" t="n">
        <f aca="false">IF(C162=5,0,MAX(0,G162-O162-NonRes))</f>
        <v>10</v>
      </c>
      <c r="Q162" s="21" t="n">
        <f aca="false">IF(C162=5,0,H162*(1+F162)^G162)</f>
        <v>24.8674861678931</v>
      </c>
      <c r="R162" s="21" t="n">
        <f aca="false">IF(C162=5,0,Q162*LOOKUP(Q162,FeeLo,FeeR)*(1+VAT))</f>
        <v>0.191479643492777</v>
      </c>
      <c r="S162" s="21" t="n">
        <f aca="false">IF(J162&gt;0,-CUMIPMT(Rm,LoanYears*12,J162,1,(G162-O162)*12,0),0)</f>
        <v>0.721475893348725</v>
      </c>
      <c r="T162" s="29" t="n">
        <f aca="false">IF(C162=5,0,SUMIFS(Sch_Total,Sch_Idx,A162,Sch_Scen,E162,Sch_Year,"&lt;="&amp;G162))</f>
        <v>0.62061895683971</v>
      </c>
      <c r="U162" s="21" t="n">
        <f aca="false">K162+L162+R162</f>
        <v>1.04175964349278</v>
      </c>
      <c r="V162" s="21" t="n">
        <f aca="false">IF(C162=5,0,Q162-H162-U162)</f>
        <v>3.42572652440027</v>
      </c>
      <c r="W162" s="21" t="n">
        <f aca="false">IF(C162=5,0,MAX(0,IF(P162&gt;=2,IF(Q162&gt;Exempt,V162*(Q162-Exempt)/Q162,0),V162)))</f>
        <v>1.77261538903028</v>
      </c>
      <c r="X162" s="10" t="n">
        <f aca="false">IF(P162&gt;=2,MIN(MaxDed,MIN(0.4,HoldRate*G162)+MIN(0.4,LiveRate*P162)),IF(G162&gt;=3,MIN(0.3,0.02*G162),0))</f>
        <v>0.8</v>
      </c>
      <c r="Y162" s="21" t="n">
        <f aca="false">MAX(0,W162*(1-X162)-InitDed)</f>
        <v>0.329523077806056</v>
      </c>
      <c r="Z162" s="29" t="n">
        <f aca="false">SUMPRODUCT((Y162&gt;CLo)*(Y162-CLo)*CD)*(1+LocalTax)</f>
        <v>0.0405113078379992</v>
      </c>
      <c r="AA162" s="21" t="n">
        <f aca="false">K162+T162+Z162</f>
        <v>1.33433026467771</v>
      </c>
      <c r="AB162" s="29" t="n">
        <f aca="false">IF(C162=5,0,(Q162-H162)-K162-L162-R162-S162-T162-Z162)</f>
        <v>2.04312036637384</v>
      </c>
      <c r="AC162" s="21" t="n">
        <f aca="false">IF(C162=5,0,N162*((1+DepRate*(1-DepTax))^G162-1))</f>
        <v>5.48321411323602</v>
      </c>
      <c r="AD162" s="29" t="n">
        <f aca="false">IF(C162=5,0,AB162-AC162+I162*(((1+DepRate*(1-DepTax))^G162-1)-((1+DepRate*(1-DepTax))^O162-1)))</f>
        <v>-0.418530667613063</v>
      </c>
      <c r="AE162" s="30" t="n">
        <f aca="false">IF(J162&gt;0,-PMT(Rm,LoanYears*12,J162)*10000,0)</f>
        <v>95.4830590930919</v>
      </c>
      <c r="AF162" s="21" t="n">
        <f aca="false">IF(J162&gt;0,-PMT((Rate+Stress)/12,LoanYears*12,J162)*12/DSR,0)</f>
        <v>0.39918149710751</v>
      </c>
      <c r="AG162" s="20" t="n">
        <f aca="false">IF(N162&lt;=CapA,1,0)</f>
        <v>0</v>
      </c>
      <c r="AH162" s="20" t="n">
        <f aca="false">IF(N162&lt;=CapB,1,0)</f>
        <v>0</v>
      </c>
      <c r="AI162" s="20" t="n">
        <f aca="false">IF(N162&lt;=CapC,1,0)</f>
        <v>0</v>
      </c>
      <c r="AJ162" s="21" t="n">
        <f aca="false">IF(AG162=1,AD162,-999)</f>
        <v>-999</v>
      </c>
      <c r="AK162" s="21" t="n">
        <f aca="false">IF(AH162=1,AD162,-999)</f>
        <v>-999</v>
      </c>
      <c r="AL162" s="21" t="n">
        <f aca="false">IF(AI162=1,AD162,-999)</f>
        <v>-999</v>
      </c>
      <c r="AM162" s="21" t="str">
        <f aca="false">C162&amp;"|"&amp;E162&amp;"|"&amp;G162&amp;"|"&amp;TEXT(AJ162,"0.00000")</f>
        <v>2|1|10|-999.00000</v>
      </c>
      <c r="AN162" s="21" t="str">
        <f aca="false">C162&amp;"|"&amp;E162&amp;"|"&amp;G162&amp;"|"&amp;TEXT(AK162,"0.00000")</f>
        <v>2|1|10|-999.00000</v>
      </c>
      <c r="AO162" s="21" t="str">
        <f aca="false">C162&amp;"|"&amp;E162&amp;"|"&amp;G162&amp;"|"&amp;TEXT(AL162,"0.00000")</f>
        <v>2|1|10|-999.00000</v>
      </c>
    </row>
    <row r="163" customFormat="false" ht="15" hidden="false" customHeight="false" outlineLevel="0" collapsed="false">
      <c r="A163" s="20" t="n">
        <v>6</v>
      </c>
      <c r="B163" s="18" t="str">
        <f aca="false">INDEX(C_Name,A163)</f>
        <v>신길 보라매SK뷰 84.98㎡</v>
      </c>
      <c r="C163" s="20" t="n">
        <v>2</v>
      </c>
      <c r="D163" s="21" t="str">
        <f aca="false">CHOOSE(C163,"1안 표준형(대출 최대)","2안 절충형(대출 50%)","3안 무대출형","4안 임대차 승계 후 입주","5안 매수 보류(전세 거주)")</f>
        <v>2안 절충형(대출 50%)</v>
      </c>
      <c r="E163" s="20" t="n">
        <v>2</v>
      </c>
      <c r="F163" s="10" t="n">
        <f aca="false">CHOOSE(E163,GrowLo,GrowMid,GrowHi)</f>
        <v>0.04</v>
      </c>
      <c r="G163" s="20" t="n">
        <v>5</v>
      </c>
      <c r="H163" s="18" t="n">
        <f aca="false">INDEX(C_Price,A163)</f>
        <v>20.4</v>
      </c>
      <c r="I163" s="18" t="n">
        <f aca="false">INDEX(C_Jeonse,A163)</f>
        <v>10.608</v>
      </c>
      <c r="J163" s="21" t="n">
        <f aca="false">IF(C163=5,0,IF(C163=1,INDEX(C_Loan,A163),IF(C163=2,INDEX(C_Loan,A163)*LoanShare2,IF(C163=3,0,MIN(INDEX(C_Loan,A163),I163)))))</f>
        <v>2</v>
      </c>
      <c r="K163" s="18" t="n">
        <f aca="false">IF(C163=5,0,INDEX(C_Acq,A163))</f>
        <v>0.6732</v>
      </c>
      <c r="L163" s="18" t="n">
        <f aca="false">IF(C163=5,0,INDEX(C_Fee,A163))</f>
        <v>0.17708</v>
      </c>
      <c r="M163" s="21" t="n">
        <f aca="false">IF(C163=4,MAX(0,I163-J163),0)</f>
        <v>0</v>
      </c>
      <c r="N163" s="21" t="n">
        <f aca="false">IF(C163=5,I163,IF(C163=4,(H163-I163)+K163+L163+M163,H163-J163+K163+L163))</f>
        <v>19.25028</v>
      </c>
      <c r="O163" s="20" t="n">
        <f aca="false">IF(C163=4,RentYears,0)</f>
        <v>0</v>
      </c>
      <c r="P163" s="20" t="n">
        <f aca="false">IF(C163=5,0,MAX(0,G163-O163-NonRes))</f>
        <v>5</v>
      </c>
      <c r="Q163" s="21" t="n">
        <f aca="false">IF(C163=5,0,H163*(1+F163)^G163)</f>
        <v>24.81971920896</v>
      </c>
      <c r="R163" s="21" t="n">
        <f aca="false">IF(C163=5,0,Q163*LOOKUP(Q163,FeeLo,FeeR)*(1+VAT))</f>
        <v>0.191111837908992</v>
      </c>
      <c r="S163" s="21" t="n">
        <f aca="false">IF(J163&gt;0,-CUMIPMT(Rm,LoanYears*12,J163,1,(G163-O163)*12,0),0)</f>
        <v>0.38184861728037</v>
      </c>
      <c r="T163" s="29" t="n">
        <f aca="false">IF(C163=5,0,SUMIFS(Sch_Total,Sch_Idx,A163,Sch_Scen,E163,Sch_Year,"&lt;="&amp;G163))</f>
        <v>0.304277944515379</v>
      </c>
      <c r="U163" s="21" t="n">
        <f aca="false">K163+L163+R163</f>
        <v>1.04139183790899</v>
      </c>
      <c r="V163" s="21" t="n">
        <f aca="false">IF(C163=5,0,Q163-H163-U163)</f>
        <v>3.37832737105101</v>
      </c>
      <c r="W163" s="21" t="n">
        <f aca="false">IF(C163=5,0,MAX(0,IF(P163&gt;=2,IF(Q163&gt;Exempt,V163*(Q163-Exempt)/Q163,0),V163)))</f>
        <v>1.74495158177226</v>
      </c>
      <c r="X163" s="10" t="n">
        <f aca="false">IF(P163&gt;=2,MIN(MaxDed,MIN(0.4,HoldRate*G163)+MIN(0.4,LiveRate*P163)),IF(G163&gt;=3,MIN(0.3,0.02*G163),0))</f>
        <v>0.4</v>
      </c>
      <c r="Y163" s="21" t="n">
        <f aca="false">MAX(0,W163*(1-X163)-InitDed)</f>
        <v>1.02197094906335</v>
      </c>
      <c r="Z163" s="29" t="n">
        <f aca="false">SUMPRODUCT((Y163&gt;CLo)*(Y163-CLo)*CD)*(1+LocalTax)</f>
        <v>0.223618815389391</v>
      </c>
      <c r="AA163" s="21" t="n">
        <f aca="false">K163+T163+Z163</f>
        <v>1.20109675990477</v>
      </c>
      <c r="AB163" s="29" t="n">
        <f aca="false">IF(C163=5,0,(Q163-H163)-K163-L163-R163-S163-T163-Z163)</f>
        <v>2.46858199386587</v>
      </c>
      <c r="AC163" s="21" t="n">
        <f aca="false">IF(C163=5,0,N163*((1+DepRate*(1-DepTax))^G163-1))</f>
        <v>2.57004738201114</v>
      </c>
      <c r="AD163" s="29" t="n">
        <f aca="false">IF(C163=5,0,AB163-AC163+I163*(((1+DepRate*(1-DepTax))^G163-1)-((1+DepRate*(1-DepTax))^O163-1)))</f>
        <v>1.31477700564714</v>
      </c>
      <c r="AE163" s="30" t="n">
        <f aca="false">IF(J163&gt;0,-PMT(Rm,LoanYears*12,J163)*10000,0)</f>
        <v>95.4830590930919</v>
      </c>
      <c r="AF163" s="21" t="n">
        <f aca="false">IF(J163&gt;0,-PMT((Rate+Stress)/12,LoanYears*12,J163)*12/DSR,0)</f>
        <v>0.39918149710751</v>
      </c>
      <c r="AG163" s="20" t="n">
        <f aca="false">IF(N163&lt;=CapA,1,0)</f>
        <v>0</v>
      </c>
      <c r="AH163" s="20" t="n">
        <f aca="false">IF(N163&lt;=CapB,1,0)</f>
        <v>0</v>
      </c>
      <c r="AI163" s="20" t="n">
        <f aca="false">IF(N163&lt;=CapC,1,0)</f>
        <v>0</v>
      </c>
      <c r="AJ163" s="21" t="n">
        <f aca="false">IF(AG163=1,AD163,-999)</f>
        <v>-999</v>
      </c>
      <c r="AK163" s="21" t="n">
        <f aca="false">IF(AH163=1,AD163,-999)</f>
        <v>-999</v>
      </c>
      <c r="AL163" s="21" t="n">
        <f aca="false">IF(AI163=1,AD163,-999)</f>
        <v>-999</v>
      </c>
      <c r="AM163" s="21" t="str">
        <f aca="false">C163&amp;"|"&amp;E163&amp;"|"&amp;G163&amp;"|"&amp;TEXT(AJ163,"0.00000")</f>
        <v>2|2|5|-999.00000</v>
      </c>
      <c r="AN163" s="21" t="str">
        <f aca="false">C163&amp;"|"&amp;E163&amp;"|"&amp;G163&amp;"|"&amp;TEXT(AK163,"0.00000")</f>
        <v>2|2|5|-999.00000</v>
      </c>
      <c r="AO163" s="21" t="str">
        <f aca="false">C163&amp;"|"&amp;E163&amp;"|"&amp;G163&amp;"|"&amp;TEXT(AL163,"0.00000")</f>
        <v>2|2|5|-999.00000</v>
      </c>
    </row>
    <row r="164" customFormat="false" ht="15" hidden="false" customHeight="false" outlineLevel="0" collapsed="false">
      <c r="A164" s="20" t="n">
        <v>6</v>
      </c>
      <c r="B164" s="18" t="str">
        <f aca="false">INDEX(C_Name,A164)</f>
        <v>신길 보라매SK뷰 84.98㎡</v>
      </c>
      <c r="C164" s="20" t="n">
        <v>2</v>
      </c>
      <c r="D164" s="21" t="str">
        <f aca="false">CHOOSE(C164,"1안 표준형(대출 최대)","2안 절충형(대출 50%)","3안 무대출형","4안 임대차 승계 후 입주","5안 매수 보류(전세 거주)")</f>
        <v>2안 절충형(대출 50%)</v>
      </c>
      <c r="E164" s="20" t="n">
        <v>2</v>
      </c>
      <c r="F164" s="10" t="n">
        <f aca="false">CHOOSE(E164,GrowLo,GrowMid,GrowHi)</f>
        <v>0.04</v>
      </c>
      <c r="G164" s="20" t="n">
        <v>10</v>
      </c>
      <c r="H164" s="18" t="n">
        <f aca="false">INDEX(C_Price,A164)</f>
        <v>20.4</v>
      </c>
      <c r="I164" s="18" t="n">
        <f aca="false">INDEX(C_Jeonse,A164)</f>
        <v>10.608</v>
      </c>
      <c r="J164" s="21" t="n">
        <f aca="false">IF(C164=5,0,IF(C164=1,INDEX(C_Loan,A164),IF(C164=2,INDEX(C_Loan,A164)*LoanShare2,IF(C164=3,0,MIN(INDEX(C_Loan,A164),I164)))))</f>
        <v>2</v>
      </c>
      <c r="K164" s="18" t="n">
        <f aca="false">IF(C164=5,0,INDEX(C_Acq,A164))</f>
        <v>0.6732</v>
      </c>
      <c r="L164" s="18" t="n">
        <f aca="false">IF(C164=5,0,INDEX(C_Fee,A164))</f>
        <v>0.17708</v>
      </c>
      <c r="M164" s="21" t="n">
        <f aca="false">IF(C164=4,MAX(0,I164-J164),0)</f>
        <v>0</v>
      </c>
      <c r="N164" s="21" t="n">
        <f aca="false">IF(C164=5,I164,IF(C164=4,(H164-I164)+K164+L164+M164,H164-J164+K164+L164))</f>
        <v>19.25028</v>
      </c>
      <c r="O164" s="20" t="n">
        <f aca="false">IF(C164=4,RentYears,0)</f>
        <v>0</v>
      </c>
      <c r="P164" s="20" t="n">
        <f aca="false">IF(C164=5,0,MAX(0,G164-O164-NonRes))</f>
        <v>10</v>
      </c>
      <c r="Q164" s="21" t="n">
        <f aca="false">IF(C164=5,0,H164*(1+F164)^G164)</f>
        <v>30.1969834123342</v>
      </c>
      <c r="R164" s="21" t="n">
        <f aca="false">IF(C164=5,0,Q164*LOOKUP(Q164,FeeLo,FeeR)*(1+VAT))</f>
        <v>0.232516772274974</v>
      </c>
      <c r="S164" s="21" t="n">
        <f aca="false">IF(J164&gt;0,-CUMIPMT(Rm,LoanYears*12,J164,1,(G164-O164)*12,0),0)</f>
        <v>0.721475893348725</v>
      </c>
      <c r="T164" s="29" t="n">
        <f aca="false">IF(C164=5,0,SUMIFS(Sch_Total,Sch_Idx,A164,Sch_Scen,E164,Sch_Year,"&lt;="&amp;G164))</f>
        <v>0.740636338287257</v>
      </c>
      <c r="U164" s="21" t="n">
        <f aca="false">K164+L164+R164</f>
        <v>1.08279677227497</v>
      </c>
      <c r="V164" s="21" t="n">
        <f aca="false">IF(C164=5,0,Q164-H164-U164)</f>
        <v>8.71418664005925</v>
      </c>
      <c r="W164" s="21" t="n">
        <f aca="false">IF(C164=5,0,MAX(0,IF(P164&gt;=2,IF(Q164&gt;Exempt,V164*(Q164-Exempt)/Q164,0),V164)))</f>
        <v>5.25125001977425</v>
      </c>
      <c r="X164" s="10" t="n">
        <f aca="false">IF(P164&gt;=2,MIN(MaxDed,MIN(0.4,HoldRate*G164)+MIN(0.4,LiveRate*P164)),IF(G164&gt;=3,MIN(0.3,0.02*G164),0))</f>
        <v>0.8</v>
      </c>
      <c r="Y164" s="21" t="n">
        <f aca="false">MAX(0,W164*(1-X164)-InitDed)</f>
        <v>1.02525000395485</v>
      </c>
      <c r="Z164" s="29" t="n">
        <f aca="false">SUMPRODUCT((Y164&gt;CLo)*(Y164-CLo)*CD)*(1+LocalTax)</f>
        <v>0.224881251522617</v>
      </c>
      <c r="AA164" s="21" t="n">
        <f aca="false">K164+T164+Z164</f>
        <v>1.63871758980987</v>
      </c>
      <c r="AB164" s="29" t="n">
        <f aca="false">IF(C164=5,0,(Q164-H164)-K164-L164-R164-S164-T164-Z164)</f>
        <v>7.02719315690065</v>
      </c>
      <c r="AC164" s="21" t="n">
        <f aca="false">IF(C164=5,0,N164*((1+DepRate*(1-DepTax))^G164-1))</f>
        <v>5.48321411323602</v>
      </c>
      <c r="AD164" s="29" t="n">
        <f aca="false">IF(C164=5,0,AB164-AC164+I164*(((1+DepRate*(1-DepTax))^G164-1)-((1+DepRate*(1-DepTax))^O164-1)))</f>
        <v>4.56554212291375</v>
      </c>
      <c r="AE164" s="30" t="n">
        <f aca="false">IF(J164&gt;0,-PMT(Rm,LoanYears*12,J164)*10000,0)</f>
        <v>95.4830590930919</v>
      </c>
      <c r="AF164" s="21" t="n">
        <f aca="false">IF(J164&gt;0,-PMT((Rate+Stress)/12,LoanYears*12,J164)*12/DSR,0)</f>
        <v>0.39918149710751</v>
      </c>
      <c r="AG164" s="20" t="n">
        <f aca="false">IF(N164&lt;=CapA,1,0)</f>
        <v>0</v>
      </c>
      <c r="AH164" s="20" t="n">
        <f aca="false">IF(N164&lt;=CapB,1,0)</f>
        <v>0</v>
      </c>
      <c r="AI164" s="20" t="n">
        <f aca="false">IF(N164&lt;=CapC,1,0)</f>
        <v>0</v>
      </c>
      <c r="AJ164" s="21" t="n">
        <f aca="false">IF(AG164=1,AD164,-999)</f>
        <v>-999</v>
      </c>
      <c r="AK164" s="21" t="n">
        <f aca="false">IF(AH164=1,AD164,-999)</f>
        <v>-999</v>
      </c>
      <c r="AL164" s="21" t="n">
        <f aca="false">IF(AI164=1,AD164,-999)</f>
        <v>-999</v>
      </c>
      <c r="AM164" s="21" t="str">
        <f aca="false">C164&amp;"|"&amp;E164&amp;"|"&amp;G164&amp;"|"&amp;TEXT(AJ164,"0.00000")</f>
        <v>2|2|10|-999.00000</v>
      </c>
      <c r="AN164" s="21" t="str">
        <f aca="false">C164&amp;"|"&amp;E164&amp;"|"&amp;G164&amp;"|"&amp;TEXT(AK164,"0.00000")</f>
        <v>2|2|10|-999.00000</v>
      </c>
      <c r="AO164" s="21" t="str">
        <f aca="false">C164&amp;"|"&amp;E164&amp;"|"&amp;G164&amp;"|"&amp;TEXT(AL164,"0.00000")</f>
        <v>2|2|10|-999.00000</v>
      </c>
    </row>
    <row r="165" customFormat="false" ht="15" hidden="false" customHeight="false" outlineLevel="0" collapsed="false">
      <c r="A165" s="20" t="n">
        <v>6</v>
      </c>
      <c r="B165" s="18" t="str">
        <f aca="false">INDEX(C_Name,A165)</f>
        <v>신길 보라매SK뷰 84.98㎡</v>
      </c>
      <c r="C165" s="20" t="n">
        <v>2</v>
      </c>
      <c r="D165" s="21" t="str">
        <f aca="false">CHOOSE(C165,"1안 표준형(대출 최대)","2안 절충형(대출 50%)","3안 무대출형","4안 임대차 승계 후 입주","5안 매수 보류(전세 거주)")</f>
        <v>2안 절충형(대출 50%)</v>
      </c>
      <c r="E165" s="20" t="n">
        <v>3</v>
      </c>
      <c r="F165" s="10" t="n">
        <f aca="false">CHOOSE(E165,GrowLo,GrowMid,GrowHi)</f>
        <v>0.06</v>
      </c>
      <c r="G165" s="20" t="n">
        <v>5</v>
      </c>
      <c r="H165" s="18" t="n">
        <f aca="false">INDEX(C_Price,A165)</f>
        <v>20.4</v>
      </c>
      <c r="I165" s="18" t="n">
        <f aca="false">INDEX(C_Jeonse,A165)</f>
        <v>10.608</v>
      </c>
      <c r="J165" s="21" t="n">
        <f aca="false">IF(C165=5,0,IF(C165=1,INDEX(C_Loan,A165),IF(C165=2,INDEX(C_Loan,A165)*LoanShare2,IF(C165=3,0,MIN(INDEX(C_Loan,A165),I165)))))</f>
        <v>2</v>
      </c>
      <c r="K165" s="18" t="n">
        <f aca="false">IF(C165=5,0,INDEX(C_Acq,A165))</f>
        <v>0.6732</v>
      </c>
      <c r="L165" s="18" t="n">
        <f aca="false">IF(C165=5,0,INDEX(C_Fee,A165))</f>
        <v>0.17708</v>
      </c>
      <c r="M165" s="21" t="n">
        <f aca="false">IF(C165=4,MAX(0,I165-J165),0)</f>
        <v>0</v>
      </c>
      <c r="N165" s="21" t="n">
        <f aca="false">IF(C165=5,I165,IF(C165=4,(H165-I165)+K165+L165+M165,H165-J165+K165+L165))</f>
        <v>19.25028</v>
      </c>
      <c r="O165" s="20" t="n">
        <f aca="false">IF(C165=4,RentYears,0)</f>
        <v>0</v>
      </c>
      <c r="P165" s="20" t="n">
        <f aca="false">IF(C165=5,0,MAX(0,G165-O165-NonRes))</f>
        <v>5</v>
      </c>
      <c r="Q165" s="21" t="n">
        <f aca="false">IF(C165=5,0,H165*(1+F165)^G165)</f>
        <v>27.29980178304</v>
      </c>
      <c r="R165" s="21" t="n">
        <f aca="false">IF(C165=5,0,Q165*LOOKUP(Q165,FeeLo,FeeR)*(1+VAT))</f>
        <v>0.210208473729408</v>
      </c>
      <c r="S165" s="21" t="n">
        <f aca="false">IF(J165&gt;0,-CUMIPMT(Rm,LoanYears*12,J165,1,(G165-O165)*12,0),0)</f>
        <v>0.38184861728037</v>
      </c>
      <c r="T165" s="29" t="n">
        <f aca="false">IF(C165=5,0,SUMIFS(Sch_Total,Sch_Idx,A165,Sch_Scen,E165,Sch_Year,"&lt;="&amp;G165))</f>
        <v>0.32813501508841</v>
      </c>
      <c r="U165" s="21" t="n">
        <f aca="false">K165+L165+R165</f>
        <v>1.06048847372941</v>
      </c>
      <c r="V165" s="21" t="n">
        <f aca="false">IF(C165=5,0,Q165-H165-U165)</f>
        <v>5.8393133093106</v>
      </c>
      <c r="W165" s="21" t="n">
        <f aca="false">IF(C165=5,0,MAX(0,IF(P165&gt;=2,IF(Q165&gt;Exempt,V165*(Q165-Exempt)/Q165,0),V165)))</f>
        <v>3.27256354795302</v>
      </c>
      <c r="X165" s="10" t="n">
        <f aca="false">IF(P165&gt;=2,MIN(MaxDed,MIN(0.4,HoldRate*G165)+MIN(0.4,LiveRate*P165)),IF(G165&gt;=3,MIN(0.3,0.02*G165),0))</f>
        <v>0.4</v>
      </c>
      <c r="Y165" s="21" t="n">
        <f aca="false">MAX(0,W165*(1-X165)-InitDed)</f>
        <v>1.93853812877181</v>
      </c>
      <c r="Z165" s="29" t="n">
        <f aca="false">SUMPRODUCT((Y165&gt;CLo)*(Y165-CLo)*CD)*(1+LocalTax)</f>
        <v>0.590968937826617</v>
      </c>
      <c r="AA165" s="21" t="n">
        <f aca="false">K165+T165+Z165</f>
        <v>1.59230395291503</v>
      </c>
      <c r="AB165" s="29" t="n">
        <f aca="false">IF(C165=5,0,(Q165-H165)-K165-L165-R165-S165-T165-Z165)</f>
        <v>4.5383607391152</v>
      </c>
      <c r="AC165" s="21" t="n">
        <f aca="false">IF(C165=5,0,N165*((1+DepRate*(1-DepTax))^G165-1))</f>
        <v>2.57004738201114</v>
      </c>
      <c r="AD165" s="29" t="n">
        <f aca="false">IF(C165=5,0,AB165-AC165+I165*(((1+DepRate*(1-DepTax))^G165-1)-((1+DepRate*(1-DepTax))^O165-1)))</f>
        <v>3.38455575089647</v>
      </c>
      <c r="AE165" s="30" t="n">
        <f aca="false">IF(J165&gt;0,-PMT(Rm,LoanYears*12,J165)*10000,0)</f>
        <v>95.4830590930919</v>
      </c>
      <c r="AF165" s="21" t="n">
        <f aca="false">IF(J165&gt;0,-PMT((Rate+Stress)/12,LoanYears*12,J165)*12/DSR,0)</f>
        <v>0.39918149710751</v>
      </c>
      <c r="AG165" s="20" t="n">
        <f aca="false">IF(N165&lt;=CapA,1,0)</f>
        <v>0</v>
      </c>
      <c r="AH165" s="20" t="n">
        <f aca="false">IF(N165&lt;=CapB,1,0)</f>
        <v>0</v>
      </c>
      <c r="AI165" s="20" t="n">
        <f aca="false">IF(N165&lt;=CapC,1,0)</f>
        <v>0</v>
      </c>
      <c r="AJ165" s="21" t="n">
        <f aca="false">IF(AG165=1,AD165,-999)</f>
        <v>-999</v>
      </c>
      <c r="AK165" s="21" t="n">
        <f aca="false">IF(AH165=1,AD165,-999)</f>
        <v>-999</v>
      </c>
      <c r="AL165" s="21" t="n">
        <f aca="false">IF(AI165=1,AD165,-999)</f>
        <v>-999</v>
      </c>
      <c r="AM165" s="21" t="str">
        <f aca="false">C165&amp;"|"&amp;E165&amp;"|"&amp;G165&amp;"|"&amp;TEXT(AJ165,"0.00000")</f>
        <v>2|3|5|-999.00000</v>
      </c>
      <c r="AN165" s="21" t="str">
        <f aca="false">C165&amp;"|"&amp;E165&amp;"|"&amp;G165&amp;"|"&amp;TEXT(AK165,"0.00000")</f>
        <v>2|3|5|-999.00000</v>
      </c>
      <c r="AO165" s="21" t="str">
        <f aca="false">C165&amp;"|"&amp;E165&amp;"|"&amp;G165&amp;"|"&amp;TEXT(AL165,"0.00000")</f>
        <v>2|3|5|-999.00000</v>
      </c>
    </row>
    <row r="166" customFormat="false" ht="15" hidden="false" customHeight="false" outlineLevel="0" collapsed="false">
      <c r="A166" s="20" t="n">
        <v>6</v>
      </c>
      <c r="B166" s="18" t="str">
        <f aca="false">INDEX(C_Name,A166)</f>
        <v>신길 보라매SK뷰 84.98㎡</v>
      </c>
      <c r="C166" s="20" t="n">
        <v>2</v>
      </c>
      <c r="D166" s="21" t="str">
        <f aca="false">CHOOSE(C166,"1안 표준형(대출 최대)","2안 절충형(대출 50%)","3안 무대출형","4안 임대차 승계 후 입주","5안 매수 보류(전세 거주)")</f>
        <v>2안 절충형(대출 50%)</v>
      </c>
      <c r="E166" s="20" t="n">
        <v>3</v>
      </c>
      <c r="F166" s="10" t="n">
        <f aca="false">CHOOSE(E166,GrowLo,GrowMid,GrowHi)</f>
        <v>0.06</v>
      </c>
      <c r="G166" s="20" t="n">
        <v>10</v>
      </c>
      <c r="H166" s="18" t="n">
        <f aca="false">INDEX(C_Price,A166)</f>
        <v>20.4</v>
      </c>
      <c r="I166" s="18" t="n">
        <f aca="false">INDEX(C_Jeonse,A166)</f>
        <v>10.608</v>
      </c>
      <c r="J166" s="21" t="n">
        <f aca="false">IF(C166=5,0,IF(C166=1,INDEX(C_Loan,A166),IF(C166=2,INDEX(C_Loan,A166)*LoanShare2,IF(C166=3,0,MIN(INDEX(C_Loan,A166),I166)))))</f>
        <v>2</v>
      </c>
      <c r="K166" s="18" t="n">
        <f aca="false">IF(C166=5,0,INDEX(C_Acq,A166))</f>
        <v>0.6732</v>
      </c>
      <c r="L166" s="18" t="n">
        <f aca="false">IF(C166=5,0,INDEX(C_Fee,A166))</f>
        <v>0.17708</v>
      </c>
      <c r="M166" s="21" t="n">
        <f aca="false">IF(C166=4,MAX(0,I166-J166),0)</f>
        <v>0</v>
      </c>
      <c r="N166" s="21" t="n">
        <f aca="false">IF(C166=5,I166,IF(C166=4,(H166-I166)+K166+L166+M166,H166-J166+K166+L166))</f>
        <v>19.25028</v>
      </c>
      <c r="O166" s="20" t="n">
        <f aca="false">IF(C166=4,RentYears,0)</f>
        <v>0</v>
      </c>
      <c r="P166" s="20" t="n">
        <f aca="false">IF(C166=5,0,MAX(0,G166-O166-NonRes))</f>
        <v>10</v>
      </c>
      <c r="Q166" s="21" t="n">
        <f aca="false">IF(C166=5,0,H166*(1+F166)^G166)</f>
        <v>36.5332930094742</v>
      </c>
      <c r="R166" s="21" t="n">
        <f aca="false">IF(C166=5,0,Q166*LOOKUP(Q166,FeeLo,FeeR)*(1+VAT))</f>
        <v>0.281306356172952</v>
      </c>
      <c r="S166" s="21" t="n">
        <f aca="false">IF(J166&gt;0,-CUMIPMT(Rm,LoanYears*12,J166,1,(G166-O166)*12,0),0)</f>
        <v>0.721475893348725</v>
      </c>
      <c r="T166" s="29" t="n">
        <f aca="false">IF(C166=5,0,SUMIFS(Sch_Total,Sch_Idx,A166,Sch_Scen,E166,Sch_Year,"&lt;="&amp;G166))</f>
        <v>0.886903721699272</v>
      </c>
      <c r="U166" s="21" t="n">
        <f aca="false">K166+L166+R166</f>
        <v>1.13158635617295</v>
      </c>
      <c r="V166" s="21" t="n">
        <f aca="false">IF(C166=5,0,Q166-H166-U166)</f>
        <v>15.0017066533013</v>
      </c>
      <c r="W166" s="21" t="n">
        <f aca="false">IF(C166=5,0,MAX(0,IF(P166&gt;=2,IF(Q166&gt;Exempt,V166*(Q166-Exempt)/Q166,0),V166)))</f>
        <v>10.0741333356447</v>
      </c>
      <c r="X166" s="10" t="n">
        <f aca="false">IF(P166&gt;=2,MIN(MaxDed,MIN(0.4,HoldRate*G166)+MIN(0.4,LiveRate*P166)),IF(G166&gt;=3,MIN(0.3,0.02*G166),0))</f>
        <v>0.8</v>
      </c>
      <c r="Y166" s="21" t="n">
        <f aca="false">MAX(0,W166*(1-X166)-InitDed)</f>
        <v>1.98982666712894</v>
      </c>
      <c r="Z166" s="29" t="n">
        <f aca="false">SUMPRODUCT((Y166&gt;CLo)*(Y166-CLo)*CD)*(1+LocalTax)</f>
        <v>0.612407546859896</v>
      </c>
      <c r="AA166" s="21" t="n">
        <f aca="false">K166+T166+Z166</f>
        <v>2.17251126855917</v>
      </c>
      <c r="AB166" s="29" t="n">
        <f aca="false">IF(C166=5,0,(Q166-H166)-K166-L166-R166-S166-T166-Z166)</f>
        <v>12.7809194913934</v>
      </c>
      <c r="AC166" s="21" t="n">
        <f aca="false">IF(C166=5,0,N166*((1+DepRate*(1-DepTax))^G166-1))</f>
        <v>5.48321411323602</v>
      </c>
      <c r="AD166" s="29" t="n">
        <f aca="false">IF(C166=5,0,AB166-AC166+I166*(((1+DepRate*(1-DepTax))^G166-1)-((1+DepRate*(1-DepTax))^O166-1)))</f>
        <v>10.3192684574065</v>
      </c>
      <c r="AE166" s="30" t="n">
        <f aca="false">IF(J166&gt;0,-PMT(Rm,LoanYears*12,J166)*10000,0)</f>
        <v>95.4830590930919</v>
      </c>
      <c r="AF166" s="21" t="n">
        <f aca="false">IF(J166&gt;0,-PMT((Rate+Stress)/12,LoanYears*12,J166)*12/DSR,0)</f>
        <v>0.39918149710751</v>
      </c>
      <c r="AG166" s="20" t="n">
        <f aca="false">IF(N166&lt;=CapA,1,0)</f>
        <v>0</v>
      </c>
      <c r="AH166" s="20" t="n">
        <f aca="false">IF(N166&lt;=CapB,1,0)</f>
        <v>0</v>
      </c>
      <c r="AI166" s="20" t="n">
        <f aca="false">IF(N166&lt;=CapC,1,0)</f>
        <v>0</v>
      </c>
      <c r="AJ166" s="21" t="n">
        <f aca="false">IF(AG166=1,AD166,-999)</f>
        <v>-999</v>
      </c>
      <c r="AK166" s="21" t="n">
        <f aca="false">IF(AH166=1,AD166,-999)</f>
        <v>-999</v>
      </c>
      <c r="AL166" s="21" t="n">
        <f aca="false">IF(AI166=1,AD166,-999)</f>
        <v>-999</v>
      </c>
      <c r="AM166" s="21" t="str">
        <f aca="false">C166&amp;"|"&amp;E166&amp;"|"&amp;G166&amp;"|"&amp;TEXT(AJ166,"0.00000")</f>
        <v>2|3|10|-999.00000</v>
      </c>
      <c r="AN166" s="21" t="str">
        <f aca="false">C166&amp;"|"&amp;E166&amp;"|"&amp;G166&amp;"|"&amp;TEXT(AK166,"0.00000")</f>
        <v>2|3|10|-999.00000</v>
      </c>
      <c r="AO166" s="21" t="str">
        <f aca="false">C166&amp;"|"&amp;E166&amp;"|"&amp;G166&amp;"|"&amp;TEXT(AL166,"0.00000")</f>
        <v>2|3|10|-999.00000</v>
      </c>
    </row>
    <row r="167" customFormat="false" ht="15" hidden="false" customHeight="false" outlineLevel="0" collapsed="false">
      <c r="A167" s="20" t="n">
        <v>6</v>
      </c>
      <c r="B167" s="18" t="str">
        <f aca="false">INDEX(C_Name,A167)</f>
        <v>신길 보라매SK뷰 84.98㎡</v>
      </c>
      <c r="C167" s="20" t="n">
        <v>3</v>
      </c>
      <c r="D167" s="21" t="str">
        <f aca="false">CHOOSE(C167,"1안 표준형(대출 최대)","2안 절충형(대출 50%)","3안 무대출형","4안 임대차 승계 후 입주","5안 매수 보류(전세 거주)")</f>
        <v>3안 무대출형</v>
      </c>
      <c r="E167" s="20" t="n">
        <v>1</v>
      </c>
      <c r="F167" s="10" t="n">
        <f aca="false">CHOOSE(E167,GrowLo,GrowMid,GrowHi)</f>
        <v>0.02</v>
      </c>
      <c r="G167" s="20" t="n">
        <v>5</v>
      </c>
      <c r="H167" s="18" t="n">
        <f aca="false">INDEX(C_Price,A167)</f>
        <v>20.4</v>
      </c>
      <c r="I167" s="18" t="n">
        <f aca="false">INDEX(C_Jeonse,A167)</f>
        <v>10.608</v>
      </c>
      <c r="J167" s="21" t="n">
        <f aca="false">IF(C167=5,0,IF(C167=1,INDEX(C_Loan,A167),IF(C167=2,INDEX(C_Loan,A167)*LoanShare2,IF(C167=3,0,MIN(INDEX(C_Loan,A167),I167)))))</f>
        <v>0</v>
      </c>
      <c r="K167" s="18" t="n">
        <f aca="false">IF(C167=5,0,INDEX(C_Acq,A167))</f>
        <v>0.6732</v>
      </c>
      <c r="L167" s="18" t="n">
        <f aca="false">IF(C167=5,0,INDEX(C_Fee,A167))</f>
        <v>0.17708</v>
      </c>
      <c r="M167" s="21" t="n">
        <f aca="false">IF(C167=4,MAX(0,I167-J167),0)</f>
        <v>0</v>
      </c>
      <c r="N167" s="21" t="n">
        <f aca="false">IF(C167=5,I167,IF(C167=4,(H167-I167)+K167+L167+M167,H167-J167+K167+L167))</f>
        <v>21.25028</v>
      </c>
      <c r="O167" s="20" t="n">
        <f aca="false">IF(C167=4,RentYears,0)</f>
        <v>0</v>
      </c>
      <c r="P167" s="20" t="n">
        <f aca="false">IF(C167=5,0,MAX(0,G167-O167-NonRes))</f>
        <v>5</v>
      </c>
      <c r="Q167" s="21" t="n">
        <f aca="false">IF(C167=5,0,H167*(1+F167)^G167)</f>
        <v>22.52324838528</v>
      </c>
      <c r="R167" s="21" t="n">
        <f aca="false">IF(C167=5,0,Q167*LOOKUP(Q167,FeeLo,FeeR)*(1+VAT))</f>
        <v>0.173429012566656</v>
      </c>
      <c r="S167" s="21" t="n">
        <f aca="false">IF(J167&gt;0,-CUMIPMT(Rm,LoanYears*12,J167,1,(G167-O167)*12,0),0)</f>
        <v>0</v>
      </c>
      <c r="T167" s="29" t="n">
        <f aca="false">IF(C167=5,0,SUMIFS(Sch_Total,Sch_Idx,A167,Sch_Scen,E167,Sch_Year,"&lt;="&amp;G167))</f>
        <v>0.282405147218611</v>
      </c>
      <c r="U167" s="21" t="n">
        <f aca="false">K167+L167+R167</f>
        <v>1.02370901256666</v>
      </c>
      <c r="V167" s="21" t="n">
        <f aca="false">IF(C167=5,0,Q167-H167-U167)</f>
        <v>1.09953937271334</v>
      </c>
      <c r="W167" s="21" t="n">
        <f aca="false">IF(C167=5,0,MAX(0,IF(P167&gt;=2,IF(Q167&gt;Exempt,V167*(Q167-Exempt)/Q167,0),V167)))</f>
        <v>0.5137236747795</v>
      </c>
      <c r="X167" s="10" t="n">
        <f aca="false">IF(P167&gt;=2,MIN(MaxDed,MIN(0.4,HoldRate*G167)+MIN(0.4,LiveRate*P167)),IF(G167&gt;=3,MIN(0.3,0.02*G167),0))</f>
        <v>0.4</v>
      </c>
      <c r="Y167" s="21" t="n">
        <f aca="false">MAX(0,W167*(1-X167)-InitDed)</f>
        <v>0.2832342048677</v>
      </c>
      <c r="Z167" s="29" t="n">
        <f aca="false">SUMPRODUCT((Y167&gt;CLo)*(Y167-CLo)*CD)*(1+LocalTax)</f>
        <v>0.0328736438031705</v>
      </c>
      <c r="AA167" s="21" t="n">
        <f aca="false">K167+T167+Z167</f>
        <v>0.988478791021782</v>
      </c>
      <c r="AB167" s="29" t="n">
        <f aca="false">IF(C167=5,0,(Q167-H167)-K167-L167-R167-S167-T167-Z167)</f>
        <v>0.784260581691563</v>
      </c>
      <c r="AC167" s="21" t="n">
        <f aca="false">IF(C167=5,0,N167*((1+DepRate*(1-DepTax))^G167-1))</f>
        <v>2.8370614079901</v>
      </c>
      <c r="AD167" s="29" t="n">
        <f aca="false">IF(C167=5,0,AB167-AC167+I167*(((1+DepRate*(1-DepTax))^G167-1)-((1+DepRate*(1-DepTax))^O167-1)))</f>
        <v>-0.636558432506128</v>
      </c>
      <c r="AE167" s="30" t="n">
        <f aca="false">IF(J167&gt;0,-PMT(Rm,LoanYears*12,J167)*10000,0)</f>
        <v>0</v>
      </c>
      <c r="AF167" s="21" t="n">
        <f aca="false">IF(J167&gt;0,-PMT((Rate+Stress)/12,LoanYears*12,J167)*12/DSR,0)</f>
        <v>0</v>
      </c>
      <c r="AG167" s="20" t="n">
        <f aca="false">IF(N167&lt;=CapA,1,0)</f>
        <v>0</v>
      </c>
      <c r="AH167" s="20" t="n">
        <f aca="false">IF(N167&lt;=CapB,1,0)</f>
        <v>0</v>
      </c>
      <c r="AI167" s="20" t="n">
        <f aca="false">IF(N167&lt;=CapC,1,0)</f>
        <v>0</v>
      </c>
      <c r="AJ167" s="21" t="n">
        <f aca="false">IF(AG167=1,AD167,-999)</f>
        <v>-999</v>
      </c>
      <c r="AK167" s="21" t="n">
        <f aca="false">IF(AH167=1,AD167,-999)</f>
        <v>-999</v>
      </c>
      <c r="AL167" s="21" t="n">
        <f aca="false">IF(AI167=1,AD167,-999)</f>
        <v>-999</v>
      </c>
      <c r="AM167" s="21" t="str">
        <f aca="false">C167&amp;"|"&amp;E167&amp;"|"&amp;G167&amp;"|"&amp;TEXT(AJ167,"0.00000")</f>
        <v>3|1|5|-999.00000</v>
      </c>
      <c r="AN167" s="21" t="str">
        <f aca="false">C167&amp;"|"&amp;E167&amp;"|"&amp;G167&amp;"|"&amp;TEXT(AK167,"0.00000")</f>
        <v>3|1|5|-999.00000</v>
      </c>
      <c r="AO167" s="21" t="str">
        <f aca="false">C167&amp;"|"&amp;E167&amp;"|"&amp;G167&amp;"|"&amp;TEXT(AL167,"0.00000")</f>
        <v>3|1|5|-999.00000</v>
      </c>
    </row>
    <row r="168" customFormat="false" ht="15" hidden="false" customHeight="false" outlineLevel="0" collapsed="false">
      <c r="A168" s="20" t="n">
        <v>6</v>
      </c>
      <c r="B168" s="18" t="str">
        <f aca="false">INDEX(C_Name,A168)</f>
        <v>신길 보라매SK뷰 84.98㎡</v>
      </c>
      <c r="C168" s="20" t="n">
        <v>3</v>
      </c>
      <c r="D168" s="21" t="str">
        <f aca="false">CHOOSE(C168,"1안 표준형(대출 최대)","2안 절충형(대출 50%)","3안 무대출형","4안 임대차 승계 후 입주","5안 매수 보류(전세 거주)")</f>
        <v>3안 무대출형</v>
      </c>
      <c r="E168" s="20" t="n">
        <v>1</v>
      </c>
      <c r="F168" s="10" t="n">
        <f aca="false">CHOOSE(E168,GrowLo,GrowMid,GrowHi)</f>
        <v>0.02</v>
      </c>
      <c r="G168" s="20" t="n">
        <v>10</v>
      </c>
      <c r="H168" s="18" t="n">
        <f aca="false">INDEX(C_Price,A168)</f>
        <v>20.4</v>
      </c>
      <c r="I168" s="18" t="n">
        <f aca="false">INDEX(C_Jeonse,A168)</f>
        <v>10.608</v>
      </c>
      <c r="J168" s="21" t="n">
        <f aca="false">IF(C168=5,0,IF(C168=1,INDEX(C_Loan,A168),IF(C168=2,INDEX(C_Loan,A168)*LoanShare2,IF(C168=3,0,MIN(INDEX(C_Loan,A168),I168)))))</f>
        <v>0</v>
      </c>
      <c r="K168" s="18" t="n">
        <f aca="false">IF(C168=5,0,INDEX(C_Acq,A168))</f>
        <v>0.6732</v>
      </c>
      <c r="L168" s="18" t="n">
        <f aca="false">IF(C168=5,0,INDEX(C_Fee,A168))</f>
        <v>0.17708</v>
      </c>
      <c r="M168" s="21" t="n">
        <f aca="false">IF(C168=4,MAX(0,I168-J168),0)</f>
        <v>0</v>
      </c>
      <c r="N168" s="21" t="n">
        <f aca="false">IF(C168=5,I168,IF(C168=4,(H168-I168)+K168+L168+M168,H168-J168+K168+L168))</f>
        <v>21.25028</v>
      </c>
      <c r="O168" s="20" t="n">
        <f aca="false">IF(C168=4,RentYears,0)</f>
        <v>0</v>
      </c>
      <c r="P168" s="20" t="n">
        <f aca="false">IF(C168=5,0,MAX(0,G168-O168-NonRes))</f>
        <v>10</v>
      </c>
      <c r="Q168" s="21" t="n">
        <f aca="false">IF(C168=5,0,H168*(1+F168)^G168)</f>
        <v>24.8674861678931</v>
      </c>
      <c r="R168" s="21" t="n">
        <f aca="false">IF(C168=5,0,Q168*LOOKUP(Q168,FeeLo,FeeR)*(1+VAT))</f>
        <v>0.191479643492777</v>
      </c>
      <c r="S168" s="21" t="n">
        <f aca="false">IF(J168&gt;0,-CUMIPMT(Rm,LoanYears*12,J168,1,(G168-O168)*12,0),0)</f>
        <v>0</v>
      </c>
      <c r="T168" s="29" t="n">
        <f aca="false">IF(C168=5,0,SUMIFS(Sch_Total,Sch_Idx,A168,Sch_Scen,E168,Sch_Year,"&lt;="&amp;G168))</f>
        <v>0.62061895683971</v>
      </c>
      <c r="U168" s="21" t="n">
        <f aca="false">K168+L168+R168</f>
        <v>1.04175964349278</v>
      </c>
      <c r="V168" s="21" t="n">
        <f aca="false">IF(C168=5,0,Q168-H168-U168)</f>
        <v>3.42572652440027</v>
      </c>
      <c r="W168" s="21" t="n">
        <f aca="false">IF(C168=5,0,MAX(0,IF(P168&gt;=2,IF(Q168&gt;Exempt,V168*(Q168-Exempt)/Q168,0),V168)))</f>
        <v>1.77261538903028</v>
      </c>
      <c r="X168" s="10" t="n">
        <f aca="false">IF(P168&gt;=2,MIN(MaxDed,MIN(0.4,HoldRate*G168)+MIN(0.4,LiveRate*P168)),IF(G168&gt;=3,MIN(0.3,0.02*G168),0))</f>
        <v>0.8</v>
      </c>
      <c r="Y168" s="21" t="n">
        <f aca="false">MAX(0,W168*(1-X168)-InitDed)</f>
        <v>0.329523077806056</v>
      </c>
      <c r="Z168" s="29" t="n">
        <f aca="false">SUMPRODUCT((Y168&gt;CLo)*(Y168-CLo)*CD)*(1+LocalTax)</f>
        <v>0.0405113078379992</v>
      </c>
      <c r="AA168" s="21" t="n">
        <f aca="false">K168+T168+Z168</f>
        <v>1.33433026467771</v>
      </c>
      <c r="AB168" s="29" t="n">
        <f aca="false">IF(C168=5,0,(Q168-H168)-K168-L168-R168-S168-T168-Z168)</f>
        <v>2.76459625972256</v>
      </c>
      <c r="AC168" s="21" t="n">
        <f aca="false">IF(C168=5,0,N168*((1+DepRate*(1-DepTax))^G168-1))</f>
        <v>6.05289041022869</v>
      </c>
      <c r="AD168" s="29" t="n">
        <f aca="false">IF(C168=5,0,AB168-AC168+I168*(((1+DepRate*(1-DepTax))^G168-1)-((1+DepRate*(1-DepTax))^O168-1)))</f>
        <v>-0.266731071257007</v>
      </c>
      <c r="AE168" s="30" t="n">
        <f aca="false">IF(J168&gt;0,-PMT(Rm,LoanYears*12,J168)*10000,0)</f>
        <v>0</v>
      </c>
      <c r="AF168" s="21" t="n">
        <f aca="false">IF(J168&gt;0,-PMT((Rate+Stress)/12,LoanYears*12,J168)*12/DSR,0)</f>
        <v>0</v>
      </c>
      <c r="AG168" s="20" t="n">
        <f aca="false">IF(N168&lt;=CapA,1,0)</f>
        <v>0</v>
      </c>
      <c r="AH168" s="20" t="n">
        <f aca="false">IF(N168&lt;=CapB,1,0)</f>
        <v>0</v>
      </c>
      <c r="AI168" s="20" t="n">
        <f aca="false">IF(N168&lt;=CapC,1,0)</f>
        <v>0</v>
      </c>
      <c r="AJ168" s="21" t="n">
        <f aca="false">IF(AG168=1,AD168,-999)</f>
        <v>-999</v>
      </c>
      <c r="AK168" s="21" t="n">
        <f aca="false">IF(AH168=1,AD168,-999)</f>
        <v>-999</v>
      </c>
      <c r="AL168" s="21" t="n">
        <f aca="false">IF(AI168=1,AD168,-999)</f>
        <v>-999</v>
      </c>
      <c r="AM168" s="21" t="str">
        <f aca="false">C168&amp;"|"&amp;E168&amp;"|"&amp;G168&amp;"|"&amp;TEXT(AJ168,"0.00000")</f>
        <v>3|1|10|-999.00000</v>
      </c>
      <c r="AN168" s="21" t="str">
        <f aca="false">C168&amp;"|"&amp;E168&amp;"|"&amp;G168&amp;"|"&amp;TEXT(AK168,"0.00000")</f>
        <v>3|1|10|-999.00000</v>
      </c>
      <c r="AO168" s="21" t="str">
        <f aca="false">C168&amp;"|"&amp;E168&amp;"|"&amp;G168&amp;"|"&amp;TEXT(AL168,"0.00000")</f>
        <v>3|1|10|-999.00000</v>
      </c>
    </row>
    <row r="169" customFormat="false" ht="15" hidden="false" customHeight="false" outlineLevel="0" collapsed="false">
      <c r="A169" s="20" t="n">
        <v>6</v>
      </c>
      <c r="B169" s="18" t="str">
        <f aca="false">INDEX(C_Name,A169)</f>
        <v>신길 보라매SK뷰 84.98㎡</v>
      </c>
      <c r="C169" s="20" t="n">
        <v>3</v>
      </c>
      <c r="D169" s="21" t="str">
        <f aca="false">CHOOSE(C169,"1안 표준형(대출 최대)","2안 절충형(대출 50%)","3안 무대출형","4안 임대차 승계 후 입주","5안 매수 보류(전세 거주)")</f>
        <v>3안 무대출형</v>
      </c>
      <c r="E169" s="20" t="n">
        <v>2</v>
      </c>
      <c r="F169" s="10" t="n">
        <f aca="false">CHOOSE(E169,GrowLo,GrowMid,GrowHi)</f>
        <v>0.04</v>
      </c>
      <c r="G169" s="20" t="n">
        <v>5</v>
      </c>
      <c r="H169" s="18" t="n">
        <f aca="false">INDEX(C_Price,A169)</f>
        <v>20.4</v>
      </c>
      <c r="I169" s="18" t="n">
        <f aca="false">INDEX(C_Jeonse,A169)</f>
        <v>10.608</v>
      </c>
      <c r="J169" s="21" t="n">
        <f aca="false">IF(C169=5,0,IF(C169=1,INDEX(C_Loan,A169),IF(C169=2,INDEX(C_Loan,A169)*LoanShare2,IF(C169=3,0,MIN(INDEX(C_Loan,A169),I169)))))</f>
        <v>0</v>
      </c>
      <c r="K169" s="18" t="n">
        <f aca="false">IF(C169=5,0,INDEX(C_Acq,A169))</f>
        <v>0.6732</v>
      </c>
      <c r="L169" s="18" t="n">
        <f aca="false">IF(C169=5,0,INDEX(C_Fee,A169))</f>
        <v>0.17708</v>
      </c>
      <c r="M169" s="21" t="n">
        <f aca="false">IF(C169=4,MAX(0,I169-J169),0)</f>
        <v>0</v>
      </c>
      <c r="N169" s="21" t="n">
        <f aca="false">IF(C169=5,I169,IF(C169=4,(H169-I169)+K169+L169+M169,H169-J169+K169+L169))</f>
        <v>21.25028</v>
      </c>
      <c r="O169" s="20" t="n">
        <f aca="false">IF(C169=4,RentYears,0)</f>
        <v>0</v>
      </c>
      <c r="P169" s="20" t="n">
        <f aca="false">IF(C169=5,0,MAX(0,G169-O169-NonRes))</f>
        <v>5</v>
      </c>
      <c r="Q169" s="21" t="n">
        <f aca="false">IF(C169=5,0,H169*(1+F169)^G169)</f>
        <v>24.81971920896</v>
      </c>
      <c r="R169" s="21" t="n">
        <f aca="false">IF(C169=5,0,Q169*LOOKUP(Q169,FeeLo,FeeR)*(1+VAT))</f>
        <v>0.191111837908992</v>
      </c>
      <c r="S169" s="21" t="n">
        <f aca="false">IF(J169&gt;0,-CUMIPMT(Rm,LoanYears*12,J169,1,(G169-O169)*12,0),0)</f>
        <v>0</v>
      </c>
      <c r="T169" s="29" t="n">
        <f aca="false">IF(C169=5,0,SUMIFS(Sch_Total,Sch_Idx,A169,Sch_Scen,E169,Sch_Year,"&lt;="&amp;G169))</f>
        <v>0.304277944515379</v>
      </c>
      <c r="U169" s="21" t="n">
        <f aca="false">K169+L169+R169</f>
        <v>1.04139183790899</v>
      </c>
      <c r="V169" s="21" t="n">
        <f aca="false">IF(C169=5,0,Q169-H169-U169)</f>
        <v>3.37832737105101</v>
      </c>
      <c r="W169" s="21" t="n">
        <f aca="false">IF(C169=5,0,MAX(0,IF(P169&gt;=2,IF(Q169&gt;Exempt,V169*(Q169-Exempt)/Q169,0),V169)))</f>
        <v>1.74495158177226</v>
      </c>
      <c r="X169" s="10" t="n">
        <f aca="false">IF(P169&gt;=2,MIN(MaxDed,MIN(0.4,HoldRate*G169)+MIN(0.4,LiveRate*P169)),IF(G169&gt;=3,MIN(0.3,0.02*G169),0))</f>
        <v>0.4</v>
      </c>
      <c r="Y169" s="21" t="n">
        <f aca="false">MAX(0,W169*(1-X169)-InitDed)</f>
        <v>1.02197094906335</v>
      </c>
      <c r="Z169" s="29" t="n">
        <f aca="false">SUMPRODUCT((Y169&gt;CLo)*(Y169-CLo)*CD)*(1+LocalTax)</f>
        <v>0.223618815389391</v>
      </c>
      <c r="AA169" s="21" t="n">
        <f aca="false">K169+T169+Z169</f>
        <v>1.20109675990477</v>
      </c>
      <c r="AB169" s="29" t="n">
        <f aca="false">IF(C169=5,0,(Q169-H169)-K169-L169-R169-S169-T169-Z169)</f>
        <v>2.85043061114624</v>
      </c>
      <c r="AC169" s="21" t="n">
        <f aca="false">IF(C169=5,0,N169*((1+DepRate*(1-DepTax))^G169-1))</f>
        <v>2.8370614079901</v>
      </c>
      <c r="AD169" s="29" t="n">
        <f aca="false">IF(C169=5,0,AB169-AC169+I169*(((1+DepRate*(1-DepTax))^G169-1)-((1+DepRate*(1-DepTax))^O169-1)))</f>
        <v>1.42961159694855</v>
      </c>
      <c r="AE169" s="30" t="n">
        <f aca="false">IF(J169&gt;0,-PMT(Rm,LoanYears*12,J169)*10000,0)</f>
        <v>0</v>
      </c>
      <c r="AF169" s="21" t="n">
        <f aca="false">IF(J169&gt;0,-PMT((Rate+Stress)/12,LoanYears*12,J169)*12/DSR,0)</f>
        <v>0</v>
      </c>
      <c r="AG169" s="20" t="n">
        <f aca="false">IF(N169&lt;=CapA,1,0)</f>
        <v>0</v>
      </c>
      <c r="AH169" s="20" t="n">
        <f aca="false">IF(N169&lt;=CapB,1,0)</f>
        <v>0</v>
      </c>
      <c r="AI169" s="20" t="n">
        <f aca="false">IF(N169&lt;=CapC,1,0)</f>
        <v>0</v>
      </c>
      <c r="AJ169" s="21" t="n">
        <f aca="false">IF(AG169=1,AD169,-999)</f>
        <v>-999</v>
      </c>
      <c r="AK169" s="21" t="n">
        <f aca="false">IF(AH169=1,AD169,-999)</f>
        <v>-999</v>
      </c>
      <c r="AL169" s="21" t="n">
        <f aca="false">IF(AI169=1,AD169,-999)</f>
        <v>-999</v>
      </c>
      <c r="AM169" s="21" t="str">
        <f aca="false">C169&amp;"|"&amp;E169&amp;"|"&amp;G169&amp;"|"&amp;TEXT(AJ169,"0.00000")</f>
        <v>3|2|5|-999.00000</v>
      </c>
      <c r="AN169" s="21" t="str">
        <f aca="false">C169&amp;"|"&amp;E169&amp;"|"&amp;G169&amp;"|"&amp;TEXT(AK169,"0.00000")</f>
        <v>3|2|5|-999.00000</v>
      </c>
      <c r="AO169" s="21" t="str">
        <f aca="false">C169&amp;"|"&amp;E169&amp;"|"&amp;G169&amp;"|"&amp;TEXT(AL169,"0.00000")</f>
        <v>3|2|5|-999.00000</v>
      </c>
    </row>
    <row r="170" customFormat="false" ht="15" hidden="false" customHeight="false" outlineLevel="0" collapsed="false">
      <c r="A170" s="20" t="n">
        <v>6</v>
      </c>
      <c r="B170" s="18" t="str">
        <f aca="false">INDEX(C_Name,A170)</f>
        <v>신길 보라매SK뷰 84.98㎡</v>
      </c>
      <c r="C170" s="20" t="n">
        <v>3</v>
      </c>
      <c r="D170" s="21" t="str">
        <f aca="false">CHOOSE(C170,"1안 표준형(대출 최대)","2안 절충형(대출 50%)","3안 무대출형","4안 임대차 승계 후 입주","5안 매수 보류(전세 거주)")</f>
        <v>3안 무대출형</v>
      </c>
      <c r="E170" s="20" t="n">
        <v>2</v>
      </c>
      <c r="F170" s="10" t="n">
        <f aca="false">CHOOSE(E170,GrowLo,GrowMid,GrowHi)</f>
        <v>0.04</v>
      </c>
      <c r="G170" s="20" t="n">
        <v>10</v>
      </c>
      <c r="H170" s="18" t="n">
        <f aca="false">INDEX(C_Price,A170)</f>
        <v>20.4</v>
      </c>
      <c r="I170" s="18" t="n">
        <f aca="false">INDEX(C_Jeonse,A170)</f>
        <v>10.608</v>
      </c>
      <c r="J170" s="21" t="n">
        <f aca="false">IF(C170=5,0,IF(C170=1,INDEX(C_Loan,A170),IF(C170=2,INDEX(C_Loan,A170)*LoanShare2,IF(C170=3,0,MIN(INDEX(C_Loan,A170),I170)))))</f>
        <v>0</v>
      </c>
      <c r="K170" s="18" t="n">
        <f aca="false">IF(C170=5,0,INDEX(C_Acq,A170))</f>
        <v>0.6732</v>
      </c>
      <c r="L170" s="18" t="n">
        <f aca="false">IF(C170=5,0,INDEX(C_Fee,A170))</f>
        <v>0.17708</v>
      </c>
      <c r="M170" s="21" t="n">
        <f aca="false">IF(C170=4,MAX(0,I170-J170),0)</f>
        <v>0</v>
      </c>
      <c r="N170" s="21" t="n">
        <f aca="false">IF(C170=5,I170,IF(C170=4,(H170-I170)+K170+L170+M170,H170-J170+K170+L170))</f>
        <v>21.25028</v>
      </c>
      <c r="O170" s="20" t="n">
        <f aca="false">IF(C170=4,RentYears,0)</f>
        <v>0</v>
      </c>
      <c r="P170" s="20" t="n">
        <f aca="false">IF(C170=5,0,MAX(0,G170-O170-NonRes))</f>
        <v>10</v>
      </c>
      <c r="Q170" s="21" t="n">
        <f aca="false">IF(C170=5,0,H170*(1+F170)^G170)</f>
        <v>30.1969834123342</v>
      </c>
      <c r="R170" s="21" t="n">
        <f aca="false">IF(C170=5,0,Q170*LOOKUP(Q170,FeeLo,FeeR)*(1+VAT))</f>
        <v>0.232516772274974</v>
      </c>
      <c r="S170" s="21" t="n">
        <f aca="false">IF(J170&gt;0,-CUMIPMT(Rm,LoanYears*12,J170,1,(G170-O170)*12,0),0)</f>
        <v>0</v>
      </c>
      <c r="T170" s="29" t="n">
        <f aca="false">IF(C170=5,0,SUMIFS(Sch_Total,Sch_Idx,A170,Sch_Scen,E170,Sch_Year,"&lt;="&amp;G170))</f>
        <v>0.740636338287257</v>
      </c>
      <c r="U170" s="21" t="n">
        <f aca="false">K170+L170+R170</f>
        <v>1.08279677227497</v>
      </c>
      <c r="V170" s="21" t="n">
        <f aca="false">IF(C170=5,0,Q170-H170-U170)</f>
        <v>8.71418664005925</v>
      </c>
      <c r="W170" s="21" t="n">
        <f aca="false">IF(C170=5,0,MAX(0,IF(P170&gt;=2,IF(Q170&gt;Exempt,V170*(Q170-Exempt)/Q170,0),V170)))</f>
        <v>5.25125001977425</v>
      </c>
      <c r="X170" s="10" t="n">
        <f aca="false">IF(P170&gt;=2,MIN(MaxDed,MIN(0.4,HoldRate*G170)+MIN(0.4,LiveRate*P170)),IF(G170&gt;=3,MIN(0.3,0.02*G170),0))</f>
        <v>0.8</v>
      </c>
      <c r="Y170" s="21" t="n">
        <f aca="false">MAX(0,W170*(1-X170)-InitDed)</f>
        <v>1.02525000395485</v>
      </c>
      <c r="Z170" s="29" t="n">
        <f aca="false">SUMPRODUCT((Y170&gt;CLo)*(Y170-CLo)*CD)*(1+LocalTax)</f>
        <v>0.224881251522617</v>
      </c>
      <c r="AA170" s="21" t="n">
        <f aca="false">K170+T170+Z170</f>
        <v>1.63871758980987</v>
      </c>
      <c r="AB170" s="29" t="n">
        <f aca="false">IF(C170=5,0,(Q170-H170)-K170-L170-R170-S170-T170-Z170)</f>
        <v>7.74866905024938</v>
      </c>
      <c r="AC170" s="21" t="n">
        <f aca="false">IF(C170=5,0,N170*((1+DepRate*(1-DepTax))^G170-1))</f>
        <v>6.05289041022869</v>
      </c>
      <c r="AD170" s="29" t="n">
        <f aca="false">IF(C170=5,0,AB170-AC170+I170*(((1+DepRate*(1-DepTax))^G170-1)-((1+DepRate*(1-DepTax))^O170-1)))</f>
        <v>4.71734171926981</v>
      </c>
      <c r="AE170" s="30" t="n">
        <f aca="false">IF(J170&gt;0,-PMT(Rm,LoanYears*12,J170)*10000,0)</f>
        <v>0</v>
      </c>
      <c r="AF170" s="21" t="n">
        <f aca="false">IF(J170&gt;0,-PMT((Rate+Stress)/12,LoanYears*12,J170)*12/DSR,0)</f>
        <v>0</v>
      </c>
      <c r="AG170" s="20" t="n">
        <f aca="false">IF(N170&lt;=CapA,1,0)</f>
        <v>0</v>
      </c>
      <c r="AH170" s="20" t="n">
        <f aca="false">IF(N170&lt;=CapB,1,0)</f>
        <v>0</v>
      </c>
      <c r="AI170" s="20" t="n">
        <f aca="false">IF(N170&lt;=CapC,1,0)</f>
        <v>0</v>
      </c>
      <c r="AJ170" s="21" t="n">
        <f aca="false">IF(AG170=1,AD170,-999)</f>
        <v>-999</v>
      </c>
      <c r="AK170" s="21" t="n">
        <f aca="false">IF(AH170=1,AD170,-999)</f>
        <v>-999</v>
      </c>
      <c r="AL170" s="21" t="n">
        <f aca="false">IF(AI170=1,AD170,-999)</f>
        <v>-999</v>
      </c>
      <c r="AM170" s="21" t="str">
        <f aca="false">C170&amp;"|"&amp;E170&amp;"|"&amp;G170&amp;"|"&amp;TEXT(AJ170,"0.00000")</f>
        <v>3|2|10|-999.00000</v>
      </c>
      <c r="AN170" s="21" t="str">
        <f aca="false">C170&amp;"|"&amp;E170&amp;"|"&amp;G170&amp;"|"&amp;TEXT(AK170,"0.00000")</f>
        <v>3|2|10|-999.00000</v>
      </c>
      <c r="AO170" s="21" t="str">
        <f aca="false">C170&amp;"|"&amp;E170&amp;"|"&amp;G170&amp;"|"&amp;TEXT(AL170,"0.00000")</f>
        <v>3|2|10|-999.00000</v>
      </c>
    </row>
    <row r="171" customFormat="false" ht="15" hidden="false" customHeight="false" outlineLevel="0" collapsed="false">
      <c r="A171" s="20" t="n">
        <v>6</v>
      </c>
      <c r="B171" s="18" t="str">
        <f aca="false">INDEX(C_Name,A171)</f>
        <v>신길 보라매SK뷰 84.98㎡</v>
      </c>
      <c r="C171" s="20" t="n">
        <v>3</v>
      </c>
      <c r="D171" s="21" t="str">
        <f aca="false">CHOOSE(C171,"1안 표준형(대출 최대)","2안 절충형(대출 50%)","3안 무대출형","4안 임대차 승계 후 입주","5안 매수 보류(전세 거주)")</f>
        <v>3안 무대출형</v>
      </c>
      <c r="E171" s="20" t="n">
        <v>3</v>
      </c>
      <c r="F171" s="10" t="n">
        <f aca="false">CHOOSE(E171,GrowLo,GrowMid,GrowHi)</f>
        <v>0.06</v>
      </c>
      <c r="G171" s="20" t="n">
        <v>5</v>
      </c>
      <c r="H171" s="18" t="n">
        <f aca="false">INDEX(C_Price,A171)</f>
        <v>20.4</v>
      </c>
      <c r="I171" s="18" t="n">
        <f aca="false">INDEX(C_Jeonse,A171)</f>
        <v>10.608</v>
      </c>
      <c r="J171" s="21" t="n">
        <f aca="false">IF(C171=5,0,IF(C171=1,INDEX(C_Loan,A171),IF(C171=2,INDEX(C_Loan,A171)*LoanShare2,IF(C171=3,0,MIN(INDEX(C_Loan,A171),I171)))))</f>
        <v>0</v>
      </c>
      <c r="K171" s="18" t="n">
        <f aca="false">IF(C171=5,0,INDEX(C_Acq,A171))</f>
        <v>0.6732</v>
      </c>
      <c r="L171" s="18" t="n">
        <f aca="false">IF(C171=5,0,INDEX(C_Fee,A171))</f>
        <v>0.17708</v>
      </c>
      <c r="M171" s="21" t="n">
        <f aca="false">IF(C171=4,MAX(0,I171-J171),0)</f>
        <v>0</v>
      </c>
      <c r="N171" s="21" t="n">
        <f aca="false">IF(C171=5,I171,IF(C171=4,(H171-I171)+K171+L171+M171,H171-J171+K171+L171))</f>
        <v>21.25028</v>
      </c>
      <c r="O171" s="20" t="n">
        <f aca="false">IF(C171=4,RentYears,0)</f>
        <v>0</v>
      </c>
      <c r="P171" s="20" t="n">
        <f aca="false">IF(C171=5,0,MAX(0,G171-O171-NonRes))</f>
        <v>5</v>
      </c>
      <c r="Q171" s="21" t="n">
        <f aca="false">IF(C171=5,0,H171*(1+F171)^G171)</f>
        <v>27.29980178304</v>
      </c>
      <c r="R171" s="21" t="n">
        <f aca="false">IF(C171=5,0,Q171*LOOKUP(Q171,FeeLo,FeeR)*(1+VAT))</f>
        <v>0.210208473729408</v>
      </c>
      <c r="S171" s="21" t="n">
        <f aca="false">IF(J171&gt;0,-CUMIPMT(Rm,LoanYears*12,J171,1,(G171-O171)*12,0),0)</f>
        <v>0</v>
      </c>
      <c r="T171" s="29" t="n">
        <f aca="false">IF(C171=5,0,SUMIFS(Sch_Total,Sch_Idx,A171,Sch_Scen,E171,Sch_Year,"&lt;="&amp;G171))</f>
        <v>0.32813501508841</v>
      </c>
      <c r="U171" s="21" t="n">
        <f aca="false">K171+L171+R171</f>
        <v>1.06048847372941</v>
      </c>
      <c r="V171" s="21" t="n">
        <f aca="false">IF(C171=5,0,Q171-H171-U171)</f>
        <v>5.8393133093106</v>
      </c>
      <c r="W171" s="21" t="n">
        <f aca="false">IF(C171=5,0,MAX(0,IF(P171&gt;=2,IF(Q171&gt;Exempt,V171*(Q171-Exempt)/Q171,0),V171)))</f>
        <v>3.27256354795302</v>
      </c>
      <c r="X171" s="10" t="n">
        <f aca="false">IF(P171&gt;=2,MIN(MaxDed,MIN(0.4,HoldRate*G171)+MIN(0.4,LiveRate*P171)),IF(G171&gt;=3,MIN(0.3,0.02*G171),0))</f>
        <v>0.4</v>
      </c>
      <c r="Y171" s="21" t="n">
        <f aca="false">MAX(0,W171*(1-X171)-InitDed)</f>
        <v>1.93853812877181</v>
      </c>
      <c r="Z171" s="29" t="n">
        <f aca="false">SUMPRODUCT((Y171&gt;CLo)*(Y171-CLo)*CD)*(1+LocalTax)</f>
        <v>0.590968937826617</v>
      </c>
      <c r="AA171" s="21" t="n">
        <f aca="false">K171+T171+Z171</f>
        <v>1.59230395291503</v>
      </c>
      <c r="AB171" s="29" t="n">
        <f aca="false">IF(C171=5,0,(Q171-H171)-K171-L171-R171-S171-T171-Z171)</f>
        <v>4.92020935639557</v>
      </c>
      <c r="AC171" s="21" t="n">
        <f aca="false">IF(C171=5,0,N171*((1+DepRate*(1-DepTax))^G171-1))</f>
        <v>2.8370614079901</v>
      </c>
      <c r="AD171" s="29" t="n">
        <f aca="false">IF(C171=5,0,AB171-AC171+I171*(((1+DepRate*(1-DepTax))^G171-1)-((1+DepRate*(1-DepTax))^O171-1)))</f>
        <v>3.49939034219788</v>
      </c>
      <c r="AE171" s="30" t="n">
        <f aca="false">IF(J171&gt;0,-PMT(Rm,LoanYears*12,J171)*10000,0)</f>
        <v>0</v>
      </c>
      <c r="AF171" s="21" t="n">
        <f aca="false">IF(J171&gt;0,-PMT((Rate+Stress)/12,LoanYears*12,J171)*12/DSR,0)</f>
        <v>0</v>
      </c>
      <c r="AG171" s="20" t="n">
        <f aca="false">IF(N171&lt;=CapA,1,0)</f>
        <v>0</v>
      </c>
      <c r="AH171" s="20" t="n">
        <f aca="false">IF(N171&lt;=CapB,1,0)</f>
        <v>0</v>
      </c>
      <c r="AI171" s="20" t="n">
        <f aca="false">IF(N171&lt;=CapC,1,0)</f>
        <v>0</v>
      </c>
      <c r="AJ171" s="21" t="n">
        <f aca="false">IF(AG171=1,AD171,-999)</f>
        <v>-999</v>
      </c>
      <c r="AK171" s="21" t="n">
        <f aca="false">IF(AH171=1,AD171,-999)</f>
        <v>-999</v>
      </c>
      <c r="AL171" s="21" t="n">
        <f aca="false">IF(AI171=1,AD171,-999)</f>
        <v>-999</v>
      </c>
      <c r="AM171" s="21" t="str">
        <f aca="false">C171&amp;"|"&amp;E171&amp;"|"&amp;G171&amp;"|"&amp;TEXT(AJ171,"0.00000")</f>
        <v>3|3|5|-999.00000</v>
      </c>
      <c r="AN171" s="21" t="str">
        <f aca="false">C171&amp;"|"&amp;E171&amp;"|"&amp;G171&amp;"|"&amp;TEXT(AK171,"0.00000")</f>
        <v>3|3|5|-999.00000</v>
      </c>
      <c r="AO171" s="21" t="str">
        <f aca="false">C171&amp;"|"&amp;E171&amp;"|"&amp;G171&amp;"|"&amp;TEXT(AL171,"0.00000")</f>
        <v>3|3|5|-999.00000</v>
      </c>
    </row>
    <row r="172" customFormat="false" ht="15" hidden="false" customHeight="false" outlineLevel="0" collapsed="false">
      <c r="A172" s="20" t="n">
        <v>6</v>
      </c>
      <c r="B172" s="18" t="str">
        <f aca="false">INDEX(C_Name,A172)</f>
        <v>신길 보라매SK뷰 84.98㎡</v>
      </c>
      <c r="C172" s="20" t="n">
        <v>3</v>
      </c>
      <c r="D172" s="21" t="str">
        <f aca="false">CHOOSE(C172,"1안 표준형(대출 최대)","2안 절충형(대출 50%)","3안 무대출형","4안 임대차 승계 후 입주","5안 매수 보류(전세 거주)")</f>
        <v>3안 무대출형</v>
      </c>
      <c r="E172" s="20" t="n">
        <v>3</v>
      </c>
      <c r="F172" s="10" t="n">
        <f aca="false">CHOOSE(E172,GrowLo,GrowMid,GrowHi)</f>
        <v>0.06</v>
      </c>
      <c r="G172" s="20" t="n">
        <v>10</v>
      </c>
      <c r="H172" s="18" t="n">
        <f aca="false">INDEX(C_Price,A172)</f>
        <v>20.4</v>
      </c>
      <c r="I172" s="18" t="n">
        <f aca="false">INDEX(C_Jeonse,A172)</f>
        <v>10.608</v>
      </c>
      <c r="J172" s="21" t="n">
        <f aca="false">IF(C172=5,0,IF(C172=1,INDEX(C_Loan,A172),IF(C172=2,INDEX(C_Loan,A172)*LoanShare2,IF(C172=3,0,MIN(INDEX(C_Loan,A172),I172)))))</f>
        <v>0</v>
      </c>
      <c r="K172" s="18" t="n">
        <f aca="false">IF(C172=5,0,INDEX(C_Acq,A172))</f>
        <v>0.6732</v>
      </c>
      <c r="L172" s="18" t="n">
        <f aca="false">IF(C172=5,0,INDEX(C_Fee,A172))</f>
        <v>0.17708</v>
      </c>
      <c r="M172" s="21" t="n">
        <f aca="false">IF(C172=4,MAX(0,I172-J172),0)</f>
        <v>0</v>
      </c>
      <c r="N172" s="21" t="n">
        <f aca="false">IF(C172=5,I172,IF(C172=4,(H172-I172)+K172+L172+M172,H172-J172+K172+L172))</f>
        <v>21.25028</v>
      </c>
      <c r="O172" s="20" t="n">
        <f aca="false">IF(C172=4,RentYears,0)</f>
        <v>0</v>
      </c>
      <c r="P172" s="20" t="n">
        <f aca="false">IF(C172=5,0,MAX(0,G172-O172-NonRes))</f>
        <v>10</v>
      </c>
      <c r="Q172" s="21" t="n">
        <f aca="false">IF(C172=5,0,H172*(1+F172)^G172)</f>
        <v>36.5332930094742</v>
      </c>
      <c r="R172" s="21" t="n">
        <f aca="false">IF(C172=5,0,Q172*LOOKUP(Q172,FeeLo,FeeR)*(1+VAT))</f>
        <v>0.281306356172952</v>
      </c>
      <c r="S172" s="21" t="n">
        <f aca="false">IF(J172&gt;0,-CUMIPMT(Rm,LoanYears*12,J172,1,(G172-O172)*12,0),0)</f>
        <v>0</v>
      </c>
      <c r="T172" s="29" t="n">
        <f aca="false">IF(C172=5,0,SUMIFS(Sch_Total,Sch_Idx,A172,Sch_Scen,E172,Sch_Year,"&lt;="&amp;G172))</f>
        <v>0.886903721699272</v>
      </c>
      <c r="U172" s="21" t="n">
        <f aca="false">K172+L172+R172</f>
        <v>1.13158635617295</v>
      </c>
      <c r="V172" s="21" t="n">
        <f aca="false">IF(C172=5,0,Q172-H172-U172)</f>
        <v>15.0017066533013</v>
      </c>
      <c r="W172" s="21" t="n">
        <f aca="false">IF(C172=5,0,MAX(0,IF(P172&gt;=2,IF(Q172&gt;Exempt,V172*(Q172-Exempt)/Q172,0),V172)))</f>
        <v>10.0741333356447</v>
      </c>
      <c r="X172" s="10" t="n">
        <f aca="false">IF(P172&gt;=2,MIN(MaxDed,MIN(0.4,HoldRate*G172)+MIN(0.4,LiveRate*P172)),IF(G172&gt;=3,MIN(0.3,0.02*G172),0))</f>
        <v>0.8</v>
      </c>
      <c r="Y172" s="21" t="n">
        <f aca="false">MAX(0,W172*(1-X172)-InitDed)</f>
        <v>1.98982666712894</v>
      </c>
      <c r="Z172" s="29" t="n">
        <f aca="false">SUMPRODUCT((Y172&gt;CLo)*(Y172-CLo)*CD)*(1+LocalTax)</f>
        <v>0.612407546859896</v>
      </c>
      <c r="AA172" s="21" t="n">
        <f aca="false">K172+T172+Z172</f>
        <v>2.17251126855917</v>
      </c>
      <c r="AB172" s="29" t="n">
        <f aca="false">IF(C172=5,0,(Q172-H172)-K172-L172-R172-S172-T172-Z172)</f>
        <v>13.5023953847421</v>
      </c>
      <c r="AC172" s="21" t="n">
        <f aca="false">IF(C172=5,0,N172*((1+DepRate*(1-DepTax))^G172-1))</f>
        <v>6.05289041022869</v>
      </c>
      <c r="AD172" s="29" t="n">
        <f aca="false">IF(C172=5,0,AB172-AC172+I172*(((1+DepRate*(1-DepTax))^G172-1)-((1+DepRate*(1-DepTax))^O172-1)))</f>
        <v>10.4710680537625</v>
      </c>
      <c r="AE172" s="30" t="n">
        <f aca="false">IF(J172&gt;0,-PMT(Rm,LoanYears*12,J172)*10000,0)</f>
        <v>0</v>
      </c>
      <c r="AF172" s="21" t="n">
        <f aca="false">IF(J172&gt;0,-PMT((Rate+Stress)/12,LoanYears*12,J172)*12/DSR,0)</f>
        <v>0</v>
      </c>
      <c r="AG172" s="20" t="n">
        <f aca="false">IF(N172&lt;=CapA,1,0)</f>
        <v>0</v>
      </c>
      <c r="AH172" s="20" t="n">
        <f aca="false">IF(N172&lt;=CapB,1,0)</f>
        <v>0</v>
      </c>
      <c r="AI172" s="20" t="n">
        <f aca="false">IF(N172&lt;=CapC,1,0)</f>
        <v>0</v>
      </c>
      <c r="AJ172" s="21" t="n">
        <f aca="false">IF(AG172=1,AD172,-999)</f>
        <v>-999</v>
      </c>
      <c r="AK172" s="21" t="n">
        <f aca="false">IF(AH172=1,AD172,-999)</f>
        <v>-999</v>
      </c>
      <c r="AL172" s="21" t="n">
        <f aca="false">IF(AI172=1,AD172,-999)</f>
        <v>-999</v>
      </c>
      <c r="AM172" s="21" t="str">
        <f aca="false">C172&amp;"|"&amp;E172&amp;"|"&amp;G172&amp;"|"&amp;TEXT(AJ172,"0.00000")</f>
        <v>3|3|10|-999.00000</v>
      </c>
      <c r="AN172" s="21" t="str">
        <f aca="false">C172&amp;"|"&amp;E172&amp;"|"&amp;G172&amp;"|"&amp;TEXT(AK172,"0.00000")</f>
        <v>3|3|10|-999.00000</v>
      </c>
      <c r="AO172" s="21" t="str">
        <f aca="false">C172&amp;"|"&amp;E172&amp;"|"&amp;G172&amp;"|"&amp;TEXT(AL172,"0.00000")</f>
        <v>3|3|10|-999.00000</v>
      </c>
    </row>
    <row r="173" customFormat="false" ht="15" hidden="false" customHeight="false" outlineLevel="0" collapsed="false">
      <c r="A173" s="20" t="n">
        <v>6</v>
      </c>
      <c r="B173" s="18" t="str">
        <f aca="false">INDEX(C_Name,A173)</f>
        <v>신길 보라매SK뷰 84.98㎡</v>
      </c>
      <c r="C173" s="20" t="n">
        <v>4</v>
      </c>
      <c r="D173" s="21" t="str">
        <f aca="false">CHOOSE(C173,"1안 표준형(대출 최대)","2안 절충형(대출 50%)","3안 무대출형","4안 임대차 승계 후 입주","5안 매수 보류(전세 거주)")</f>
        <v>4안 임대차 승계 후 입주</v>
      </c>
      <c r="E173" s="20" t="n">
        <v>1</v>
      </c>
      <c r="F173" s="10" t="n">
        <f aca="false">CHOOSE(E173,GrowLo,GrowMid,GrowHi)</f>
        <v>0.02</v>
      </c>
      <c r="G173" s="20" t="n">
        <v>5</v>
      </c>
      <c r="H173" s="18" t="n">
        <f aca="false">INDEX(C_Price,A173)</f>
        <v>20.4</v>
      </c>
      <c r="I173" s="18" t="n">
        <f aca="false">INDEX(C_Jeonse,A173)</f>
        <v>10.608</v>
      </c>
      <c r="J173" s="21" t="n">
        <f aca="false">IF(C173=5,0,IF(C173=1,INDEX(C_Loan,A173),IF(C173=2,INDEX(C_Loan,A173)*LoanShare2,IF(C173=3,0,MIN(INDEX(C_Loan,A173),I173)))))</f>
        <v>4</v>
      </c>
      <c r="K173" s="18" t="n">
        <f aca="false">IF(C173=5,0,INDEX(C_Acq,A173))</f>
        <v>0.6732</v>
      </c>
      <c r="L173" s="18" t="n">
        <f aca="false">IF(C173=5,0,INDEX(C_Fee,A173))</f>
        <v>0.17708</v>
      </c>
      <c r="M173" s="21" t="n">
        <f aca="false">IF(C173=4,MAX(0,I173-J173),0)</f>
        <v>6.608</v>
      </c>
      <c r="N173" s="21" t="n">
        <f aca="false">IF(C173=5,I173,IF(C173=4,(H173-I173)+K173+L173+M173,H173-J173+K173+L173))</f>
        <v>17.25028</v>
      </c>
      <c r="O173" s="20" t="n">
        <f aca="false">IF(C173=4,RentYears,0)</f>
        <v>2</v>
      </c>
      <c r="P173" s="20" t="n">
        <f aca="false">IF(C173=5,0,MAX(0,G173-O173-NonRes))</f>
        <v>3</v>
      </c>
      <c r="Q173" s="21" t="n">
        <f aca="false">IF(C173=5,0,H173*(1+F173)^G173)</f>
        <v>22.52324838528</v>
      </c>
      <c r="R173" s="21" t="n">
        <f aca="false">IF(C173=5,0,Q173*LOOKUP(Q173,FeeLo,FeeR)*(1+VAT))</f>
        <v>0.173429012566656</v>
      </c>
      <c r="S173" s="21" t="n">
        <f aca="false">IF(J173&gt;0,-CUMIPMT(Rm,LoanYears*12,J173,1,(G173-O173)*12,0),0)</f>
        <v>0.467427048612969</v>
      </c>
      <c r="T173" s="29" t="n">
        <f aca="false">IF(C173=5,0,SUMIFS(Sch_Total,Sch_Idx,A173,Sch_Scen,E173,Sch_Year,"&lt;="&amp;G173))</f>
        <v>0.282405147218611</v>
      </c>
      <c r="U173" s="21" t="n">
        <f aca="false">K173+L173+R173</f>
        <v>1.02370901256666</v>
      </c>
      <c r="V173" s="21" t="n">
        <f aca="false">IF(C173=5,0,Q173-H173-U173)</f>
        <v>1.09953937271334</v>
      </c>
      <c r="W173" s="21" t="n">
        <f aca="false">IF(C173=5,0,MAX(0,IF(P173&gt;=2,IF(Q173&gt;Exempt,V173*(Q173-Exempt)/Q173,0),V173)))</f>
        <v>0.5137236747795</v>
      </c>
      <c r="X173" s="10" t="n">
        <f aca="false">IF(P173&gt;=2,MIN(MaxDed,MIN(0.4,HoldRate*G173)+MIN(0.4,LiveRate*P173)),IF(G173&gt;=3,MIN(0.3,0.02*G173),0))</f>
        <v>0.32</v>
      </c>
      <c r="Y173" s="21" t="n">
        <f aca="false">MAX(0,W173*(1-X173)-InitDed)</f>
        <v>0.32433209885006</v>
      </c>
      <c r="Z173" s="29" t="n">
        <f aca="false">SUMPRODUCT((Y173&gt;CLo)*(Y173-CLo)*CD)*(1+LocalTax)</f>
        <v>0.0396547963102599</v>
      </c>
      <c r="AA173" s="21" t="n">
        <f aca="false">K173+T173+Z173</f>
        <v>0.995259943528871</v>
      </c>
      <c r="AB173" s="29" t="n">
        <f aca="false">IF(C173=5,0,(Q173-H173)-K173-L173-R173-S173-T173-Z173)</f>
        <v>0.310052380571505</v>
      </c>
      <c r="AC173" s="21" t="n">
        <f aca="false">IF(C173=5,0,N173*((1+DepRate*(1-DepTax))^G173-1))</f>
        <v>2.30303335603218</v>
      </c>
      <c r="AD173" s="29" t="n">
        <f aca="false">IF(C173=5,0,AB173-AC173+I173*(((1+DepRate*(1-DepTax))^G173-1)-((1+DepRate*(1-DepTax))^O173-1)))</f>
        <v>-1.12203374546346</v>
      </c>
      <c r="AE173" s="30" t="n">
        <f aca="false">IF(J173&gt;0,-PMT(Rm,LoanYears*12,J173)*10000,0)</f>
        <v>190.966118186184</v>
      </c>
      <c r="AF173" s="21" t="n">
        <f aca="false">IF(J173&gt;0,-PMT((Rate+Stress)/12,LoanYears*12,J173)*12/DSR,0)</f>
        <v>0.79836299421502</v>
      </c>
      <c r="AG173" s="20" t="n">
        <f aca="false">IF(N173&lt;=CapA,1,0)</f>
        <v>0</v>
      </c>
      <c r="AH173" s="20" t="n">
        <f aca="false">IF(N173&lt;=CapB,1,0)</f>
        <v>0</v>
      </c>
      <c r="AI173" s="20" t="n">
        <f aca="false">IF(N173&lt;=CapC,1,0)</f>
        <v>0</v>
      </c>
      <c r="AJ173" s="21" t="n">
        <f aca="false">IF(AG173=1,AD173,-999)</f>
        <v>-999</v>
      </c>
      <c r="AK173" s="21" t="n">
        <f aca="false">IF(AH173=1,AD173,-999)</f>
        <v>-999</v>
      </c>
      <c r="AL173" s="21" t="n">
        <f aca="false">IF(AI173=1,AD173,-999)</f>
        <v>-999</v>
      </c>
      <c r="AM173" s="21" t="str">
        <f aca="false">C173&amp;"|"&amp;E173&amp;"|"&amp;G173&amp;"|"&amp;TEXT(AJ173,"0.00000")</f>
        <v>4|1|5|-999.00000</v>
      </c>
      <c r="AN173" s="21" t="str">
        <f aca="false">C173&amp;"|"&amp;E173&amp;"|"&amp;G173&amp;"|"&amp;TEXT(AK173,"0.00000")</f>
        <v>4|1|5|-999.00000</v>
      </c>
      <c r="AO173" s="21" t="str">
        <f aca="false">C173&amp;"|"&amp;E173&amp;"|"&amp;G173&amp;"|"&amp;TEXT(AL173,"0.00000")</f>
        <v>4|1|5|-999.00000</v>
      </c>
    </row>
    <row r="174" customFormat="false" ht="15" hidden="false" customHeight="false" outlineLevel="0" collapsed="false">
      <c r="A174" s="20" t="n">
        <v>6</v>
      </c>
      <c r="B174" s="18" t="str">
        <f aca="false">INDEX(C_Name,A174)</f>
        <v>신길 보라매SK뷰 84.98㎡</v>
      </c>
      <c r="C174" s="20" t="n">
        <v>4</v>
      </c>
      <c r="D174" s="21" t="str">
        <f aca="false">CHOOSE(C174,"1안 표준형(대출 최대)","2안 절충형(대출 50%)","3안 무대출형","4안 임대차 승계 후 입주","5안 매수 보류(전세 거주)")</f>
        <v>4안 임대차 승계 후 입주</v>
      </c>
      <c r="E174" s="20" t="n">
        <v>1</v>
      </c>
      <c r="F174" s="10" t="n">
        <f aca="false">CHOOSE(E174,GrowLo,GrowMid,GrowHi)</f>
        <v>0.02</v>
      </c>
      <c r="G174" s="20" t="n">
        <v>10</v>
      </c>
      <c r="H174" s="18" t="n">
        <f aca="false">INDEX(C_Price,A174)</f>
        <v>20.4</v>
      </c>
      <c r="I174" s="18" t="n">
        <f aca="false">INDEX(C_Jeonse,A174)</f>
        <v>10.608</v>
      </c>
      <c r="J174" s="21" t="n">
        <f aca="false">IF(C174=5,0,IF(C174=1,INDEX(C_Loan,A174),IF(C174=2,INDEX(C_Loan,A174)*LoanShare2,IF(C174=3,0,MIN(INDEX(C_Loan,A174),I174)))))</f>
        <v>4</v>
      </c>
      <c r="K174" s="18" t="n">
        <f aca="false">IF(C174=5,0,INDEX(C_Acq,A174))</f>
        <v>0.6732</v>
      </c>
      <c r="L174" s="18" t="n">
        <f aca="false">IF(C174=5,0,INDEX(C_Fee,A174))</f>
        <v>0.17708</v>
      </c>
      <c r="M174" s="21" t="n">
        <f aca="false">IF(C174=4,MAX(0,I174-J174),0)</f>
        <v>6.608</v>
      </c>
      <c r="N174" s="21" t="n">
        <f aca="false">IF(C174=5,I174,IF(C174=4,(H174-I174)+K174+L174+M174,H174-J174+K174+L174))</f>
        <v>17.25028</v>
      </c>
      <c r="O174" s="20" t="n">
        <f aca="false">IF(C174=4,RentYears,0)</f>
        <v>2</v>
      </c>
      <c r="P174" s="20" t="n">
        <f aca="false">IF(C174=5,0,MAX(0,G174-O174-NonRes))</f>
        <v>8</v>
      </c>
      <c r="Q174" s="21" t="n">
        <f aca="false">IF(C174=5,0,H174*(1+F174)^G174)</f>
        <v>24.8674861678931</v>
      </c>
      <c r="R174" s="21" t="n">
        <f aca="false">IF(C174=5,0,Q174*LOOKUP(Q174,FeeLo,FeeR)*(1+VAT))</f>
        <v>0.191479643492777</v>
      </c>
      <c r="S174" s="21" t="n">
        <f aca="false">IF(J174&gt;0,-CUMIPMT(Rm,LoanYears*12,J174,1,(G174-O174)*12,0),0)</f>
        <v>1.18249376679461</v>
      </c>
      <c r="T174" s="29" t="n">
        <f aca="false">IF(C174=5,0,SUMIFS(Sch_Total,Sch_Idx,A174,Sch_Scen,E174,Sch_Year,"&lt;="&amp;G174))</f>
        <v>0.62061895683971</v>
      </c>
      <c r="U174" s="21" t="n">
        <f aca="false">K174+L174+R174</f>
        <v>1.04175964349278</v>
      </c>
      <c r="V174" s="21" t="n">
        <f aca="false">IF(C174=5,0,Q174-H174-U174)</f>
        <v>3.42572652440027</v>
      </c>
      <c r="W174" s="21" t="n">
        <f aca="false">IF(C174=5,0,MAX(0,IF(P174&gt;=2,IF(Q174&gt;Exempt,V174*(Q174-Exempt)/Q174,0),V174)))</f>
        <v>1.77261538903028</v>
      </c>
      <c r="X174" s="10" t="n">
        <f aca="false">IF(P174&gt;=2,MIN(MaxDed,MIN(0.4,HoldRate*G174)+MIN(0.4,LiveRate*P174)),IF(G174&gt;=3,MIN(0.3,0.02*G174),0))</f>
        <v>0.72</v>
      </c>
      <c r="Y174" s="21" t="n">
        <f aca="false">MAX(0,W174*(1-X174)-InitDed)</f>
        <v>0.471332308928479</v>
      </c>
      <c r="Z174" s="29" t="n">
        <f aca="false">SUMPRODUCT((Y174&gt;CLo)*(Y174-CLo)*CD)*(1+LocalTax)</f>
        <v>0.063909830973199</v>
      </c>
      <c r="AA174" s="21" t="n">
        <f aca="false">K174+T174+Z174</f>
        <v>1.35772878781291</v>
      </c>
      <c r="AB174" s="29" t="n">
        <f aca="false">IF(C174=5,0,(Q174-H174)-K174-L174-R174-S174-T174-Z174)</f>
        <v>1.55870396979275</v>
      </c>
      <c r="AC174" s="21" t="n">
        <f aca="false">IF(C174=5,0,N174*((1+DepRate*(1-DepTax))^G174-1))</f>
        <v>4.91353781624335</v>
      </c>
      <c r="AD174" s="29" t="n">
        <f aca="false">IF(C174=5,0,AB174-AC174+I174*(((1+DepRate*(1-DepTax))^G174-1)-((1+DepRate*(1-DepTax))^O174-1)))</f>
        <v>-0.878565930996678</v>
      </c>
      <c r="AE174" s="30" t="n">
        <f aca="false">IF(J174&gt;0,-PMT(Rm,LoanYears*12,J174)*10000,0)</f>
        <v>190.966118186184</v>
      </c>
      <c r="AF174" s="21" t="n">
        <f aca="false">IF(J174&gt;0,-PMT((Rate+Stress)/12,LoanYears*12,J174)*12/DSR,0)</f>
        <v>0.79836299421502</v>
      </c>
      <c r="AG174" s="20" t="n">
        <f aca="false">IF(N174&lt;=CapA,1,0)</f>
        <v>0</v>
      </c>
      <c r="AH174" s="20" t="n">
        <f aca="false">IF(N174&lt;=CapB,1,0)</f>
        <v>0</v>
      </c>
      <c r="AI174" s="20" t="n">
        <f aca="false">IF(N174&lt;=CapC,1,0)</f>
        <v>0</v>
      </c>
      <c r="AJ174" s="21" t="n">
        <f aca="false">IF(AG174=1,AD174,-999)</f>
        <v>-999</v>
      </c>
      <c r="AK174" s="21" t="n">
        <f aca="false">IF(AH174=1,AD174,-999)</f>
        <v>-999</v>
      </c>
      <c r="AL174" s="21" t="n">
        <f aca="false">IF(AI174=1,AD174,-999)</f>
        <v>-999</v>
      </c>
      <c r="AM174" s="21" t="str">
        <f aca="false">C174&amp;"|"&amp;E174&amp;"|"&amp;G174&amp;"|"&amp;TEXT(AJ174,"0.00000")</f>
        <v>4|1|10|-999.00000</v>
      </c>
      <c r="AN174" s="21" t="str">
        <f aca="false">C174&amp;"|"&amp;E174&amp;"|"&amp;G174&amp;"|"&amp;TEXT(AK174,"0.00000")</f>
        <v>4|1|10|-999.00000</v>
      </c>
      <c r="AO174" s="21" t="str">
        <f aca="false">C174&amp;"|"&amp;E174&amp;"|"&amp;G174&amp;"|"&amp;TEXT(AL174,"0.00000")</f>
        <v>4|1|10|-999.00000</v>
      </c>
    </row>
    <row r="175" customFormat="false" ht="15" hidden="false" customHeight="false" outlineLevel="0" collapsed="false">
      <c r="A175" s="20" t="n">
        <v>6</v>
      </c>
      <c r="B175" s="18" t="str">
        <f aca="false">INDEX(C_Name,A175)</f>
        <v>신길 보라매SK뷰 84.98㎡</v>
      </c>
      <c r="C175" s="20" t="n">
        <v>4</v>
      </c>
      <c r="D175" s="21" t="str">
        <f aca="false">CHOOSE(C175,"1안 표준형(대출 최대)","2안 절충형(대출 50%)","3안 무대출형","4안 임대차 승계 후 입주","5안 매수 보류(전세 거주)")</f>
        <v>4안 임대차 승계 후 입주</v>
      </c>
      <c r="E175" s="20" t="n">
        <v>2</v>
      </c>
      <c r="F175" s="10" t="n">
        <f aca="false">CHOOSE(E175,GrowLo,GrowMid,GrowHi)</f>
        <v>0.04</v>
      </c>
      <c r="G175" s="20" t="n">
        <v>5</v>
      </c>
      <c r="H175" s="18" t="n">
        <f aca="false">INDEX(C_Price,A175)</f>
        <v>20.4</v>
      </c>
      <c r="I175" s="18" t="n">
        <f aca="false">INDEX(C_Jeonse,A175)</f>
        <v>10.608</v>
      </c>
      <c r="J175" s="21" t="n">
        <f aca="false">IF(C175=5,0,IF(C175=1,INDEX(C_Loan,A175),IF(C175=2,INDEX(C_Loan,A175)*LoanShare2,IF(C175=3,0,MIN(INDEX(C_Loan,A175),I175)))))</f>
        <v>4</v>
      </c>
      <c r="K175" s="18" t="n">
        <f aca="false">IF(C175=5,0,INDEX(C_Acq,A175))</f>
        <v>0.6732</v>
      </c>
      <c r="L175" s="18" t="n">
        <f aca="false">IF(C175=5,0,INDEX(C_Fee,A175))</f>
        <v>0.17708</v>
      </c>
      <c r="M175" s="21" t="n">
        <f aca="false">IF(C175=4,MAX(0,I175-J175),0)</f>
        <v>6.608</v>
      </c>
      <c r="N175" s="21" t="n">
        <f aca="false">IF(C175=5,I175,IF(C175=4,(H175-I175)+K175+L175+M175,H175-J175+K175+L175))</f>
        <v>17.25028</v>
      </c>
      <c r="O175" s="20" t="n">
        <f aca="false">IF(C175=4,RentYears,0)</f>
        <v>2</v>
      </c>
      <c r="P175" s="20" t="n">
        <f aca="false">IF(C175=5,0,MAX(0,G175-O175-NonRes))</f>
        <v>3</v>
      </c>
      <c r="Q175" s="21" t="n">
        <f aca="false">IF(C175=5,0,H175*(1+F175)^G175)</f>
        <v>24.81971920896</v>
      </c>
      <c r="R175" s="21" t="n">
        <f aca="false">IF(C175=5,0,Q175*LOOKUP(Q175,FeeLo,FeeR)*(1+VAT))</f>
        <v>0.191111837908992</v>
      </c>
      <c r="S175" s="21" t="n">
        <f aca="false">IF(J175&gt;0,-CUMIPMT(Rm,LoanYears*12,J175,1,(G175-O175)*12,0),0)</f>
        <v>0.467427048612969</v>
      </c>
      <c r="T175" s="29" t="n">
        <f aca="false">IF(C175=5,0,SUMIFS(Sch_Total,Sch_Idx,A175,Sch_Scen,E175,Sch_Year,"&lt;="&amp;G175))</f>
        <v>0.304277944515379</v>
      </c>
      <c r="U175" s="21" t="n">
        <f aca="false">K175+L175+R175</f>
        <v>1.04139183790899</v>
      </c>
      <c r="V175" s="21" t="n">
        <f aca="false">IF(C175=5,0,Q175-H175-U175)</f>
        <v>3.37832737105101</v>
      </c>
      <c r="W175" s="21" t="n">
        <f aca="false">IF(C175=5,0,MAX(0,IF(P175&gt;=2,IF(Q175&gt;Exempt,V175*(Q175-Exempt)/Q175,0),V175)))</f>
        <v>1.74495158177226</v>
      </c>
      <c r="X175" s="10" t="n">
        <f aca="false">IF(P175&gt;=2,MIN(MaxDed,MIN(0.4,HoldRate*G175)+MIN(0.4,LiveRate*P175)),IF(G175&gt;=3,MIN(0.3,0.02*G175),0))</f>
        <v>0.32</v>
      </c>
      <c r="Y175" s="21" t="n">
        <f aca="false">MAX(0,W175*(1-X175)-InitDed)</f>
        <v>1.16156707560513</v>
      </c>
      <c r="Z175" s="29" t="n">
        <f aca="false">SUMPRODUCT((Y175&gt;CLo)*(Y175-CLo)*CD)*(1+LocalTax)</f>
        <v>0.277363324107977</v>
      </c>
      <c r="AA175" s="21" t="n">
        <f aca="false">K175+T175+Z175</f>
        <v>1.25484126862336</v>
      </c>
      <c r="AB175" s="29" t="n">
        <f aca="false">IF(C175=5,0,(Q175-H175)-K175-L175-R175-S175-T175-Z175)</f>
        <v>2.32925905381469</v>
      </c>
      <c r="AC175" s="21" t="n">
        <f aca="false">IF(C175=5,0,N175*((1+DepRate*(1-DepTax))^G175-1))</f>
        <v>2.30303335603218</v>
      </c>
      <c r="AD175" s="29" t="n">
        <f aca="false">IF(C175=5,0,AB175-AC175+I175*(((1+DepRate*(1-DepTax))^G175-1)-((1+DepRate*(1-DepTax))^O175-1)))</f>
        <v>0.89717292777972</v>
      </c>
      <c r="AE175" s="30" t="n">
        <f aca="false">IF(J175&gt;0,-PMT(Rm,LoanYears*12,J175)*10000,0)</f>
        <v>190.966118186184</v>
      </c>
      <c r="AF175" s="21" t="n">
        <f aca="false">IF(J175&gt;0,-PMT((Rate+Stress)/12,LoanYears*12,J175)*12/DSR,0)</f>
        <v>0.79836299421502</v>
      </c>
      <c r="AG175" s="20" t="n">
        <f aca="false">IF(N175&lt;=CapA,1,0)</f>
        <v>0</v>
      </c>
      <c r="AH175" s="20" t="n">
        <f aca="false">IF(N175&lt;=CapB,1,0)</f>
        <v>0</v>
      </c>
      <c r="AI175" s="20" t="n">
        <f aca="false">IF(N175&lt;=CapC,1,0)</f>
        <v>0</v>
      </c>
      <c r="AJ175" s="21" t="n">
        <f aca="false">IF(AG175=1,AD175,-999)</f>
        <v>-999</v>
      </c>
      <c r="AK175" s="21" t="n">
        <f aca="false">IF(AH175=1,AD175,-999)</f>
        <v>-999</v>
      </c>
      <c r="AL175" s="21" t="n">
        <f aca="false">IF(AI175=1,AD175,-999)</f>
        <v>-999</v>
      </c>
      <c r="AM175" s="21" t="str">
        <f aca="false">C175&amp;"|"&amp;E175&amp;"|"&amp;G175&amp;"|"&amp;TEXT(AJ175,"0.00000")</f>
        <v>4|2|5|-999.00000</v>
      </c>
      <c r="AN175" s="21" t="str">
        <f aca="false">C175&amp;"|"&amp;E175&amp;"|"&amp;G175&amp;"|"&amp;TEXT(AK175,"0.00000")</f>
        <v>4|2|5|-999.00000</v>
      </c>
      <c r="AO175" s="21" t="str">
        <f aca="false">C175&amp;"|"&amp;E175&amp;"|"&amp;G175&amp;"|"&amp;TEXT(AL175,"0.00000")</f>
        <v>4|2|5|-999.00000</v>
      </c>
    </row>
    <row r="176" customFormat="false" ht="15" hidden="false" customHeight="false" outlineLevel="0" collapsed="false">
      <c r="A176" s="20" t="n">
        <v>6</v>
      </c>
      <c r="B176" s="18" t="str">
        <f aca="false">INDEX(C_Name,A176)</f>
        <v>신길 보라매SK뷰 84.98㎡</v>
      </c>
      <c r="C176" s="20" t="n">
        <v>4</v>
      </c>
      <c r="D176" s="21" t="str">
        <f aca="false">CHOOSE(C176,"1안 표준형(대출 최대)","2안 절충형(대출 50%)","3안 무대출형","4안 임대차 승계 후 입주","5안 매수 보류(전세 거주)")</f>
        <v>4안 임대차 승계 후 입주</v>
      </c>
      <c r="E176" s="20" t="n">
        <v>2</v>
      </c>
      <c r="F176" s="10" t="n">
        <f aca="false">CHOOSE(E176,GrowLo,GrowMid,GrowHi)</f>
        <v>0.04</v>
      </c>
      <c r="G176" s="20" t="n">
        <v>10</v>
      </c>
      <c r="H176" s="18" t="n">
        <f aca="false">INDEX(C_Price,A176)</f>
        <v>20.4</v>
      </c>
      <c r="I176" s="18" t="n">
        <f aca="false">INDEX(C_Jeonse,A176)</f>
        <v>10.608</v>
      </c>
      <c r="J176" s="21" t="n">
        <f aca="false">IF(C176=5,0,IF(C176=1,INDEX(C_Loan,A176),IF(C176=2,INDEX(C_Loan,A176)*LoanShare2,IF(C176=3,0,MIN(INDEX(C_Loan,A176),I176)))))</f>
        <v>4</v>
      </c>
      <c r="K176" s="18" t="n">
        <f aca="false">IF(C176=5,0,INDEX(C_Acq,A176))</f>
        <v>0.6732</v>
      </c>
      <c r="L176" s="18" t="n">
        <f aca="false">IF(C176=5,0,INDEX(C_Fee,A176))</f>
        <v>0.17708</v>
      </c>
      <c r="M176" s="21" t="n">
        <f aca="false">IF(C176=4,MAX(0,I176-J176),0)</f>
        <v>6.608</v>
      </c>
      <c r="N176" s="21" t="n">
        <f aca="false">IF(C176=5,I176,IF(C176=4,(H176-I176)+K176+L176+M176,H176-J176+K176+L176))</f>
        <v>17.25028</v>
      </c>
      <c r="O176" s="20" t="n">
        <f aca="false">IF(C176=4,RentYears,0)</f>
        <v>2</v>
      </c>
      <c r="P176" s="20" t="n">
        <f aca="false">IF(C176=5,0,MAX(0,G176-O176-NonRes))</f>
        <v>8</v>
      </c>
      <c r="Q176" s="21" t="n">
        <f aca="false">IF(C176=5,0,H176*(1+F176)^G176)</f>
        <v>30.1969834123342</v>
      </c>
      <c r="R176" s="21" t="n">
        <f aca="false">IF(C176=5,0,Q176*LOOKUP(Q176,FeeLo,FeeR)*(1+VAT))</f>
        <v>0.232516772274974</v>
      </c>
      <c r="S176" s="21" t="n">
        <f aca="false">IF(J176&gt;0,-CUMIPMT(Rm,LoanYears*12,J176,1,(G176-O176)*12,0),0)</f>
        <v>1.18249376679461</v>
      </c>
      <c r="T176" s="29" t="n">
        <f aca="false">IF(C176=5,0,SUMIFS(Sch_Total,Sch_Idx,A176,Sch_Scen,E176,Sch_Year,"&lt;="&amp;G176))</f>
        <v>0.740636338287257</v>
      </c>
      <c r="U176" s="21" t="n">
        <f aca="false">K176+L176+R176</f>
        <v>1.08279677227497</v>
      </c>
      <c r="V176" s="21" t="n">
        <f aca="false">IF(C176=5,0,Q176-H176-U176)</f>
        <v>8.71418664005925</v>
      </c>
      <c r="W176" s="21" t="n">
        <f aca="false">IF(C176=5,0,MAX(0,IF(P176&gt;=2,IF(Q176&gt;Exempt,V176*(Q176-Exempt)/Q176,0),V176)))</f>
        <v>5.25125001977425</v>
      </c>
      <c r="X176" s="10" t="n">
        <f aca="false">IF(P176&gt;=2,MIN(MaxDed,MIN(0.4,HoldRate*G176)+MIN(0.4,LiveRate*P176)),IF(G176&gt;=3,MIN(0.3,0.02*G176),0))</f>
        <v>0.72</v>
      </c>
      <c r="Y176" s="21" t="n">
        <f aca="false">MAX(0,W176*(1-X176)-InitDed)</f>
        <v>1.44535000553679</v>
      </c>
      <c r="Z176" s="29" t="n">
        <f aca="false">SUMPRODUCT((Y176&gt;CLo)*(Y176-CLo)*CD)*(1+LocalTax)</f>
        <v>0.386619752131664</v>
      </c>
      <c r="AA176" s="21" t="n">
        <f aca="false">K176+T176+Z176</f>
        <v>1.80045609041892</v>
      </c>
      <c r="AB176" s="29" t="n">
        <f aca="false">IF(C176=5,0,(Q176-H176)-K176-L176-R176-S176-T176-Z176)</f>
        <v>6.40443678284572</v>
      </c>
      <c r="AC176" s="21" t="n">
        <f aca="false">IF(C176=5,0,N176*((1+DepRate*(1-DepTax))^G176-1))</f>
        <v>4.91353781624335</v>
      </c>
      <c r="AD176" s="29" t="n">
        <f aca="false">IF(C176=5,0,AB176-AC176+I176*(((1+DepRate*(1-DepTax))^G176-1)-((1+DepRate*(1-DepTax))^O176-1)))</f>
        <v>3.96716688205629</v>
      </c>
      <c r="AE176" s="30" t="n">
        <f aca="false">IF(J176&gt;0,-PMT(Rm,LoanYears*12,J176)*10000,0)</f>
        <v>190.966118186184</v>
      </c>
      <c r="AF176" s="21" t="n">
        <f aca="false">IF(J176&gt;0,-PMT((Rate+Stress)/12,LoanYears*12,J176)*12/DSR,0)</f>
        <v>0.79836299421502</v>
      </c>
      <c r="AG176" s="20" t="n">
        <f aca="false">IF(N176&lt;=CapA,1,0)</f>
        <v>0</v>
      </c>
      <c r="AH176" s="20" t="n">
        <f aca="false">IF(N176&lt;=CapB,1,0)</f>
        <v>0</v>
      </c>
      <c r="AI176" s="20" t="n">
        <f aca="false">IF(N176&lt;=CapC,1,0)</f>
        <v>0</v>
      </c>
      <c r="AJ176" s="21" t="n">
        <f aca="false">IF(AG176=1,AD176,-999)</f>
        <v>-999</v>
      </c>
      <c r="AK176" s="21" t="n">
        <f aca="false">IF(AH176=1,AD176,-999)</f>
        <v>-999</v>
      </c>
      <c r="AL176" s="21" t="n">
        <f aca="false">IF(AI176=1,AD176,-999)</f>
        <v>-999</v>
      </c>
      <c r="AM176" s="21" t="str">
        <f aca="false">C176&amp;"|"&amp;E176&amp;"|"&amp;G176&amp;"|"&amp;TEXT(AJ176,"0.00000")</f>
        <v>4|2|10|-999.00000</v>
      </c>
      <c r="AN176" s="21" t="str">
        <f aca="false">C176&amp;"|"&amp;E176&amp;"|"&amp;G176&amp;"|"&amp;TEXT(AK176,"0.00000")</f>
        <v>4|2|10|-999.00000</v>
      </c>
      <c r="AO176" s="21" t="str">
        <f aca="false">C176&amp;"|"&amp;E176&amp;"|"&amp;G176&amp;"|"&amp;TEXT(AL176,"0.00000")</f>
        <v>4|2|10|-999.00000</v>
      </c>
    </row>
    <row r="177" customFormat="false" ht="15" hidden="false" customHeight="false" outlineLevel="0" collapsed="false">
      <c r="A177" s="20" t="n">
        <v>6</v>
      </c>
      <c r="B177" s="18" t="str">
        <f aca="false">INDEX(C_Name,A177)</f>
        <v>신길 보라매SK뷰 84.98㎡</v>
      </c>
      <c r="C177" s="20" t="n">
        <v>4</v>
      </c>
      <c r="D177" s="21" t="str">
        <f aca="false">CHOOSE(C177,"1안 표준형(대출 최대)","2안 절충형(대출 50%)","3안 무대출형","4안 임대차 승계 후 입주","5안 매수 보류(전세 거주)")</f>
        <v>4안 임대차 승계 후 입주</v>
      </c>
      <c r="E177" s="20" t="n">
        <v>3</v>
      </c>
      <c r="F177" s="10" t="n">
        <f aca="false">CHOOSE(E177,GrowLo,GrowMid,GrowHi)</f>
        <v>0.06</v>
      </c>
      <c r="G177" s="20" t="n">
        <v>5</v>
      </c>
      <c r="H177" s="18" t="n">
        <f aca="false">INDEX(C_Price,A177)</f>
        <v>20.4</v>
      </c>
      <c r="I177" s="18" t="n">
        <f aca="false">INDEX(C_Jeonse,A177)</f>
        <v>10.608</v>
      </c>
      <c r="J177" s="21" t="n">
        <f aca="false">IF(C177=5,0,IF(C177=1,INDEX(C_Loan,A177),IF(C177=2,INDEX(C_Loan,A177)*LoanShare2,IF(C177=3,0,MIN(INDEX(C_Loan,A177),I177)))))</f>
        <v>4</v>
      </c>
      <c r="K177" s="18" t="n">
        <f aca="false">IF(C177=5,0,INDEX(C_Acq,A177))</f>
        <v>0.6732</v>
      </c>
      <c r="L177" s="18" t="n">
        <f aca="false">IF(C177=5,0,INDEX(C_Fee,A177))</f>
        <v>0.17708</v>
      </c>
      <c r="M177" s="21" t="n">
        <f aca="false">IF(C177=4,MAX(0,I177-J177),0)</f>
        <v>6.608</v>
      </c>
      <c r="N177" s="21" t="n">
        <f aca="false">IF(C177=5,I177,IF(C177=4,(H177-I177)+K177+L177+M177,H177-J177+K177+L177))</f>
        <v>17.25028</v>
      </c>
      <c r="O177" s="20" t="n">
        <f aca="false">IF(C177=4,RentYears,0)</f>
        <v>2</v>
      </c>
      <c r="P177" s="20" t="n">
        <f aca="false">IF(C177=5,0,MAX(0,G177-O177-NonRes))</f>
        <v>3</v>
      </c>
      <c r="Q177" s="21" t="n">
        <f aca="false">IF(C177=5,0,H177*(1+F177)^G177)</f>
        <v>27.29980178304</v>
      </c>
      <c r="R177" s="21" t="n">
        <f aca="false">IF(C177=5,0,Q177*LOOKUP(Q177,FeeLo,FeeR)*(1+VAT))</f>
        <v>0.210208473729408</v>
      </c>
      <c r="S177" s="21" t="n">
        <f aca="false">IF(J177&gt;0,-CUMIPMT(Rm,LoanYears*12,J177,1,(G177-O177)*12,0),0)</f>
        <v>0.467427048612969</v>
      </c>
      <c r="T177" s="29" t="n">
        <f aca="false">IF(C177=5,0,SUMIFS(Sch_Total,Sch_Idx,A177,Sch_Scen,E177,Sch_Year,"&lt;="&amp;G177))</f>
        <v>0.32813501508841</v>
      </c>
      <c r="U177" s="21" t="n">
        <f aca="false">K177+L177+R177</f>
        <v>1.06048847372941</v>
      </c>
      <c r="V177" s="21" t="n">
        <f aca="false">IF(C177=5,0,Q177-H177-U177)</f>
        <v>5.8393133093106</v>
      </c>
      <c r="W177" s="21" t="n">
        <f aca="false">IF(C177=5,0,MAX(0,IF(P177&gt;=2,IF(Q177&gt;Exempt,V177*(Q177-Exempt)/Q177,0),V177)))</f>
        <v>3.27256354795302</v>
      </c>
      <c r="X177" s="10" t="n">
        <f aca="false">IF(P177&gt;=2,MIN(MaxDed,MIN(0.4,HoldRate*G177)+MIN(0.4,LiveRate*P177)),IF(G177&gt;=3,MIN(0.3,0.02*G177),0))</f>
        <v>0.32</v>
      </c>
      <c r="Y177" s="21" t="n">
        <f aca="false">MAX(0,W177*(1-X177)-InitDed)</f>
        <v>2.20034321260805</v>
      </c>
      <c r="Z177" s="29" t="n">
        <f aca="false">SUMPRODUCT((Y177&gt;CLo)*(Y177-CLo)*CD)*(1+LocalTax)</f>
        <v>0.700403462870165</v>
      </c>
      <c r="AA177" s="21" t="n">
        <f aca="false">K177+T177+Z177</f>
        <v>1.70173847795858</v>
      </c>
      <c r="AB177" s="29" t="n">
        <f aca="false">IF(C177=5,0,(Q177-H177)-K177-L177-R177-S177-T177-Z177)</f>
        <v>4.34334778273905</v>
      </c>
      <c r="AC177" s="21" t="n">
        <f aca="false">IF(C177=5,0,N177*((1+DepRate*(1-DepTax))^G177-1))</f>
        <v>2.30303335603218</v>
      </c>
      <c r="AD177" s="29" t="n">
        <f aca="false">IF(C177=5,0,AB177-AC177+I177*(((1+DepRate*(1-DepTax))^G177-1)-((1+DepRate*(1-DepTax))^O177-1)))</f>
        <v>2.91126165670409</v>
      </c>
      <c r="AE177" s="30" t="n">
        <f aca="false">IF(J177&gt;0,-PMT(Rm,LoanYears*12,J177)*10000,0)</f>
        <v>190.966118186184</v>
      </c>
      <c r="AF177" s="21" t="n">
        <f aca="false">IF(J177&gt;0,-PMT((Rate+Stress)/12,LoanYears*12,J177)*12/DSR,0)</f>
        <v>0.79836299421502</v>
      </c>
      <c r="AG177" s="20" t="n">
        <f aca="false">IF(N177&lt;=CapA,1,0)</f>
        <v>0</v>
      </c>
      <c r="AH177" s="20" t="n">
        <f aca="false">IF(N177&lt;=CapB,1,0)</f>
        <v>0</v>
      </c>
      <c r="AI177" s="20" t="n">
        <f aca="false">IF(N177&lt;=CapC,1,0)</f>
        <v>0</v>
      </c>
      <c r="AJ177" s="21" t="n">
        <f aca="false">IF(AG177=1,AD177,-999)</f>
        <v>-999</v>
      </c>
      <c r="AK177" s="21" t="n">
        <f aca="false">IF(AH177=1,AD177,-999)</f>
        <v>-999</v>
      </c>
      <c r="AL177" s="21" t="n">
        <f aca="false">IF(AI177=1,AD177,-999)</f>
        <v>-999</v>
      </c>
      <c r="AM177" s="21" t="str">
        <f aca="false">C177&amp;"|"&amp;E177&amp;"|"&amp;G177&amp;"|"&amp;TEXT(AJ177,"0.00000")</f>
        <v>4|3|5|-999.00000</v>
      </c>
      <c r="AN177" s="21" t="str">
        <f aca="false">C177&amp;"|"&amp;E177&amp;"|"&amp;G177&amp;"|"&amp;TEXT(AK177,"0.00000")</f>
        <v>4|3|5|-999.00000</v>
      </c>
      <c r="AO177" s="21" t="str">
        <f aca="false">C177&amp;"|"&amp;E177&amp;"|"&amp;G177&amp;"|"&amp;TEXT(AL177,"0.00000")</f>
        <v>4|3|5|-999.00000</v>
      </c>
    </row>
    <row r="178" customFormat="false" ht="15" hidden="false" customHeight="false" outlineLevel="0" collapsed="false">
      <c r="A178" s="20" t="n">
        <v>6</v>
      </c>
      <c r="B178" s="18" t="str">
        <f aca="false">INDEX(C_Name,A178)</f>
        <v>신길 보라매SK뷰 84.98㎡</v>
      </c>
      <c r="C178" s="20" t="n">
        <v>4</v>
      </c>
      <c r="D178" s="21" t="str">
        <f aca="false">CHOOSE(C178,"1안 표준형(대출 최대)","2안 절충형(대출 50%)","3안 무대출형","4안 임대차 승계 후 입주","5안 매수 보류(전세 거주)")</f>
        <v>4안 임대차 승계 후 입주</v>
      </c>
      <c r="E178" s="20" t="n">
        <v>3</v>
      </c>
      <c r="F178" s="10" t="n">
        <f aca="false">CHOOSE(E178,GrowLo,GrowMid,GrowHi)</f>
        <v>0.06</v>
      </c>
      <c r="G178" s="20" t="n">
        <v>10</v>
      </c>
      <c r="H178" s="18" t="n">
        <f aca="false">INDEX(C_Price,A178)</f>
        <v>20.4</v>
      </c>
      <c r="I178" s="18" t="n">
        <f aca="false">INDEX(C_Jeonse,A178)</f>
        <v>10.608</v>
      </c>
      <c r="J178" s="21" t="n">
        <f aca="false">IF(C178=5,0,IF(C178=1,INDEX(C_Loan,A178),IF(C178=2,INDEX(C_Loan,A178)*LoanShare2,IF(C178=3,0,MIN(INDEX(C_Loan,A178),I178)))))</f>
        <v>4</v>
      </c>
      <c r="K178" s="18" t="n">
        <f aca="false">IF(C178=5,0,INDEX(C_Acq,A178))</f>
        <v>0.6732</v>
      </c>
      <c r="L178" s="18" t="n">
        <f aca="false">IF(C178=5,0,INDEX(C_Fee,A178))</f>
        <v>0.17708</v>
      </c>
      <c r="M178" s="21" t="n">
        <f aca="false">IF(C178=4,MAX(0,I178-J178),0)</f>
        <v>6.608</v>
      </c>
      <c r="N178" s="21" t="n">
        <f aca="false">IF(C178=5,I178,IF(C178=4,(H178-I178)+K178+L178+M178,H178-J178+K178+L178))</f>
        <v>17.25028</v>
      </c>
      <c r="O178" s="20" t="n">
        <f aca="false">IF(C178=4,RentYears,0)</f>
        <v>2</v>
      </c>
      <c r="P178" s="20" t="n">
        <f aca="false">IF(C178=5,0,MAX(0,G178-O178-NonRes))</f>
        <v>8</v>
      </c>
      <c r="Q178" s="21" t="n">
        <f aca="false">IF(C178=5,0,H178*(1+F178)^G178)</f>
        <v>36.5332930094742</v>
      </c>
      <c r="R178" s="21" t="n">
        <f aca="false">IF(C178=5,0,Q178*LOOKUP(Q178,FeeLo,FeeR)*(1+VAT))</f>
        <v>0.281306356172952</v>
      </c>
      <c r="S178" s="21" t="n">
        <f aca="false">IF(J178&gt;0,-CUMIPMT(Rm,LoanYears*12,J178,1,(G178-O178)*12,0),0)</f>
        <v>1.18249376679461</v>
      </c>
      <c r="T178" s="29" t="n">
        <f aca="false">IF(C178=5,0,SUMIFS(Sch_Total,Sch_Idx,A178,Sch_Scen,E178,Sch_Year,"&lt;="&amp;G178))</f>
        <v>0.886903721699272</v>
      </c>
      <c r="U178" s="21" t="n">
        <f aca="false">K178+L178+R178</f>
        <v>1.13158635617295</v>
      </c>
      <c r="V178" s="21" t="n">
        <f aca="false">IF(C178=5,0,Q178-H178-U178)</f>
        <v>15.0017066533013</v>
      </c>
      <c r="W178" s="21" t="n">
        <f aca="false">IF(C178=5,0,MAX(0,IF(P178&gt;=2,IF(Q178&gt;Exempt,V178*(Q178-Exempt)/Q178,0),V178)))</f>
        <v>10.0741333356447</v>
      </c>
      <c r="X178" s="10" t="n">
        <f aca="false">IF(P178&gt;=2,MIN(MaxDed,MIN(0.4,HoldRate*G178)+MIN(0.4,LiveRate*P178)),IF(G178&gt;=3,MIN(0.3,0.02*G178),0))</f>
        <v>0.72</v>
      </c>
      <c r="Y178" s="21" t="n">
        <f aca="false">MAX(0,W178*(1-X178)-InitDed)</f>
        <v>2.79575733398051</v>
      </c>
      <c r="Z178" s="29" t="n">
        <f aca="false">SUMPRODUCT((Y178&gt;CLo)*(Y178-CLo)*CD)*(1+LocalTax)</f>
        <v>0.949286565603854</v>
      </c>
      <c r="AA178" s="21" t="n">
        <f aca="false">K178+T178+Z178</f>
        <v>2.50939028730313</v>
      </c>
      <c r="AB178" s="29" t="n">
        <f aca="false">IF(C178=5,0,(Q178-H178)-K178-L178-R178-S178-T178-Z178)</f>
        <v>11.9830225992035</v>
      </c>
      <c r="AC178" s="21" t="n">
        <f aca="false">IF(C178=5,0,N178*((1+DepRate*(1-DepTax))^G178-1))</f>
        <v>4.91353781624335</v>
      </c>
      <c r="AD178" s="29" t="n">
        <f aca="false">IF(C178=5,0,AB178-AC178+I178*(((1+DepRate*(1-DepTax))^G178-1)-((1+DepRate*(1-DepTax))^O178-1)))</f>
        <v>9.54575269841411</v>
      </c>
      <c r="AE178" s="30" t="n">
        <f aca="false">IF(J178&gt;0,-PMT(Rm,LoanYears*12,J178)*10000,0)</f>
        <v>190.966118186184</v>
      </c>
      <c r="AF178" s="21" t="n">
        <f aca="false">IF(J178&gt;0,-PMT((Rate+Stress)/12,LoanYears*12,J178)*12/DSR,0)</f>
        <v>0.79836299421502</v>
      </c>
      <c r="AG178" s="20" t="n">
        <f aca="false">IF(N178&lt;=CapA,1,0)</f>
        <v>0</v>
      </c>
      <c r="AH178" s="20" t="n">
        <f aca="false">IF(N178&lt;=CapB,1,0)</f>
        <v>0</v>
      </c>
      <c r="AI178" s="20" t="n">
        <f aca="false">IF(N178&lt;=CapC,1,0)</f>
        <v>0</v>
      </c>
      <c r="AJ178" s="21" t="n">
        <f aca="false">IF(AG178=1,AD178,-999)</f>
        <v>-999</v>
      </c>
      <c r="AK178" s="21" t="n">
        <f aca="false">IF(AH178=1,AD178,-999)</f>
        <v>-999</v>
      </c>
      <c r="AL178" s="21" t="n">
        <f aca="false">IF(AI178=1,AD178,-999)</f>
        <v>-999</v>
      </c>
      <c r="AM178" s="21" t="str">
        <f aca="false">C178&amp;"|"&amp;E178&amp;"|"&amp;G178&amp;"|"&amp;TEXT(AJ178,"0.00000")</f>
        <v>4|3|10|-999.00000</v>
      </c>
      <c r="AN178" s="21" t="str">
        <f aca="false">C178&amp;"|"&amp;E178&amp;"|"&amp;G178&amp;"|"&amp;TEXT(AK178,"0.00000")</f>
        <v>4|3|10|-999.00000</v>
      </c>
      <c r="AO178" s="21" t="str">
        <f aca="false">C178&amp;"|"&amp;E178&amp;"|"&amp;G178&amp;"|"&amp;TEXT(AL178,"0.00000")</f>
        <v>4|3|10|-999.00000</v>
      </c>
    </row>
    <row r="179" customFormat="false" ht="15" hidden="false" customHeight="false" outlineLevel="0" collapsed="false">
      <c r="A179" s="20" t="n">
        <v>6</v>
      </c>
      <c r="B179" s="18" t="str">
        <f aca="false">INDEX(C_Name,A179)</f>
        <v>신길 보라매SK뷰 84.98㎡</v>
      </c>
      <c r="C179" s="20" t="n">
        <v>5</v>
      </c>
      <c r="D179" s="21" t="str">
        <f aca="false">CHOOSE(C179,"1안 표준형(대출 최대)","2안 절충형(대출 50%)","3안 무대출형","4안 임대차 승계 후 입주","5안 매수 보류(전세 거주)")</f>
        <v>5안 매수 보류(전세 거주)</v>
      </c>
      <c r="E179" s="20" t="n">
        <v>1</v>
      </c>
      <c r="F179" s="10" t="n">
        <f aca="false">CHOOSE(E179,GrowLo,GrowMid,GrowHi)</f>
        <v>0.02</v>
      </c>
      <c r="G179" s="20" t="n">
        <v>5</v>
      </c>
      <c r="H179" s="18" t="n">
        <f aca="false">INDEX(C_Price,A179)</f>
        <v>20.4</v>
      </c>
      <c r="I179" s="18" t="n">
        <f aca="false">INDEX(C_Jeonse,A179)</f>
        <v>10.608</v>
      </c>
      <c r="J179" s="21" t="n">
        <f aca="false">IF(C179=5,0,IF(C179=1,INDEX(C_Loan,A179),IF(C179=2,INDEX(C_Loan,A179)*LoanShare2,IF(C179=3,0,MIN(INDEX(C_Loan,A179),I179)))))</f>
        <v>0</v>
      </c>
      <c r="K179" s="18" t="n">
        <f aca="false">IF(C179=5,0,INDEX(C_Acq,A179))</f>
        <v>0</v>
      </c>
      <c r="L179" s="18" t="n">
        <f aca="false">IF(C179=5,0,INDEX(C_Fee,A179))</f>
        <v>0</v>
      </c>
      <c r="M179" s="21" t="n">
        <f aca="false">IF(C179=4,MAX(0,I179-J179),0)</f>
        <v>0</v>
      </c>
      <c r="N179" s="21" t="n">
        <f aca="false">IF(C179=5,I179,IF(C179=4,(H179-I179)+K179+L179+M179,H179-J179+K179+L179))</f>
        <v>10.608</v>
      </c>
      <c r="O179" s="20" t="n">
        <f aca="false">IF(C179=4,RentYears,0)</f>
        <v>0</v>
      </c>
      <c r="P179" s="20" t="n">
        <f aca="false">IF(C179=5,0,MAX(0,G179-O179-NonRes))</f>
        <v>0</v>
      </c>
      <c r="Q179" s="21" t="n">
        <f aca="false">IF(C179=5,0,H179*(1+F179)^G179)</f>
        <v>0</v>
      </c>
      <c r="R179" s="21" t="n">
        <f aca="false">IF(C179=5,0,Q179*LOOKUP(Q179,FeeLo,FeeR)*(1+VAT))</f>
        <v>0</v>
      </c>
      <c r="S179" s="21" t="n">
        <f aca="false">IF(J179&gt;0,-CUMIPMT(Rm,LoanYears*12,J179,1,(G179-O179)*12,0),0)</f>
        <v>0</v>
      </c>
      <c r="T179" s="29" t="n">
        <f aca="false">IF(C179=5,0,SUMIFS(Sch_Total,Sch_Idx,A179,Sch_Scen,E179,Sch_Year,"&lt;="&amp;G179))</f>
        <v>0</v>
      </c>
      <c r="U179" s="21" t="n">
        <f aca="false">K179+L179+R179</f>
        <v>0</v>
      </c>
      <c r="V179" s="21" t="n">
        <f aca="false">IF(C179=5,0,Q179-H179-U179)</f>
        <v>0</v>
      </c>
      <c r="W179" s="21" t="n">
        <f aca="false">IF(C179=5,0,MAX(0,IF(P179&gt;=2,IF(Q179&gt;Exempt,V179*(Q179-Exempt)/Q179,0),V179)))</f>
        <v>0</v>
      </c>
      <c r="X179" s="10" t="n">
        <f aca="false">IF(P179&gt;=2,MIN(MaxDed,MIN(0.4,HoldRate*G179)+MIN(0.4,LiveRate*P179)),IF(G179&gt;=3,MIN(0.3,0.02*G179),0))</f>
        <v>0.1</v>
      </c>
      <c r="Y179" s="21" t="n">
        <f aca="false">MAX(0,W179*(1-X179)-InitDed)</f>
        <v>0</v>
      </c>
      <c r="Z179" s="29" t="n">
        <f aca="false">SUMPRODUCT((Y179&gt;CLo)*(Y179-CLo)*CD)*(1+LocalTax)</f>
        <v>0</v>
      </c>
      <c r="AA179" s="21" t="n">
        <f aca="false">K179+T179+Z179</f>
        <v>0</v>
      </c>
      <c r="AB179" s="29" t="n">
        <f aca="false">IF(C179=5,0,(Q179-H179)-K179-L179-R179-S179-T179-Z179)</f>
        <v>0</v>
      </c>
      <c r="AC179" s="21" t="n">
        <f aca="false">IF(C179=5,0,N179*((1+DepRate*(1-DepTax))^G179-1))</f>
        <v>0</v>
      </c>
      <c r="AD179" s="29" t="n">
        <f aca="false">IF(C179=5,0,AB179-AC179+I179*(((1+DepRate*(1-DepTax))^G179-1)-((1+DepRate*(1-DepTax))^O179-1)))</f>
        <v>0</v>
      </c>
      <c r="AE179" s="30" t="n">
        <f aca="false">IF(J179&gt;0,-PMT(Rm,LoanYears*12,J179)*10000,0)</f>
        <v>0</v>
      </c>
      <c r="AF179" s="21" t="n">
        <f aca="false">IF(J179&gt;0,-PMT((Rate+Stress)/12,LoanYears*12,J179)*12/DSR,0)</f>
        <v>0</v>
      </c>
      <c r="AG179" s="20" t="n">
        <f aca="false">IF(N179&lt;=CapA,1,0)</f>
        <v>1</v>
      </c>
      <c r="AH179" s="20" t="n">
        <f aca="false">IF(N179&lt;=CapB,1,0)</f>
        <v>1</v>
      </c>
      <c r="AI179" s="20" t="n">
        <f aca="false">IF(N179&lt;=CapC,1,0)</f>
        <v>1</v>
      </c>
      <c r="AJ179" s="21" t="n">
        <f aca="false">IF(AG179=1,AD179,-999)</f>
        <v>0</v>
      </c>
      <c r="AK179" s="21" t="n">
        <f aca="false">IF(AH179=1,AD179,-999)</f>
        <v>0</v>
      </c>
      <c r="AL179" s="21" t="n">
        <f aca="false">IF(AI179=1,AD179,-999)</f>
        <v>0</v>
      </c>
      <c r="AM179" s="21" t="str">
        <f aca="false">C179&amp;"|"&amp;E179&amp;"|"&amp;G179&amp;"|"&amp;TEXT(AJ179,"0.00000")</f>
        <v>5|1|5|0.00000</v>
      </c>
      <c r="AN179" s="21" t="str">
        <f aca="false">C179&amp;"|"&amp;E179&amp;"|"&amp;G179&amp;"|"&amp;TEXT(AK179,"0.00000")</f>
        <v>5|1|5|0.00000</v>
      </c>
      <c r="AO179" s="21" t="str">
        <f aca="false">C179&amp;"|"&amp;E179&amp;"|"&amp;G179&amp;"|"&amp;TEXT(AL179,"0.00000")</f>
        <v>5|1|5|0.00000</v>
      </c>
    </row>
    <row r="180" customFormat="false" ht="15" hidden="false" customHeight="false" outlineLevel="0" collapsed="false">
      <c r="A180" s="20" t="n">
        <v>6</v>
      </c>
      <c r="B180" s="18" t="str">
        <f aca="false">INDEX(C_Name,A180)</f>
        <v>신길 보라매SK뷰 84.98㎡</v>
      </c>
      <c r="C180" s="20" t="n">
        <v>5</v>
      </c>
      <c r="D180" s="21" t="str">
        <f aca="false">CHOOSE(C180,"1안 표준형(대출 최대)","2안 절충형(대출 50%)","3안 무대출형","4안 임대차 승계 후 입주","5안 매수 보류(전세 거주)")</f>
        <v>5안 매수 보류(전세 거주)</v>
      </c>
      <c r="E180" s="20" t="n">
        <v>1</v>
      </c>
      <c r="F180" s="10" t="n">
        <f aca="false">CHOOSE(E180,GrowLo,GrowMid,GrowHi)</f>
        <v>0.02</v>
      </c>
      <c r="G180" s="20" t="n">
        <v>10</v>
      </c>
      <c r="H180" s="18" t="n">
        <f aca="false">INDEX(C_Price,A180)</f>
        <v>20.4</v>
      </c>
      <c r="I180" s="18" t="n">
        <f aca="false">INDEX(C_Jeonse,A180)</f>
        <v>10.608</v>
      </c>
      <c r="J180" s="21" t="n">
        <f aca="false">IF(C180=5,0,IF(C180=1,INDEX(C_Loan,A180),IF(C180=2,INDEX(C_Loan,A180)*LoanShare2,IF(C180=3,0,MIN(INDEX(C_Loan,A180),I180)))))</f>
        <v>0</v>
      </c>
      <c r="K180" s="18" t="n">
        <f aca="false">IF(C180=5,0,INDEX(C_Acq,A180))</f>
        <v>0</v>
      </c>
      <c r="L180" s="18" t="n">
        <f aca="false">IF(C180=5,0,INDEX(C_Fee,A180))</f>
        <v>0</v>
      </c>
      <c r="M180" s="21" t="n">
        <f aca="false">IF(C180=4,MAX(0,I180-J180),0)</f>
        <v>0</v>
      </c>
      <c r="N180" s="21" t="n">
        <f aca="false">IF(C180=5,I180,IF(C180=4,(H180-I180)+K180+L180+M180,H180-J180+K180+L180))</f>
        <v>10.608</v>
      </c>
      <c r="O180" s="20" t="n">
        <f aca="false">IF(C180=4,RentYears,0)</f>
        <v>0</v>
      </c>
      <c r="P180" s="20" t="n">
        <f aca="false">IF(C180=5,0,MAX(0,G180-O180-NonRes))</f>
        <v>0</v>
      </c>
      <c r="Q180" s="21" t="n">
        <f aca="false">IF(C180=5,0,H180*(1+F180)^G180)</f>
        <v>0</v>
      </c>
      <c r="R180" s="21" t="n">
        <f aca="false">IF(C180=5,0,Q180*LOOKUP(Q180,FeeLo,FeeR)*(1+VAT))</f>
        <v>0</v>
      </c>
      <c r="S180" s="21" t="n">
        <f aca="false">IF(J180&gt;0,-CUMIPMT(Rm,LoanYears*12,J180,1,(G180-O180)*12,0),0)</f>
        <v>0</v>
      </c>
      <c r="T180" s="29" t="n">
        <f aca="false">IF(C180=5,0,SUMIFS(Sch_Total,Sch_Idx,A180,Sch_Scen,E180,Sch_Year,"&lt;="&amp;G180))</f>
        <v>0</v>
      </c>
      <c r="U180" s="21" t="n">
        <f aca="false">K180+L180+R180</f>
        <v>0</v>
      </c>
      <c r="V180" s="21" t="n">
        <f aca="false">IF(C180=5,0,Q180-H180-U180)</f>
        <v>0</v>
      </c>
      <c r="W180" s="21" t="n">
        <f aca="false">IF(C180=5,0,MAX(0,IF(P180&gt;=2,IF(Q180&gt;Exempt,V180*(Q180-Exempt)/Q180,0),V180)))</f>
        <v>0</v>
      </c>
      <c r="X180" s="10" t="n">
        <f aca="false">IF(P180&gt;=2,MIN(MaxDed,MIN(0.4,HoldRate*G180)+MIN(0.4,LiveRate*P180)),IF(G180&gt;=3,MIN(0.3,0.02*G180),0))</f>
        <v>0.2</v>
      </c>
      <c r="Y180" s="21" t="n">
        <f aca="false">MAX(0,W180*(1-X180)-InitDed)</f>
        <v>0</v>
      </c>
      <c r="Z180" s="29" t="n">
        <f aca="false">SUMPRODUCT((Y180&gt;CLo)*(Y180-CLo)*CD)*(1+LocalTax)</f>
        <v>0</v>
      </c>
      <c r="AA180" s="21" t="n">
        <f aca="false">K180+T180+Z180</f>
        <v>0</v>
      </c>
      <c r="AB180" s="29" t="n">
        <f aca="false">IF(C180=5,0,(Q180-H180)-K180-L180-R180-S180-T180-Z180)</f>
        <v>0</v>
      </c>
      <c r="AC180" s="21" t="n">
        <f aca="false">IF(C180=5,0,N180*((1+DepRate*(1-DepTax))^G180-1))</f>
        <v>0</v>
      </c>
      <c r="AD180" s="29" t="n">
        <f aca="false">IF(C180=5,0,AB180-AC180+I180*(((1+DepRate*(1-DepTax))^G180-1)-((1+DepRate*(1-DepTax))^O180-1)))</f>
        <v>0</v>
      </c>
      <c r="AE180" s="30" t="n">
        <f aca="false">IF(J180&gt;0,-PMT(Rm,LoanYears*12,J180)*10000,0)</f>
        <v>0</v>
      </c>
      <c r="AF180" s="21" t="n">
        <f aca="false">IF(J180&gt;0,-PMT((Rate+Stress)/12,LoanYears*12,J180)*12/DSR,0)</f>
        <v>0</v>
      </c>
      <c r="AG180" s="20" t="n">
        <f aca="false">IF(N180&lt;=CapA,1,0)</f>
        <v>1</v>
      </c>
      <c r="AH180" s="20" t="n">
        <f aca="false">IF(N180&lt;=CapB,1,0)</f>
        <v>1</v>
      </c>
      <c r="AI180" s="20" t="n">
        <f aca="false">IF(N180&lt;=CapC,1,0)</f>
        <v>1</v>
      </c>
      <c r="AJ180" s="21" t="n">
        <f aca="false">IF(AG180=1,AD180,-999)</f>
        <v>0</v>
      </c>
      <c r="AK180" s="21" t="n">
        <f aca="false">IF(AH180=1,AD180,-999)</f>
        <v>0</v>
      </c>
      <c r="AL180" s="21" t="n">
        <f aca="false">IF(AI180=1,AD180,-999)</f>
        <v>0</v>
      </c>
      <c r="AM180" s="21" t="str">
        <f aca="false">C180&amp;"|"&amp;E180&amp;"|"&amp;G180&amp;"|"&amp;TEXT(AJ180,"0.00000")</f>
        <v>5|1|10|0.00000</v>
      </c>
      <c r="AN180" s="21" t="str">
        <f aca="false">C180&amp;"|"&amp;E180&amp;"|"&amp;G180&amp;"|"&amp;TEXT(AK180,"0.00000")</f>
        <v>5|1|10|0.00000</v>
      </c>
      <c r="AO180" s="21" t="str">
        <f aca="false">C180&amp;"|"&amp;E180&amp;"|"&amp;G180&amp;"|"&amp;TEXT(AL180,"0.00000")</f>
        <v>5|1|10|0.00000</v>
      </c>
    </row>
    <row r="181" customFormat="false" ht="15" hidden="false" customHeight="false" outlineLevel="0" collapsed="false">
      <c r="A181" s="20" t="n">
        <v>6</v>
      </c>
      <c r="B181" s="18" t="str">
        <f aca="false">INDEX(C_Name,A181)</f>
        <v>신길 보라매SK뷰 84.98㎡</v>
      </c>
      <c r="C181" s="20" t="n">
        <v>5</v>
      </c>
      <c r="D181" s="21" t="str">
        <f aca="false">CHOOSE(C181,"1안 표준형(대출 최대)","2안 절충형(대출 50%)","3안 무대출형","4안 임대차 승계 후 입주","5안 매수 보류(전세 거주)")</f>
        <v>5안 매수 보류(전세 거주)</v>
      </c>
      <c r="E181" s="20" t="n">
        <v>2</v>
      </c>
      <c r="F181" s="10" t="n">
        <f aca="false">CHOOSE(E181,GrowLo,GrowMid,GrowHi)</f>
        <v>0.04</v>
      </c>
      <c r="G181" s="20" t="n">
        <v>5</v>
      </c>
      <c r="H181" s="18" t="n">
        <f aca="false">INDEX(C_Price,A181)</f>
        <v>20.4</v>
      </c>
      <c r="I181" s="18" t="n">
        <f aca="false">INDEX(C_Jeonse,A181)</f>
        <v>10.608</v>
      </c>
      <c r="J181" s="21" t="n">
        <f aca="false">IF(C181=5,0,IF(C181=1,INDEX(C_Loan,A181),IF(C181=2,INDEX(C_Loan,A181)*LoanShare2,IF(C181=3,0,MIN(INDEX(C_Loan,A181),I181)))))</f>
        <v>0</v>
      </c>
      <c r="K181" s="18" t="n">
        <f aca="false">IF(C181=5,0,INDEX(C_Acq,A181))</f>
        <v>0</v>
      </c>
      <c r="L181" s="18" t="n">
        <f aca="false">IF(C181=5,0,INDEX(C_Fee,A181))</f>
        <v>0</v>
      </c>
      <c r="M181" s="21" t="n">
        <f aca="false">IF(C181=4,MAX(0,I181-J181),0)</f>
        <v>0</v>
      </c>
      <c r="N181" s="21" t="n">
        <f aca="false">IF(C181=5,I181,IF(C181=4,(H181-I181)+K181+L181+M181,H181-J181+K181+L181))</f>
        <v>10.608</v>
      </c>
      <c r="O181" s="20" t="n">
        <f aca="false">IF(C181=4,RentYears,0)</f>
        <v>0</v>
      </c>
      <c r="P181" s="20" t="n">
        <f aca="false">IF(C181=5,0,MAX(0,G181-O181-NonRes))</f>
        <v>0</v>
      </c>
      <c r="Q181" s="21" t="n">
        <f aca="false">IF(C181=5,0,H181*(1+F181)^G181)</f>
        <v>0</v>
      </c>
      <c r="R181" s="21" t="n">
        <f aca="false">IF(C181=5,0,Q181*LOOKUP(Q181,FeeLo,FeeR)*(1+VAT))</f>
        <v>0</v>
      </c>
      <c r="S181" s="21" t="n">
        <f aca="false">IF(J181&gt;0,-CUMIPMT(Rm,LoanYears*12,J181,1,(G181-O181)*12,0),0)</f>
        <v>0</v>
      </c>
      <c r="T181" s="29" t="n">
        <f aca="false">IF(C181=5,0,SUMIFS(Sch_Total,Sch_Idx,A181,Sch_Scen,E181,Sch_Year,"&lt;="&amp;G181))</f>
        <v>0</v>
      </c>
      <c r="U181" s="21" t="n">
        <f aca="false">K181+L181+R181</f>
        <v>0</v>
      </c>
      <c r="V181" s="21" t="n">
        <f aca="false">IF(C181=5,0,Q181-H181-U181)</f>
        <v>0</v>
      </c>
      <c r="W181" s="21" t="n">
        <f aca="false">IF(C181=5,0,MAX(0,IF(P181&gt;=2,IF(Q181&gt;Exempt,V181*(Q181-Exempt)/Q181,0),V181)))</f>
        <v>0</v>
      </c>
      <c r="X181" s="10" t="n">
        <f aca="false">IF(P181&gt;=2,MIN(MaxDed,MIN(0.4,HoldRate*G181)+MIN(0.4,LiveRate*P181)),IF(G181&gt;=3,MIN(0.3,0.02*G181),0))</f>
        <v>0.1</v>
      </c>
      <c r="Y181" s="21" t="n">
        <f aca="false">MAX(0,W181*(1-X181)-InitDed)</f>
        <v>0</v>
      </c>
      <c r="Z181" s="29" t="n">
        <f aca="false">SUMPRODUCT((Y181&gt;CLo)*(Y181-CLo)*CD)*(1+LocalTax)</f>
        <v>0</v>
      </c>
      <c r="AA181" s="21" t="n">
        <f aca="false">K181+T181+Z181</f>
        <v>0</v>
      </c>
      <c r="AB181" s="29" t="n">
        <f aca="false">IF(C181=5,0,(Q181-H181)-K181-L181-R181-S181-T181-Z181)</f>
        <v>0</v>
      </c>
      <c r="AC181" s="21" t="n">
        <f aca="false">IF(C181=5,0,N181*((1+DepRate*(1-DepTax))^G181-1))</f>
        <v>0</v>
      </c>
      <c r="AD181" s="29" t="n">
        <f aca="false">IF(C181=5,0,AB181-AC181+I181*(((1+DepRate*(1-DepTax))^G181-1)-((1+DepRate*(1-DepTax))^O181-1)))</f>
        <v>0</v>
      </c>
      <c r="AE181" s="30" t="n">
        <f aca="false">IF(J181&gt;0,-PMT(Rm,LoanYears*12,J181)*10000,0)</f>
        <v>0</v>
      </c>
      <c r="AF181" s="21" t="n">
        <f aca="false">IF(J181&gt;0,-PMT((Rate+Stress)/12,LoanYears*12,J181)*12/DSR,0)</f>
        <v>0</v>
      </c>
      <c r="AG181" s="20" t="n">
        <f aca="false">IF(N181&lt;=CapA,1,0)</f>
        <v>1</v>
      </c>
      <c r="AH181" s="20" t="n">
        <f aca="false">IF(N181&lt;=CapB,1,0)</f>
        <v>1</v>
      </c>
      <c r="AI181" s="20" t="n">
        <f aca="false">IF(N181&lt;=CapC,1,0)</f>
        <v>1</v>
      </c>
      <c r="AJ181" s="21" t="n">
        <f aca="false">IF(AG181=1,AD181,-999)</f>
        <v>0</v>
      </c>
      <c r="AK181" s="21" t="n">
        <f aca="false">IF(AH181=1,AD181,-999)</f>
        <v>0</v>
      </c>
      <c r="AL181" s="21" t="n">
        <f aca="false">IF(AI181=1,AD181,-999)</f>
        <v>0</v>
      </c>
      <c r="AM181" s="21" t="str">
        <f aca="false">C181&amp;"|"&amp;E181&amp;"|"&amp;G181&amp;"|"&amp;TEXT(AJ181,"0.00000")</f>
        <v>5|2|5|0.00000</v>
      </c>
      <c r="AN181" s="21" t="str">
        <f aca="false">C181&amp;"|"&amp;E181&amp;"|"&amp;G181&amp;"|"&amp;TEXT(AK181,"0.00000")</f>
        <v>5|2|5|0.00000</v>
      </c>
      <c r="AO181" s="21" t="str">
        <f aca="false">C181&amp;"|"&amp;E181&amp;"|"&amp;G181&amp;"|"&amp;TEXT(AL181,"0.00000")</f>
        <v>5|2|5|0.00000</v>
      </c>
    </row>
    <row r="182" customFormat="false" ht="15" hidden="false" customHeight="false" outlineLevel="0" collapsed="false">
      <c r="A182" s="20" t="n">
        <v>6</v>
      </c>
      <c r="B182" s="18" t="str">
        <f aca="false">INDEX(C_Name,A182)</f>
        <v>신길 보라매SK뷰 84.98㎡</v>
      </c>
      <c r="C182" s="20" t="n">
        <v>5</v>
      </c>
      <c r="D182" s="21" t="str">
        <f aca="false">CHOOSE(C182,"1안 표준형(대출 최대)","2안 절충형(대출 50%)","3안 무대출형","4안 임대차 승계 후 입주","5안 매수 보류(전세 거주)")</f>
        <v>5안 매수 보류(전세 거주)</v>
      </c>
      <c r="E182" s="20" t="n">
        <v>2</v>
      </c>
      <c r="F182" s="10" t="n">
        <f aca="false">CHOOSE(E182,GrowLo,GrowMid,GrowHi)</f>
        <v>0.04</v>
      </c>
      <c r="G182" s="20" t="n">
        <v>10</v>
      </c>
      <c r="H182" s="18" t="n">
        <f aca="false">INDEX(C_Price,A182)</f>
        <v>20.4</v>
      </c>
      <c r="I182" s="18" t="n">
        <f aca="false">INDEX(C_Jeonse,A182)</f>
        <v>10.608</v>
      </c>
      <c r="J182" s="21" t="n">
        <f aca="false">IF(C182=5,0,IF(C182=1,INDEX(C_Loan,A182),IF(C182=2,INDEX(C_Loan,A182)*LoanShare2,IF(C182=3,0,MIN(INDEX(C_Loan,A182),I182)))))</f>
        <v>0</v>
      </c>
      <c r="K182" s="18" t="n">
        <f aca="false">IF(C182=5,0,INDEX(C_Acq,A182))</f>
        <v>0</v>
      </c>
      <c r="L182" s="18" t="n">
        <f aca="false">IF(C182=5,0,INDEX(C_Fee,A182))</f>
        <v>0</v>
      </c>
      <c r="M182" s="21" t="n">
        <f aca="false">IF(C182=4,MAX(0,I182-J182),0)</f>
        <v>0</v>
      </c>
      <c r="N182" s="21" t="n">
        <f aca="false">IF(C182=5,I182,IF(C182=4,(H182-I182)+K182+L182+M182,H182-J182+K182+L182))</f>
        <v>10.608</v>
      </c>
      <c r="O182" s="20" t="n">
        <f aca="false">IF(C182=4,RentYears,0)</f>
        <v>0</v>
      </c>
      <c r="P182" s="20" t="n">
        <f aca="false">IF(C182=5,0,MAX(0,G182-O182-NonRes))</f>
        <v>0</v>
      </c>
      <c r="Q182" s="21" t="n">
        <f aca="false">IF(C182=5,0,H182*(1+F182)^G182)</f>
        <v>0</v>
      </c>
      <c r="R182" s="21" t="n">
        <f aca="false">IF(C182=5,0,Q182*LOOKUP(Q182,FeeLo,FeeR)*(1+VAT))</f>
        <v>0</v>
      </c>
      <c r="S182" s="21" t="n">
        <f aca="false">IF(J182&gt;0,-CUMIPMT(Rm,LoanYears*12,J182,1,(G182-O182)*12,0),0)</f>
        <v>0</v>
      </c>
      <c r="T182" s="29" t="n">
        <f aca="false">IF(C182=5,0,SUMIFS(Sch_Total,Sch_Idx,A182,Sch_Scen,E182,Sch_Year,"&lt;="&amp;G182))</f>
        <v>0</v>
      </c>
      <c r="U182" s="21" t="n">
        <f aca="false">K182+L182+R182</f>
        <v>0</v>
      </c>
      <c r="V182" s="21" t="n">
        <f aca="false">IF(C182=5,0,Q182-H182-U182)</f>
        <v>0</v>
      </c>
      <c r="W182" s="21" t="n">
        <f aca="false">IF(C182=5,0,MAX(0,IF(P182&gt;=2,IF(Q182&gt;Exempt,V182*(Q182-Exempt)/Q182,0),V182)))</f>
        <v>0</v>
      </c>
      <c r="X182" s="10" t="n">
        <f aca="false">IF(P182&gt;=2,MIN(MaxDed,MIN(0.4,HoldRate*G182)+MIN(0.4,LiveRate*P182)),IF(G182&gt;=3,MIN(0.3,0.02*G182),0))</f>
        <v>0.2</v>
      </c>
      <c r="Y182" s="21" t="n">
        <f aca="false">MAX(0,W182*(1-X182)-InitDed)</f>
        <v>0</v>
      </c>
      <c r="Z182" s="29" t="n">
        <f aca="false">SUMPRODUCT((Y182&gt;CLo)*(Y182-CLo)*CD)*(1+LocalTax)</f>
        <v>0</v>
      </c>
      <c r="AA182" s="21" t="n">
        <f aca="false">K182+T182+Z182</f>
        <v>0</v>
      </c>
      <c r="AB182" s="29" t="n">
        <f aca="false">IF(C182=5,0,(Q182-H182)-K182-L182-R182-S182-T182-Z182)</f>
        <v>0</v>
      </c>
      <c r="AC182" s="21" t="n">
        <f aca="false">IF(C182=5,0,N182*((1+DepRate*(1-DepTax))^G182-1))</f>
        <v>0</v>
      </c>
      <c r="AD182" s="29" t="n">
        <f aca="false">IF(C182=5,0,AB182-AC182+I182*(((1+DepRate*(1-DepTax))^G182-1)-((1+DepRate*(1-DepTax))^O182-1)))</f>
        <v>0</v>
      </c>
      <c r="AE182" s="30" t="n">
        <f aca="false">IF(J182&gt;0,-PMT(Rm,LoanYears*12,J182)*10000,0)</f>
        <v>0</v>
      </c>
      <c r="AF182" s="21" t="n">
        <f aca="false">IF(J182&gt;0,-PMT((Rate+Stress)/12,LoanYears*12,J182)*12/DSR,0)</f>
        <v>0</v>
      </c>
      <c r="AG182" s="20" t="n">
        <f aca="false">IF(N182&lt;=CapA,1,0)</f>
        <v>1</v>
      </c>
      <c r="AH182" s="20" t="n">
        <f aca="false">IF(N182&lt;=CapB,1,0)</f>
        <v>1</v>
      </c>
      <c r="AI182" s="20" t="n">
        <f aca="false">IF(N182&lt;=CapC,1,0)</f>
        <v>1</v>
      </c>
      <c r="AJ182" s="21" t="n">
        <f aca="false">IF(AG182=1,AD182,-999)</f>
        <v>0</v>
      </c>
      <c r="AK182" s="21" t="n">
        <f aca="false">IF(AH182=1,AD182,-999)</f>
        <v>0</v>
      </c>
      <c r="AL182" s="21" t="n">
        <f aca="false">IF(AI182=1,AD182,-999)</f>
        <v>0</v>
      </c>
      <c r="AM182" s="21" t="str">
        <f aca="false">C182&amp;"|"&amp;E182&amp;"|"&amp;G182&amp;"|"&amp;TEXT(AJ182,"0.00000")</f>
        <v>5|2|10|0.00000</v>
      </c>
      <c r="AN182" s="21" t="str">
        <f aca="false">C182&amp;"|"&amp;E182&amp;"|"&amp;G182&amp;"|"&amp;TEXT(AK182,"0.00000")</f>
        <v>5|2|10|0.00000</v>
      </c>
      <c r="AO182" s="21" t="str">
        <f aca="false">C182&amp;"|"&amp;E182&amp;"|"&amp;G182&amp;"|"&amp;TEXT(AL182,"0.00000")</f>
        <v>5|2|10|0.00000</v>
      </c>
    </row>
    <row r="183" customFormat="false" ht="15" hidden="false" customHeight="false" outlineLevel="0" collapsed="false">
      <c r="A183" s="20" t="n">
        <v>6</v>
      </c>
      <c r="B183" s="18" t="str">
        <f aca="false">INDEX(C_Name,A183)</f>
        <v>신길 보라매SK뷰 84.98㎡</v>
      </c>
      <c r="C183" s="20" t="n">
        <v>5</v>
      </c>
      <c r="D183" s="21" t="str">
        <f aca="false">CHOOSE(C183,"1안 표준형(대출 최대)","2안 절충형(대출 50%)","3안 무대출형","4안 임대차 승계 후 입주","5안 매수 보류(전세 거주)")</f>
        <v>5안 매수 보류(전세 거주)</v>
      </c>
      <c r="E183" s="20" t="n">
        <v>3</v>
      </c>
      <c r="F183" s="10" t="n">
        <f aca="false">CHOOSE(E183,GrowLo,GrowMid,GrowHi)</f>
        <v>0.06</v>
      </c>
      <c r="G183" s="20" t="n">
        <v>5</v>
      </c>
      <c r="H183" s="18" t="n">
        <f aca="false">INDEX(C_Price,A183)</f>
        <v>20.4</v>
      </c>
      <c r="I183" s="18" t="n">
        <f aca="false">INDEX(C_Jeonse,A183)</f>
        <v>10.608</v>
      </c>
      <c r="J183" s="21" t="n">
        <f aca="false">IF(C183=5,0,IF(C183=1,INDEX(C_Loan,A183),IF(C183=2,INDEX(C_Loan,A183)*LoanShare2,IF(C183=3,0,MIN(INDEX(C_Loan,A183),I183)))))</f>
        <v>0</v>
      </c>
      <c r="K183" s="18" t="n">
        <f aca="false">IF(C183=5,0,INDEX(C_Acq,A183))</f>
        <v>0</v>
      </c>
      <c r="L183" s="18" t="n">
        <f aca="false">IF(C183=5,0,INDEX(C_Fee,A183))</f>
        <v>0</v>
      </c>
      <c r="M183" s="21" t="n">
        <f aca="false">IF(C183=4,MAX(0,I183-J183),0)</f>
        <v>0</v>
      </c>
      <c r="N183" s="21" t="n">
        <f aca="false">IF(C183=5,I183,IF(C183=4,(H183-I183)+K183+L183+M183,H183-J183+K183+L183))</f>
        <v>10.608</v>
      </c>
      <c r="O183" s="20" t="n">
        <f aca="false">IF(C183=4,RentYears,0)</f>
        <v>0</v>
      </c>
      <c r="P183" s="20" t="n">
        <f aca="false">IF(C183=5,0,MAX(0,G183-O183-NonRes))</f>
        <v>0</v>
      </c>
      <c r="Q183" s="21" t="n">
        <f aca="false">IF(C183=5,0,H183*(1+F183)^G183)</f>
        <v>0</v>
      </c>
      <c r="R183" s="21" t="n">
        <f aca="false">IF(C183=5,0,Q183*LOOKUP(Q183,FeeLo,FeeR)*(1+VAT))</f>
        <v>0</v>
      </c>
      <c r="S183" s="21" t="n">
        <f aca="false">IF(J183&gt;0,-CUMIPMT(Rm,LoanYears*12,J183,1,(G183-O183)*12,0),0)</f>
        <v>0</v>
      </c>
      <c r="T183" s="29" t="n">
        <f aca="false">IF(C183=5,0,SUMIFS(Sch_Total,Sch_Idx,A183,Sch_Scen,E183,Sch_Year,"&lt;="&amp;G183))</f>
        <v>0</v>
      </c>
      <c r="U183" s="21" t="n">
        <f aca="false">K183+L183+R183</f>
        <v>0</v>
      </c>
      <c r="V183" s="21" t="n">
        <f aca="false">IF(C183=5,0,Q183-H183-U183)</f>
        <v>0</v>
      </c>
      <c r="W183" s="21" t="n">
        <f aca="false">IF(C183=5,0,MAX(0,IF(P183&gt;=2,IF(Q183&gt;Exempt,V183*(Q183-Exempt)/Q183,0),V183)))</f>
        <v>0</v>
      </c>
      <c r="X183" s="10" t="n">
        <f aca="false">IF(P183&gt;=2,MIN(MaxDed,MIN(0.4,HoldRate*G183)+MIN(0.4,LiveRate*P183)),IF(G183&gt;=3,MIN(0.3,0.02*G183),0))</f>
        <v>0.1</v>
      </c>
      <c r="Y183" s="21" t="n">
        <f aca="false">MAX(0,W183*(1-X183)-InitDed)</f>
        <v>0</v>
      </c>
      <c r="Z183" s="29" t="n">
        <f aca="false">SUMPRODUCT((Y183&gt;CLo)*(Y183-CLo)*CD)*(1+LocalTax)</f>
        <v>0</v>
      </c>
      <c r="AA183" s="21" t="n">
        <f aca="false">K183+T183+Z183</f>
        <v>0</v>
      </c>
      <c r="AB183" s="29" t="n">
        <f aca="false">IF(C183=5,0,(Q183-H183)-K183-L183-R183-S183-T183-Z183)</f>
        <v>0</v>
      </c>
      <c r="AC183" s="21" t="n">
        <f aca="false">IF(C183=5,0,N183*((1+DepRate*(1-DepTax))^G183-1))</f>
        <v>0</v>
      </c>
      <c r="AD183" s="29" t="n">
        <f aca="false">IF(C183=5,0,AB183-AC183+I183*(((1+DepRate*(1-DepTax))^G183-1)-((1+DepRate*(1-DepTax))^O183-1)))</f>
        <v>0</v>
      </c>
      <c r="AE183" s="30" t="n">
        <f aca="false">IF(J183&gt;0,-PMT(Rm,LoanYears*12,J183)*10000,0)</f>
        <v>0</v>
      </c>
      <c r="AF183" s="21" t="n">
        <f aca="false">IF(J183&gt;0,-PMT((Rate+Stress)/12,LoanYears*12,J183)*12/DSR,0)</f>
        <v>0</v>
      </c>
      <c r="AG183" s="20" t="n">
        <f aca="false">IF(N183&lt;=CapA,1,0)</f>
        <v>1</v>
      </c>
      <c r="AH183" s="20" t="n">
        <f aca="false">IF(N183&lt;=CapB,1,0)</f>
        <v>1</v>
      </c>
      <c r="AI183" s="20" t="n">
        <f aca="false">IF(N183&lt;=CapC,1,0)</f>
        <v>1</v>
      </c>
      <c r="AJ183" s="21" t="n">
        <f aca="false">IF(AG183=1,AD183,-999)</f>
        <v>0</v>
      </c>
      <c r="AK183" s="21" t="n">
        <f aca="false">IF(AH183=1,AD183,-999)</f>
        <v>0</v>
      </c>
      <c r="AL183" s="21" t="n">
        <f aca="false">IF(AI183=1,AD183,-999)</f>
        <v>0</v>
      </c>
      <c r="AM183" s="21" t="str">
        <f aca="false">C183&amp;"|"&amp;E183&amp;"|"&amp;G183&amp;"|"&amp;TEXT(AJ183,"0.00000")</f>
        <v>5|3|5|0.00000</v>
      </c>
      <c r="AN183" s="21" t="str">
        <f aca="false">C183&amp;"|"&amp;E183&amp;"|"&amp;G183&amp;"|"&amp;TEXT(AK183,"0.00000")</f>
        <v>5|3|5|0.00000</v>
      </c>
      <c r="AO183" s="21" t="str">
        <f aca="false">C183&amp;"|"&amp;E183&amp;"|"&amp;G183&amp;"|"&amp;TEXT(AL183,"0.00000")</f>
        <v>5|3|5|0.00000</v>
      </c>
    </row>
    <row r="184" customFormat="false" ht="15" hidden="false" customHeight="false" outlineLevel="0" collapsed="false">
      <c r="A184" s="20" t="n">
        <v>6</v>
      </c>
      <c r="B184" s="18" t="str">
        <f aca="false">INDEX(C_Name,A184)</f>
        <v>신길 보라매SK뷰 84.98㎡</v>
      </c>
      <c r="C184" s="20" t="n">
        <v>5</v>
      </c>
      <c r="D184" s="21" t="str">
        <f aca="false">CHOOSE(C184,"1안 표준형(대출 최대)","2안 절충형(대출 50%)","3안 무대출형","4안 임대차 승계 후 입주","5안 매수 보류(전세 거주)")</f>
        <v>5안 매수 보류(전세 거주)</v>
      </c>
      <c r="E184" s="20" t="n">
        <v>3</v>
      </c>
      <c r="F184" s="10" t="n">
        <f aca="false">CHOOSE(E184,GrowLo,GrowMid,GrowHi)</f>
        <v>0.06</v>
      </c>
      <c r="G184" s="20" t="n">
        <v>10</v>
      </c>
      <c r="H184" s="18" t="n">
        <f aca="false">INDEX(C_Price,A184)</f>
        <v>20.4</v>
      </c>
      <c r="I184" s="18" t="n">
        <f aca="false">INDEX(C_Jeonse,A184)</f>
        <v>10.608</v>
      </c>
      <c r="J184" s="21" t="n">
        <f aca="false">IF(C184=5,0,IF(C184=1,INDEX(C_Loan,A184),IF(C184=2,INDEX(C_Loan,A184)*LoanShare2,IF(C184=3,0,MIN(INDEX(C_Loan,A184),I184)))))</f>
        <v>0</v>
      </c>
      <c r="K184" s="18" t="n">
        <f aca="false">IF(C184=5,0,INDEX(C_Acq,A184))</f>
        <v>0</v>
      </c>
      <c r="L184" s="18" t="n">
        <f aca="false">IF(C184=5,0,INDEX(C_Fee,A184))</f>
        <v>0</v>
      </c>
      <c r="M184" s="21" t="n">
        <f aca="false">IF(C184=4,MAX(0,I184-J184),0)</f>
        <v>0</v>
      </c>
      <c r="N184" s="21" t="n">
        <f aca="false">IF(C184=5,I184,IF(C184=4,(H184-I184)+K184+L184+M184,H184-J184+K184+L184))</f>
        <v>10.608</v>
      </c>
      <c r="O184" s="20" t="n">
        <f aca="false">IF(C184=4,RentYears,0)</f>
        <v>0</v>
      </c>
      <c r="P184" s="20" t="n">
        <f aca="false">IF(C184=5,0,MAX(0,G184-O184-NonRes))</f>
        <v>0</v>
      </c>
      <c r="Q184" s="21" t="n">
        <f aca="false">IF(C184=5,0,H184*(1+F184)^G184)</f>
        <v>0</v>
      </c>
      <c r="R184" s="21" t="n">
        <f aca="false">IF(C184=5,0,Q184*LOOKUP(Q184,FeeLo,FeeR)*(1+VAT))</f>
        <v>0</v>
      </c>
      <c r="S184" s="21" t="n">
        <f aca="false">IF(J184&gt;0,-CUMIPMT(Rm,LoanYears*12,J184,1,(G184-O184)*12,0),0)</f>
        <v>0</v>
      </c>
      <c r="T184" s="29" t="n">
        <f aca="false">IF(C184=5,0,SUMIFS(Sch_Total,Sch_Idx,A184,Sch_Scen,E184,Sch_Year,"&lt;="&amp;G184))</f>
        <v>0</v>
      </c>
      <c r="U184" s="21" t="n">
        <f aca="false">K184+L184+R184</f>
        <v>0</v>
      </c>
      <c r="V184" s="21" t="n">
        <f aca="false">IF(C184=5,0,Q184-H184-U184)</f>
        <v>0</v>
      </c>
      <c r="W184" s="21" t="n">
        <f aca="false">IF(C184=5,0,MAX(0,IF(P184&gt;=2,IF(Q184&gt;Exempt,V184*(Q184-Exempt)/Q184,0),V184)))</f>
        <v>0</v>
      </c>
      <c r="X184" s="10" t="n">
        <f aca="false">IF(P184&gt;=2,MIN(MaxDed,MIN(0.4,HoldRate*G184)+MIN(0.4,LiveRate*P184)),IF(G184&gt;=3,MIN(0.3,0.02*G184),0))</f>
        <v>0.2</v>
      </c>
      <c r="Y184" s="21" t="n">
        <f aca="false">MAX(0,W184*(1-X184)-InitDed)</f>
        <v>0</v>
      </c>
      <c r="Z184" s="29" t="n">
        <f aca="false">SUMPRODUCT((Y184&gt;CLo)*(Y184-CLo)*CD)*(1+LocalTax)</f>
        <v>0</v>
      </c>
      <c r="AA184" s="21" t="n">
        <f aca="false">K184+T184+Z184</f>
        <v>0</v>
      </c>
      <c r="AB184" s="29" t="n">
        <f aca="false">IF(C184=5,0,(Q184-H184)-K184-L184-R184-S184-T184-Z184)</f>
        <v>0</v>
      </c>
      <c r="AC184" s="21" t="n">
        <f aca="false">IF(C184=5,0,N184*((1+DepRate*(1-DepTax))^G184-1))</f>
        <v>0</v>
      </c>
      <c r="AD184" s="29" t="n">
        <f aca="false">IF(C184=5,0,AB184-AC184+I184*(((1+DepRate*(1-DepTax))^G184-1)-((1+DepRate*(1-DepTax))^O184-1)))</f>
        <v>0</v>
      </c>
      <c r="AE184" s="30" t="n">
        <f aca="false">IF(J184&gt;0,-PMT(Rm,LoanYears*12,J184)*10000,0)</f>
        <v>0</v>
      </c>
      <c r="AF184" s="21" t="n">
        <f aca="false">IF(J184&gt;0,-PMT((Rate+Stress)/12,LoanYears*12,J184)*12/DSR,0)</f>
        <v>0</v>
      </c>
      <c r="AG184" s="20" t="n">
        <f aca="false">IF(N184&lt;=CapA,1,0)</f>
        <v>1</v>
      </c>
      <c r="AH184" s="20" t="n">
        <f aca="false">IF(N184&lt;=CapB,1,0)</f>
        <v>1</v>
      </c>
      <c r="AI184" s="20" t="n">
        <f aca="false">IF(N184&lt;=CapC,1,0)</f>
        <v>1</v>
      </c>
      <c r="AJ184" s="21" t="n">
        <f aca="false">IF(AG184=1,AD184,-999)</f>
        <v>0</v>
      </c>
      <c r="AK184" s="21" t="n">
        <f aca="false">IF(AH184=1,AD184,-999)</f>
        <v>0</v>
      </c>
      <c r="AL184" s="21" t="n">
        <f aca="false">IF(AI184=1,AD184,-999)</f>
        <v>0</v>
      </c>
      <c r="AM184" s="21" t="str">
        <f aca="false">C184&amp;"|"&amp;E184&amp;"|"&amp;G184&amp;"|"&amp;TEXT(AJ184,"0.00000")</f>
        <v>5|3|10|0.00000</v>
      </c>
      <c r="AN184" s="21" t="str">
        <f aca="false">C184&amp;"|"&amp;E184&amp;"|"&amp;G184&amp;"|"&amp;TEXT(AK184,"0.00000")</f>
        <v>5|3|10|0.00000</v>
      </c>
      <c r="AO184" s="21" t="str">
        <f aca="false">C184&amp;"|"&amp;E184&amp;"|"&amp;G184&amp;"|"&amp;TEXT(AL184,"0.00000")</f>
        <v>5|3|10|0.00000</v>
      </c>
    </row>
    <row r="185" customFormat="false" ht="15" hidden="false" customHeight="false" outlineLevel="0" collapsed="false">
      <c r="A185" s="20" t="n">
        <v>7</v>
      </c>
      <c r="B185" s="18" t="str">
        <f aca="false">INDEX(C_Name,A185)</f>
        <v>노량진동 쌍용예가 85㎡</v>
      </c>
      <c r="C185" s="20" t="n">
        <v>1</v>
      </c>
      <c r="D185" s="21" t="str">
        <f aca="false">CHOOSE(C185,"1안 표준형(대출 최대)","2안 절충형(대출 50%)","3안 무대출형","4안 임대차 승계 후 입주","5안 매수 보류(전세 거주)")</f>
        <v>1안 표준형(대출 최대)</v>
      </c>
      <c r="E185" s="20" t="n">
        <v>1</v>
      </c>
      <c r="F185" s="10" t="n">
        <f aca="false">CHOOSE(E185,GrowLo,GrowMid,GrowHi)</f>
        <v>0.02</v>
      </c>
      <c r="G185" s="20" t="n">
        <v>5</v>
      </c>
      <c r="H185" s="18" t="n">
        <f aca="false">INDEX(C_Price,A185)</f>
        <v>14.5</v>
      </c>
      <c r="I185" s="18" t="n">
        <f aca="false">INDEX(C_Jeonse,A185)</f>
        <v>7.54</v>
      </c>
      <c r="J185" s="21" t="n">
        <f aca="false">IF(C185=5,0,IF(C185=1,INDEX(C_Loan,A185),IF(C185=2,INDEX(C_Loan,A185)*LoanShare2,IF(C185=3,0,MIN(INDEX(C_Loan,A185),I185)))))</f>
        <v>5.8</v>
      </c>
      <c r="K185" s="18" t="n">
        <f aca="false">IF(C185=5,0,INDEX(C_Acq,A185))</f>
        <v>0.4785</v>
      </c>
      <c r="L185" s="18" t="n">
        <f aca="false">IF(C185=5,0,INDEX(C_Fee,A185))</f>
        <v>0.1157</v>
      </c>
      <c r="M185" s="21" t="n">
        <f aca="false">IF(C185=4,MAX(0,I185-J185),0)</f>
        <v>0</v>
      </c>
      <c r="N185" s="21" t="n">
        <f aca="false">IF(C185=5,I185,IF(C185=4,(H185-I185)+K185+L185+M185,H185-J185+K185+L185))</f>
        <v>9.2942</v>
      </c>
      <c r="O185" s="20" t="n">
        <f aca="false">IF(C185=4,RentYears,0)</f>
        <v>0</v>
      </c>
      <c r="P185" s="20" t="n">
        <f aca="false">IF(C185=5,0,MAX(0,G185-O185-NonRes))</f>
        <v>5</v>
      </c>
      <c r="Q185" s="21" t="n">
        <f aca="false">IF(C185=5,0,H185*(1+F185)^G185)</f>
        <v>16.0091716464</v>
      </c>
      <c r="R185" s="21" t="n">
        <f aca="false">IF(C185=5,0,Q185*LOOKUP(Q185,FeeLo,FeeR)*(1+VAT))</f>
        <v>0.12327062167728</v>
      </c>
      <c r="S185" s="21" t="n">
        <f aca="false">IF(J185&gt;0,-CUMIPMT(Rm,LoanYears*12,J185,1,(G185-O185)*12,0),0)</f>
        <v>1.10736099011307</v>
      </c>
      <c r="T185" s="29" t="n">
        <f aca="false">IF(C185=5,0,SUMIFS(Sch_Total,Sch_Idx,A185,Sch_Scen,E185,Sch_Year,"&lt;="&amp;G185))</f>
        <v>0.155887089098976</v>
      </c>
      <c r="U185" s="21" t="n">
        <f aca="false">K185+L185+R185</f>
        <v>0.71747062167728</v>
      </c>
      <c r="V185" s="21" t="n">
        <f aca="false">IF(C185=5,0,Q185-H185-U185)</f>
        <v>0.791701024722719</v>
      </c>
      <c r="W185" s="21" t="n">
        <f aca="false">IF(C185=5,0,MAX(0,IF(P185&gt;=2,IF(Q185&gt;Exempt,V185*(Q185-Exempt)/Q185,0),V185)))</f>
        <v>0.198265430020416</v>
      </c>
      <c r="X185" s="10" t="n">
        <f aca="false">IF(P185&gt;=2,MIN(MaxDed,MIN(0.4,HoldRate*G185)+MIN(0.4,LiveRate*P185)),IF(G185&gt;=3,MIN(0.3,0.02*G185),0))</f>
        <v>0.4</v>
      </c>
      <c r="Y185" s="21" t="n">
        <f aca="false">MAX(0,W185*(1-X185)-InitDed)</f>
        <v>0.0939592580122496</v>
      </c>
      <c r="Z185" s="29" t="n">
        <f aca="false">SUMPRODUCT((Y185&gt;CLo)*(Y185-CLo)*CD)*(1+LocalTax)</f>
        <v>0.00620131102880848</v>
      </c>
      <c r="AA185" s="21" t="n">
        <f aca="false">K185+T185+Z185</f>
        <v>0.640588400127785</v>
      </c>
      <c r="AB185" s="29" t="n">
        <f aca="false">IF(C185=5,0,(Q185-H185)-K185-L185-R185-S185-T185-Z185)</f>
        <v>-0.477748365518139</v>
      </c>
      <c r="AC185" s="21" t="n">
        <f aca="false">IF(C185=5,0,N185*((1+DepRate*(1-DepTax))^G185-1))</f>
        <v>1.24084088012683</v>
      </c>
      <c r="AD185" s="29" t="n">
        <f aca="false">IF(C185=5,0,AB185-AC185+I185*(((1+DepRate*(1-DepTax))^G185-1)-((1+DepRate*(1-DepTax))^O185-1)))</f>
        <v>-0.711946367704286</v>
      </c>
      <c r="AE185" s="30" t="n">
        <f aca="false">IF(J185&gt;0,-PMT(Rm,LoanYears*12,J185)*10000,0)</f>
        <v>276.900871369967</v>
      </c>
      <c r="AF185" s="21" t="n">
        <f aca="false">IF(J185&gt;0,-PMT((Rate+Stress)/12,LoanYears*12,J185)*12/DSR,0)</f>
        <v>1.15762634161178</v>
      </c>
      <c r="AG185" s="20" t="n">
        <f aca="false">IF(N185&lt;=CapA,1,0)</f>
        <v>1</v>
      </c>
      <c r="AH185" s="20" t="n">
        <f aca="false">IF(N185&lt;=CapB,1,0)</f>
        <v>1</v>
      </c>
      <c r="AI185" s="20" t="n">
        <f aca="false">IF(N185&lt;=CapC,1,0)</f>
        <v>1</v>
      </c>
      <c r="AJ185" s="21" t="n">
        <f aca="false">IF(AG185=1,AD185,-999)</f>
        <v>-0.711946367704286</v>
      </c>
      <c r="AK185" s="21" t="n">
        <f aca="false">IF(AH185=1,AD185,-999)</f>
        <v>-0.711946367704286</v>
      </c>
      <c r="AL185" s="21" t="n">
        <f aca="false">IF(AI185=1,AD185,-999)</f>
        <v>-0.711946367704286</v>
      </c>
      <c r="AM185" s="21" t="str">
        <f aca="false">C185&amp;"|"&amp;E185&amp;"|"&amp;G185&amp;"|"&amp;TEXT(AJ185,"0.00000")</f>
        <v>1|1|5|-0.71195</v>
      </c>
      <c r="AN185" s="21" t="str">
        <f aca="false">C185&amp;"|"&amp;E185&amp;"|"&amp;G185&amp;"|"&amp;TEXT(AK185,"0.00000")</f>
        <v>1|1|5|-0.71195</v>
      </c>
      <c r="AO185" s="21" t="str">
        <f aca="false">C185&amp;"|"&amp;E185&amp;"|"&amp;G185&amp;"|"&amp;TEXT(AL185,"0.00000")</f>
        <v>1|1|5|-0.71195</v>
      </c>
    </row>
    <row r="186" customFormat="false" ht="15" hidden="false" customHeight="false" outlineLevel="0" collapsed="false">
      <c r="A186" s="20" t="n">
        <v>7</v>
      </c>
      <c r="B186" s="18" t="str">
        <f aca="false">INDEX(C_Name,A186)</f>
        <v>노량진동 쌍용예가 85㎡</v>
      </c>
      <c r="C186" s="20" t="n">
        <v>1</v>
      </c>
      <c r="D186" s="21" t="str">
        <f aca="false">CHOOSE(C186,"1안 표준형(대출 최대)","2안 절충형(대출 50%)","3안 무대출형","4안 임대차 승계 후 입주","5안 매수 보류(전세 거주)")</f>
        <v>1안 표준형(대출 최대)</v>
      </c>
      <c r="E186" s="20" t="n">
        <v>1</v>
      </c>
      <c r="F186" s="10" t="n">
        <f aca="false">CHOOSE(E186,GrowLo,GrowMid,GrowHi)</f>
        <v>0.02</v>
      </c>
      <c r="G186" s="20" t="n">
        <v>10</v>
      </c>
      <c r="H186" s="18" t="n">
        <f aca="false">INDEX(C_Price,A186)</f>
        <v>14.5</v>
      </c>
      <c r="I186" s="18" t="n">
        <f aca="false">INDEX(C_Jeonse,A186)</f>
        <v>7.54</v>
      </c>
      <c r="J186" s="21" t="n">
        <f aca="false">IF(C186=5,0,IF(C186=1,INDEX(C_Loan,A186),IF(C186=2,INDEX(C_Loan,A186)*LoanShare2,IF(C186=3,0,MIN(INDEX(C_Loan,A186),I186)))))</f>
        <v>5.8</v>
      </c>
      <c r="K186" s="18" t="n">
        <f aca="false">IF(C186=5,0,INDEX(C_Acq,A186))</f>
        <v>0.4785</v>
      </c>
      <c r="L186" s="18" t="n">
        <f aca="false">IF(C186=5,0,INDEX(C_Fee,A186))</f>
        <v>0.1157</v>
      </c>
      <c r="M186" s="21" t="n">
        <f aca="false">IF(C186=4,MAX(0,I186-J186),0)</f>
        <v>0</v>
      </c>
      <c r="N186" s="21" t="n">
        <f aca="false">IF(C186=5,I186,IF(C186=4,(H186-I186)+K186+L186+M186,H186-J186+K186+L186))</f>
        <v>9.2942</v>
      </c>
      <c r="O186" s="20" t="n">
        <f aca="false">IF(C186=4,RentYears,0)</f>
        <v>0</v>
      </c>
      <c r="P186" s="20" t="n">
        <f aca="false">IF(C186=5,0,MAX(0,G186-O186-NonRes))</f>
        <v>10</v>
      </c>
      <c r="Q186" s="21" t="n">
        <f aca="false">IF(C186=5,0,H186*(1+F186)^G186)</f>
        <v>17.675419089924</v>
      </c>
      <c r="R186" s="21" t="n">
        <f aca="false">IF(C186=5,0,Q186*LOOKUP(Q186,FeeLo,FeeR)*(1+VAT))</f>
        <v>0.136100726992415</v>
      </c>
      <c r="S186" s="21" t="n">
        <f aca="false">IF(J186&gt;0,-CUMIPMT(Rm,LoanYears*12,J186,1,(G186-O186)*12,0),0)</f>
        <v>2.0922800907113</v>
      </c>
      <c r="T186" s="29" t="n">
        <f aca="false">IF(C186=5,0,SUMIFS(Sch_Total,Sch_Idx,A186,Sch_Scen,E186,Sch_Year,"&lt;="&amp;G186))</f>
        <v>0.331933286000843</v>
      </c>
      <c r="U186" s="21" t="n">
        <f aca="false">K186+L186+R186</f>
        <v>0.730300726992415</v>
      </c>
      <c r="V186" s="21" t="n">
        <f aca="false">IF(C186=5,0,Q186-H186-U186)</f>
        <v>2.44511836293157</v>
      </c>
      <c r="W186" s="21" t="n">
        <f aca="false">IF(C186=5,0,MAX(0,IF(P186&gt;=2,IF(Q186&gt;Exempt,V186*(Q186-Exempt)/Q186,0),V186)))</f>
        <v>0.785105652290656</v>
      </c>
      <c r="X186" s="10" t="n">
        <f aca="false">IF(P186&gt;=2,MIN(MaxDed,MIN(0.4,HoldRate*G186)+MIN(0.4,LiveRate*P186)),IF(G186&gt;=3,MIN(0.3,0.02*G186),0))</f>
        <v>0.8</v>
      </c>
      <c r="Y186" s="21" t="n">
        <f aca="false">MAX(0,W186*(1-X186)-InitDed)</f>
        <v>0.132021130458131</v>
      </c>
      <c r="Z186" s="29" t="n">
        <f aca="false">SUMPRODUCT((Y186&gt;CLo)*(Y186-CLo)*CD)*(1+LocalTax)</f>
        <v>0.00871339461023666</v>
      </c>
      <c r="AA186" s="21" t="n">
        <f aca="false">K186+T186+Z186</f>
        <v>0.81914668061108</v>
      </c>
      <c r="AB186" s="29" t="n">
        <f aca="false">IF(C186=5,0,(Q186-H186)-K186-L186-R186-S186-T186-Z186)</f>
        <v>0.0121915916091838</v>
      </c>
      <c r="AC186" s="21" t="n">
        <f aca="false">IF(C186=5,0,N186*((1+DepRate*(1-DepTax))^G186-1))</f>
        <v>2.64734271975463</v>
      </c>
      <c r="AD186" s="29" t="n">
        <f aca="false">IF(C186=5,0,AB186-AC186+I186*(((1+DepRate*(1-DepTax))^G186-1)-((1+DepRate*(1-DepTax))^O186-1)))</f>
        <v>-0.487471488483086</v>
      </c>
      <c r="AE186" s="30" t="n">
        <f aca="false">IF(J186&gt;0,-PMT(Rm,LoanYears*12,J186)*10000,0)</f>
        <v>276.900871369967</v>
      </c>
      <c r="AF186" s="21" t="n">
        <f aca="false">IF(J186&gt;0,-PMT((Rate+Stress)/12,LoanYears*12,J186)*12/DSR,0)</f>
        <v>1.15762634161178</v>
      </c>
      <c r="AG186" s="20" t="n">
        <f aca="false">IF(N186&lt;=CapA,1,0)</f>
        <v>1</v>
      </c>
      <c r="AH186" s="20" t="n">
        <f aca="false">IF(N186&lt;=CapB,1,0)</f>
        <v>1</v>
      </c>
      <c r="AI186" s="20" t="n">
        <f aca="false">IF(N186&lt;=CapC,1,0)</f>
        <v>1</v>
      </c>
      <c r="AJ186" s="21" t="n">
        <f aca="false">IF(AG186=1,AD186,-999)</f>
        <v>-0.487471488483086</v>
      </c>
      <c r="AK186" s="21" t="n">
        <f aca="false">IF(AH186=1,AD186,-999)</f>
        <v>-0.487471488483086</v>
      </c>
      <c r="AL186" s="21" t="n">
        <f aca="false">IF(AI186=1,AD186,-999)</f>
        <v>-0.487471488483086</v>
      </c>
      <c r="AM186" s="21" t="str">
        <f aca="false">C186&amp;"|"&amp;E186&amp;"|"&amp;G186&amp;"|"&amp;TEXT(AJ186,"0.00000")</f>
        <v>1|1|10|-0.48747</v>
      </c>
      <c r="AN186" s="21" t="str">
        <f aca="false">C186&amp;"|"&amp;E186&amp;"|"&amp;G186&amp;"|"&amp;TEXT(AK186,"0.00000")</f>
        <v>1|1|10|-0.48747</v>
      </c>
      <c r="AO186" s="21" t="str">
        <f aca="false">C186&amp;"|"&amp;E186&amp;"|"&amp;G186&amp;"|"&amp;TEXT(AL186,"0.00000")</f>
        <v>1|1|10|-0.48747</v>
      </c>
    </row>
    <row r="187" customFormat="false" ht="15" hidden="false" customHeight="false" outlineLevel="0" collapsed="false">
      <c r="A187" s="20" t="n">
        <v>7</v>
      </c>
      <c r="B187" s="18" t="str">
        <f aca="false">INDEX(C_Name,A187)</f>
        <v>노량진동 쌍용예가 85㎡</v>
      </c>
      <c r="C187" s="20" t="n">
        <v>1</v>
      </c>
      <c r="D187" s="21" t="str">
        <f aca="false">CHOOSE(C187,"1안 표준형(대출 최대)","2안 절충형(대출 50%)","3안 무대출형","4안 임대차 승계 후 입주","5안 매수 보류(전세 거주)")</f>
        <v>1안 표준형(대출 최대)</v>
      </c>
      <c r="E187" s="20" t="n">
        <v>2</v>
      </c>
      <c r="F187" s="10" t="n">
        <f aca="false">CHOOSE(E187,GrowLo,GrowMid,GrowHi)</f>
        <v>0.04</v>
      </c>
      <c r="G187" s="20" t="n">
        <v>5</v>
      </c>
      <c r="H187" s="18" t="n">
        <f aca="false">INDEX(C_Price,A187)</f>
        <v>14.5</v>
      </c>
      <c r="I187" s="18" t="n">
        <f aca="false">INDEX(C_Jeonse,A187)</f>
        <v>7.54</v>
      </c>
      <c r="J187" s="21" t="n">
        <f aca="false">IF(C187=5,0,IF(C187=1,INDEX(C_Loan,A187),IF(C187=2,INDEX(C_Loan,A187)*LoanShare2,IF(C187=3,0,MIN(INDEX(C_Loan,A187),I187)))))</f>
        <v>5.8</v>
      </c>
      <c r="K187" s="18" t="n">
        <f aca="false">IF(C187=5,0,INDEX(C_Acq,A187))</f>
        <v>0.4785</v>
      </c>
      <c r="L187" s="18" t="n">
        <f aca="false">IF(C187=5,0,INDEX(C_Fee,A187))</f>
        <v>0.1157</v>
      </c>
      <c r="M187" s="21" t="n">
        <f aca="false">IF(C187=4,MAX(0,I187-J187),0)</f>
        <v>0</v>
      </c>
      <c r="N187" s="21" t="n">
        <f aca="false">IF(C187=5,I187,IF(C187=4,(H187-I187)+K187+L187+M187,H187-J187+K187+L187))</f>
        <v>9.2942</v>
      </c>
      <c r="O187" s="20" t="n">
        <f aca="false">IF(C187=4,RentYears,0)</f>
        <v>0</v>
      </c>
      <c r="P187" s="20" t="n">
        <f aca="false">IF(C187=5,0,MAX(0,G187-O187-NonRes))</f>
        <v>5</v>
      </c>
      <c r="Q187" s="21" t="n">
        <f aca="false">IF(C187=5,0,H187*(1+F187)^G187)</f>
        <v>17.6414670848</v>
      </c>
      <c r="R187" s="21" t="n">
        <f aca="false">IF(C187=5,0,Q187*LOOKUP(Q187,FeeLo,FeeR)*(1+VAT))</f>
        <v>0.13583929655296</v>
      </c>
      <c r="S187" s="21" t="n">
        <f aca="false">IF(J187&gt;0,-CUMIPMT(Rm,LoanYears*12,J187,1,(G187-O187)*12,0),0)</f>
        <v>1.10736099011307</v>
      </c>
      <c r="T187" s="29" t="n">
        <f aca="false">IF(C187=5,0,SUMIFS(Sch_Total,Sch_Idx,A187,Sch_Scen,E187,Sch_Year,"&lt;="&amp;G187))</f>
        <v>0.163787942831616</v>
      </c>
      <c r="U187" s="21" t="n">
        <f aca="false">K187+L187+R187</f>
        <v>0.73003929655296</v>
      </c>
      <c r="V187" s="21" t="n">
        <f aca="false">IF(C187=5,0,Q187-H187-U187)</f>
        <v>2.41142778824704</v>
      </c>
      <c r="W187" s="21" t="n">
        <f aca="false">IF(C187=5,0,MAX(0,IF(P187&gt;=2,IF(Q187&gt;Exempt,V187*(Q187-Exempt)/Q187,0),V187)))</f>
        <v>0.771137141223875</v>
      </c>
      <c r="X187" s="10" t="n">
        <f aca="false">IF(P187&gt;=2,MIN(MaxDed,MIN(0.4,HoldRate*G187)+MIN(0.4,LiveRate*P187)),IF(G187&gt;=3,MIN(0.3,0.02*G187),0))</f>
        <v>0.4</v>
      </c>
      <c r="Y187" s="21" t="n">
        <f aca="false">MAX(0,W187*(1-X187)-InitDed)</f>
        <v>0.437682284734325</v>
      </c>
      <c r="Z187" s="29" t="n">
        <f aca="false">SUMPRODUCT((Y187&gt;CLo)*(Y187-CLo)*CD)*(1+LocalTax)</f>
        <v>0.0583575769811636</v>
      </c>
      <c r="AA187" s="21" t="n">
        <f aca="false">K187+T187+Z187</f>
        <v>0.70064551981278</v>
      </c>
      <c r="AB187" s="29" t="n">
        <f aca="false">IF(C187=5,0,(Q187-H187)-K187-L187-R187-S187-T187-Z187)</f>
        <v>1.08192127832119</v>
      </c>
      <c r="AC187" s="21" t="n">
        <f aca="false">IF(C187=5,0,N187*((1+DepRate*(1-DepTax))^G187-1))</f>
        <v>1.24084088012683</v>
      </c>
      <c r="AD187" s="29" t="n">
        <f aca="false">IF(C187=5,0,AB187-AC187+I187*(((1+DepRate*(1-DepTax))^G187-1)-((1+DepRate*(1-DepTax))^O187-1)))</f>
        <v>0.847723276135042</v>
      </c>
      <c r="AE187" s="30" t="n">
        <f aca="false">IF(J187&gt;0,-PMT(Rm,LoanYears*12,J187)*10000,0)</f>
        <v>276.900871369967</v>
      </c>
      <c r="AF187" s="21" t="n">
        <f aca="false">IF(J187&gt;0,-PMT((Rate+Stress)/12,LoanYears*12,J187)*12/DSR,0)</f>
        <v>1.15762634161178</v>
      </c>
      <c r="AG187" s="20" t="n">
        <f aca="false">IF(N187&lt;=CapA,1,0)</f>
        <v>1</v>
      </c>
      <c r="AH187" s="20" t="n">
        <f aca="false">IF(N187&lt;=CapB,1,0)</f>
        <v>1</v>
      </c>
      <c r="AI187" s="20" t="n">
        <f aca="false">IF(N187&lt;=CapC,1,0)</f>
        <v>1</v>
      </c>
      <c r="AJ187" s="21" t="n">
        <f aca="false">IF(AG187=1,AD187,-999)</f>
        <v>0.847723276135042</v>
      </c>
      <c r="AK187" s="21" t="n">
        <f aca="false">IF(AH187=1,AD187,-999)</f>
        <v>0.847723276135042</v>
      </c>
      <c r="AL187" s="21" t="n">
        <f aca="false">IF(AI187=1,AD187,-999)</f>
        <v>0.847723276135042</v>
      </c>
      <c r="AM187" s="21" t="str">
        <f aca="false">C187&amp;"|"&amp;E187&amp;"|"&amp;G187&amp;"|"&amp;TEXT(AJ187,"0.00000")</f>
        <v>1|2|5|0.84772</v>
      </c>
      <c r="AN187" s="21" t="str">
        <f aca="false">C187&amp;"|"&amp;E187&amp;"|"&amp;G187&amp;"|"&amp;TEXT(AK187,"0.00000")</f>
        <v>1|2|5|0.84772</v>
      </c>
      <c r="AO187" s="21" t="str">
        <f aca="false">C187&amp;"|"&amp;E187&amp;"|"&amp;G187&amp;"|"&amp;TEXT(AL187,"0.00000")</f>
        <v>1|2|5|0.84772</v>
      </c>
    </row>
    <row r="188" customFormat="false" ht="15" hidden="false" customHeight="false" outlineLevel="0" collapsed="false">
      <c r="A188" s="20" t="n">
        <v>7</v>
      </c>
      <c r="B188" s="18" t="str">
        <f aca="false">INDEX(C_Name,A188)</f>
        <v>노량진동 쌍용예가 85㎡</v>
      </c>
      <c r="C188" s="20" t="n">
        <v>1</v>
      </c>
      <c r="D188" s="21" t="str">
        <f aca="false">CHOOSE(C188,"1안 표준형(대출 최대)","2안 절충형(대출 50%)","3안 무대출형","4안 임대차 승계 후 입주","5안 매수 보류(전세 거주)")</f>
        <v>1안 표준형(대출 최대)</v>
      </c>
      <c r="E188" s="20" t="n">
        <v>2</v>
      </c>
      <c r="F188" s="10" t="n">
        <f aca="false">CHOOSE(E188,GrowLo,GrowMid,GrowHi)</f>
        <v>0.04</v>
      </c>
      <c r="G188" s="20" t="n">
        <v>10</v>
      </c>
      <c r="H188" s="18" t="n">
        <f aca="false">INDEX(C_Price,A188)</f>
        <v>14.5</v>
      </c>
      <c r="I188" s="18" t="n">
        <f aca="false">INDEX(C_Jeonse,A188)</f>
        <v>7.54</v>
      </c>
      <c r="J188" s="21" t="n">
        <f aca="false">IF(C188=5,0,IF(C188=1,INDEX(C_Loan,A188),IF(C188=2,INDEX(C_Loan,A188)*LoanShare2,IF(C188=3,0,MIN(INDEX(C_Loan,A188),I188)))))</f>
        <v>5.8</v>
      </c>
      <c r="K188" s="18" t="n">
        <f aca="false">IF(C188=5,0,INDEX(C_Acq,A188))</f>
        <v>0.4785</v>
      </c>
      <c r="L188" s="18" t="n">
        <f aca="false">IF(C188=5,0,INDEX(C_Fee,A188))</f>
        <v>0.1157</v>
      </c>
      <c r="M188" s="21" t="n">
        <f aca="false">IF(C188=4,MAX(0,I188-J188),0)</f>
        <v>0</v>
      </c>
      <c r="N188" s="21" t="n">
        <f aca="false">IF(C188=5,I188,IF(C188=4,(H188-I188)+K188+L188+M188,H188-J188+K188+L188))</f>
        <v>9.2942</v>
      </c>
      <c r="O188" s="20" t="n">
        <f aca="false">IF(C188=4,RentYears,0)</f>
        <v>0</v>
      </c>
      <c r="P188" s="20" t="n">
        <f aca="false">IF(C188=5,0,MAX(0,G188-O188-NonRes))</f>
        <v>10</v>
      </c>
      <c r="Q188" s="21" t="n">
        <f aca="false">IF(C188=5,0,H188*(1+F188)^G188)</f>
        <v>21.463542131316</v>
      </c>
      <c r="R188" s="21" t="n">
        <f aca="false">IF(C188=5,0,Q188*LOOKUP(Q188,FeeLo,FeeR)*(1+VAT))</f>
        <v>0.165269274411133</v>
      </c>
      <c r="S188" s="21" t="n">
        <f aca="false">IF(J188&gt;0,-CUMIPMT(Rm,LoanYears*12,J188,1,(G188-O188)*12,0),0)</f>
        <v>2.0922800907113</v>
      </c>
      <c r="T188" s="29" t="n">
        <f aca="false">IF(C188=5,0,SUMIFS(Sch_Total,Sch_Idx,A188,Sch_Scen,E188,Sch_Year,"&lt;="&amp;G188))</f>
        <v>0.39260135895519</v>
      </c>
      <c r="U188" s="21" t="n">
        <f aca="false">K188+L188+R188</f>
        <v>0.759469274411133</v>
      </c>
      <c r="V188" s="21" t="n">
        <f aca="false">IF(C188=5,0,Q188-H188-U188)</f>
        <v>6.20407285690486</v>
      </c>
      <c r="W188" s="21" t="n">
        <f aca="false">IF(C188=5,0,MAX(0,IF(P188&gt;=2,IF(Q188&gt;Exempt,V188*(Q188-Exempt)/Q188,0),V188)))</f>
        <v>2.73545272760034</v>
      </c>
      <c r="X188" s="10" t="n">
        <f aca="false">IF(P188&gt;=2,MIN(MaxDed,MIN(0.4,HoldRate*G188)+MIN(0.4,LiveRate*P188)),IF(G188&gt;=3,MIN(0.3,0.02*G188),0))</f>
        <v>0.8</v>
      </c>
      <c r="Y188" s="21" t="n">
        <f aca="false">MAX(0,W188*(1-X188)-InitDed)</f>
        <v>0.522090545520068</v>
      </c>
      <c r="Z188" s="29" t="n">
        <f aca="false">SUMPRODUCT((Y188&gt;CLo)*(Y188-CLo)*CD)*(1+LocalTax)</f>
        <v>0.0744719040172979</v>
      </c>
      <c r="AA188" s="21" t="n">
        <f aca="false">K188+T188+Z188</f>
        <v>0.945573262972488</v>
      </c>
      <c r="AB188" s="29" t="n">
        <f aca="false">IF(C188=5,0,(Q188-H188)-K188-L188-R188-S188-T188-Z188)</f>
        <v>3.64471950322107</v>
      </c>
      <c r="AC188" s="21" t="n">
        <f aca="false">IF(C188=5,0,N188*((1+DepRate*(1-DepTax))^G188-1))</f>
        <v>2.64734271975463</v>
      </c>
      <c r="AD188" s="29" t="n">
        <f aca="false">IF(C188=5,0,AB188-AC188+I188*(((1+DepRate*(1-DepTax))^G188-1)-((1+DepRate*(1-DepTax))^O188-1)))</f>
        <v>3.1450564231288</v>
      </c>
      <c r="AE188" s="30" t="n">
        <f aca="false">IF(J188&gt;0,-PMT(Rm,LoanYears*12,J188)*10000,0)</f>
        <v>276.900871369967</v>
      </c>
      <c r="AF188" s="21" t="n">
        <f aca="false">IF(J188&gt;0,-PMT((Rate+Stress)/12,LoanYears*12,J188)*12/DSR,0)</f>
        <v>1.15762634161178</v>
      </c>
      <c r="AG188" s="20" t="n">
        <f aca="false">IF(N188&lt;=CapA,1,0)</f>
        <v>1</v>
      </c>
      <c r="AH188" s="20" t="n">
        <f aca="false">IF(N188&lt;=CapB,1,0)</f>
        <v>1</v>
      </c>
      <c r="AI188" s="20" t="n">
        <f aca="false">IF(N188&lt;=CapC,1,0)</f>
        <v>1</v>
      </c>
      <c r="AJ188" s="21" t="n">
        <f aca="false">IF(AG188=1,AD188,-999)</f>
        <v>3.1450564231288</v>
      </c>
      <c r="AK188" s="21" t="n">
        <f aca="false">IF(AH188=1,AD188,-999)</f>
        <v>3.1450564231288</v>
      </c>
      <c r="AL188" s="21" t="n">
        <f aca="false">IF(AI188=1,AD188,-999)</f>
        <v>3.1450564231288</v>
      </c>
      <c r="AM188" s="21" t="str">
        <f aca="false">C188&amp;"|"&amp;E188&amp;"|"&amp;G188&amp;"|"&amp;TEXT(AJ188,"0.00000")</f>
        <v>1|2|10|3.14506</v>
      </c>
      <c r="AN188" s="21" t="str">
        <f aca="false">C188&amp;"|"&amp;E188&amp;"|"&amp;G188&amp;"|"&amp;TEXT(AK188,"0.00000")</f>
        <v>1|2|10|3.14506</v>
      </c>
      <c r="AO188" s="21" t="str">
        <f aca="false">C188&amp;"|"&amp;E188&amp;"|"&amp;G188&amp;"|"&amp;TEXT(AL188,"0.00000")</f>
        <v>1|2|10|3.14506</v>
      </c>
    </row>
    <row r="189" customFormat="false" ht="15" hidden="false" customHeight="false" outlineLevel="0" collapsed="false">
      <c r="A189" s="20" t="n">
        <v>7</v>
      </c>
      <c r="B189" s="18" t="str">
        <f aca="false">INDEX(C_Name,A189)</f>
        <v>노량진동 쌍용예가 85㎡</v>
      </c>
      <c r="C189" s="20" t="n">
        <v>1</v>
      </c>
      <c r="D189" s="21" t="str">
        <f aca="false">CHOOSE(C189,"1안 표준형(대출 최대)","2안 절충형(대출 50%)","3안 무대출형","4안 임대차 승계 후 입주","5안 매수 보류(전세 거주)")</f>
        <v>1안 표준형(대출 최대)</v>
      </c>
      <c r="E189" s="20" t="n">
        <v>3</v>
      </c>
      <c r="F189" s="10" t="n">
        <f aca="false">CHOOSE(E189,GrowLo,GrowMid,GrowHi)</f>
        <v>0.06</v>
      </c>
      <c r="G189" s="20" t="n">
        <v>5</v>
      </c>
      <c r="H189" s="18" t="n">
        <f aca="false">INDEX(C_Price,A189)</f>
        <v>14.5</v>
      </c>
      <c r="I189" s="18" t="n">
        <f aca="false">INDEX(C_Jeonse,A189)</f>
        <v>7.54</v>
      </c>
      <c r="J189" s="21" t="n">
        <f aca="false">IF(C189=5,0,IF(C189=1,INDEX(C_Loan,A189),IF(C189=2,INDEX(C_Loan,A189)*LoanShare2,IF(C189=3,0,MIN(INDEX(C_Loan,A189),I189)))))</f>
        <v>5.8</v>
      </c>
      <c r="K189" s="18" t="n">
        <f aca="false">IF(C189=5,0,INDEX(C_Acq,A189))</f>
        <v>0.4785</v>
      </c>
      <c r="L189" s="18" t="n">
        <f aca="false">IF(C189=5,0,INDEX(C_Fee,A189))</f>
        <v>0.1157</v>
      </c>
      <c r="M189" s="21" t="n">
        <f aca="false">IF(C189=4,MAX(0,I189-J189),0)</f>
        <v>0</v>
      </c>
      <c r="N189" s="21" t="n">
        <f aca="false">IF(C189=5,I189,IF(C189=4,(H189-I189)+K189+L189+M189,H189-J189+K189+L189))</f>
        <v>9.2942</v>
      </c>
      <c r="O189" s="20" t="n">
        <f aca="false">IF(C189=4,RentYears,0)</f>
        <v>0</v>
      </c>
      <c r="P189" s="20" t="n">
        <f aca="false">IF(C189=5,0,MAX(0,G189-O189-NonRes))</f>
        <v>5</v>
      </c>
      <c r="Q189" s="21" t="n">
        <f aca="false">IF(C189=5,0,H189*(1+F189)^G189)</f>
        <v>19.4042708752</v>
      </c>
      <c r="R189" s="21" t="n">
        <f aca="false">IF(C189=5,0,Q189*LOOKUP(Q189,FeeLo,FeeR)*(1+VAT))</f>
        <v>0.14941288573904</v>
      </c>
      <c r="S189" s="21" t="n">
        <f aca="false">IF(J189&gt;0,-CUMIPMT(Rm,LoanYears*12,J189,1,(G189-O189)*12,0),0)</f>
        <v>1.10736099011307</v>
      </c>
      <c r="T189" s="29" t="n">
        <f aca="false">IF(C189=5,0,SUMIFS(Sch_Total,Sch_Idx,A189,Sch_Scen,E189,Sch_Year,"&lt;="&amp;G189))</f>
        <v>0.174276603186336</v>
      </c>
      <c r="U189" s="21" t="n">
        <f aca="false">K189+L189+R189</f>
        <v>0.74361288573904</v>
      </c>
      <c r="V189" s="21" t="n">
        <f aca="false">IF(C189=5,0,Q189-H189-U189)</f>
        <v>4.16065798946097</v>
      </c>
      <c r="W189" s="21" t="n">
        <f aca="false">IF(C189=5,0,MAX(0,IF(P189&gt;=2,IF(Q189&gt;Exempt,V189*(Q189-Exempt)/Q189,0),V189)))</f>
        <v>1.58762155873669</v>
      </c>
      <c r="X189" s="10" t="n">
        <f aca="false">IF(P189&gt;=2,MIN(MaxDed,MIN(0.4,HoldRate*G189)+MIN(0.4,LiveRate*P189)),IF(G189&gt;=3,MIN(0.3,0.02*G189),0))</f>
        <v>0.4</v>
      </c>
      <c r="Y189" s="21" t="n">
        <f aca="false">MAX(0,W189*(1-X189)-InitDed)</f>
        <v>0.927572935242015</v>
      </c>
      <c r="Z189" s="29" t="n">
        <f aca="false">SUMPRODUCT((Y189&gt;CLo)*(Y189-CLo)*CD)*(1+LocalTax)</f>
        <v>0.187275580068176</v>
      </c>
      <c r="AA189" s="21" t="n">
        <f aca="false">K189+T189+Z189</f>
        <v>0.840052183254512</v>
      </c>
      <c r="AB189" s="29" t="n">
        <f aca="false">IF(C189=5,0,(Q189-H189)-K189-L189-R189-S189-T189-Z189)</f>
        <v>2.69174481609338</v>
      </c>
      <c r="AC189" s="21" t="n">
        <f aca="false">IF(C189=5,0,N189*((1+DepRate*(1-DepTax))^G189-1))</f>
        <v>1.24084088012683</v>
      </c>
      <c r="AD189" s="29" t="n">
        <f aca="false">IF(C189=5,0,AB189-AC189+I189*(((1+DepRate*(1-DepTax))^G189-1)-((1+DepRate*(1-DepTax))^O189-1)))</f>
        <v>2.45754681390723</v>
      </c>
      <c r="AE189" s="30" t="n">
        <f aca="false">IF(J189&gt;0,-PMT(Rm,LoanYears*12,J189)*10000,0)</f>
        <v>276.900871369967</v>
      </c>
      <c r="AF189" s="21" t="n">
        <f aca="false">IF(J189&gt;0,-PMT((Rate+Stress)/12,LoanYears*12,J189)*12/DSR,0)</f>
        <v>1.15762634161178</v>
      </c>
      <c r="AG189" s="20" t="n">
        <f aca="false">IF(N189&lt;=CapA,1,0)</f>
        <v>1</v>
      </c>
      <c r="AH189" s="20" t="n">
        <f aca="false">IF(N189&lt;=CapB,1,0)</f>
        <v>1</v>
      </c>
      <c r="AI189" s="20" t="n">
        <f aca="false">IF(N189&lt;=CapC,1,0)</f>
        <v>1</v>
      </c>
      <c r="AJ189" s="21" t="n">
        <f aca="false">IF(AG189=1,AD189,-999)</f>
        <v>2.45754681390723</v>
      </c>
      <c r="AK189" s="21" t="n">
        <f aca="false">IF(AH189=1,AD189,-999)</f>
        <v>2.45754681390723</v>
      </c>
      <c r="AL189" s="21" t="n">
        <f aca="false">IF(AI189=1,AD189,-999)</f>
        <v>2.45754681390723</v>
      </c>
      <c r="AM189" s="21" t="str">
        <f aca="false">C189&amp;"|"&amp;E189&amp;"|"&amp;G189&amp;"|"&amp;TEXT(AJ189,"0.00000")</f>
        <v>1|3|5|2.45755</v>
      </c>
      <c r="AN189" s="21" t="str">
        <f aca="false">C189&amp;"|"&amp;E189&amp;"|"&amp;G189&amp;"|"&amp;TEXT(AK189,"0.00000")</f>
        <v>1|3|5|2.45755</v>
      </c>
      <c r="AO189" s="21" t="str">
        <f aca="false">C189&amp;"|"&amp;E189&amp;"|"&amp;G189&amp;"|"&amp;TEXT(AL189,"0.00000")</f>
        <v>1|3|5|2.45755</v>
      </c>
    </row>
    <row r="190" customFormat="false" ht="15" hidden="false" customHeight="false" outlineLevel="0" collapsed="false">
      <c r="A190" s="20" t="n">
        <v>7</v>
      </c>
      <c r="B190" s="18" t="str">
        <f aca="false">INDEX(C_Name,A190)</f>
        <v>노량진동 쌍용예가 85㎡</v>
      </c>
      <c r="C190" s="20" t="n">
        <v>1</v>
      </c>
      <c r="D190" s="21" t="str">
        <f aca="false">CHOOSE(C190,"1안 표준형(대출 최대)","2안 절충형(대출 50%)","3안 무대출형","4안 임대차 승계 후 입주","5안 매수 보류(전세 거주)")</f>
        <v>1안 표준형(대출 최대)</v>
      </c>
      <c r="E190" s="20" t="n">
        <v>3</v>
      </c>
      <c r="F190" s="10" t="n">
        <f aca="false">CHOOSE(E190,GrowLo,GrowMid,GrowHi)</f>
        <v>0.06</v>
      </c>
      <c r="G190" s="20" t="n">
        <v>10</v>
      </c>
      <c r="H190" s="18" t="n">
        <f aca="false">INDEX(C_Price,A190)</f>
        <v>14.5</v>
      </c>
      <c r="I190" s="18" t="n">
        <f aca="false">INDEX(C_Jeonse,A190)</f>
        <v>7.54</v>
      </c>
      <c r="J190" s="21" t="n">
        <f aca="false">IF(C190=5,0,IF(C190=1,INDEX(C_Loan,A190),IF(C190=2,INDEX(C_Loan,A190)*LoanShare2,IF(C190=3,0,MIN(INDEX(C_Loan,A190),I190)))))</f>
        <v>5.8</v>
      </c>
      <c r="K190" s="18" t="n">
        <f aca="false">IF(C190=5,0,INDEX(C_Acq,A190))</f>
        <v>0.4785</v>
      </c>
      <c r="L190" s="18" t="n">
        <f aca="false">IF(C190=5,0,INDEX(C_Fee,A190))</f>
        <v>0.1157</v>
      </c>
      <c r="M190" s="21" t="n">
        <f aca="false">IF(C190=4,MAX(0,I190-J190),0)</f>
        <v>0</v>
      </c>
      <c r="N190" s="21" t="n">
        <f aca="false">IF(C190=5,I190,IF(C190=4,(H190-I190)+K190+L190+M190,H190-J190+K190+L190))</f>
        <v>9.2942</v>
      </c>
      <c r="O190" s="20" t="n">
        <f aca="false">IF(C190=4,RentYears,0)</f>
        <v>0</v>
      </c>
      <c r="P190" s="20" t="n">
        <f aca="false">IF(C190=5,0,MAX(0,G190-O190-NonRes))</f>
        <v>10</v>
      </c>
      <c r="Q190" s="21" t="n">
        <f aca="false">IF(C190=5,0,H190*(1+F190)^G190)</f>
        <v>25.9672915998714</v>
      </c>
      <c r="R190" s="21" t="n">
        <f aca="false">IF(C190=5,0,Q190*LOOKUP(Q190,FeeLo,FeeR)*(1+VAT))</f>
        <v>0.19994814531901</v>
      </c>
      <c r="S190" s="21" t="n">
        <f aca="false">IF(J190&gt;0,-CUMIPMT(Rm,LoanYears*12,J190,1,(G190-O190)*12,0),0)</f>
        <v>2.0922800907113</v>
      </c>
      <c r="T190" s="29" t="n">
        <f aca="false">IF(C190=5,0,SUMIFS(Sch_Total,Sch_Idx,A190,Sch_Scen,E190,Sch_Year,"&lt;="&amp;G190))</f>
        <v>0.472951687789173</v>
      </c>
      <c r="U190" s="21" t="n">
        <f aca="false">K190+L190+R190</f>
        <v>0.79414814531901</v>
      </c>
      <c r="V190" s="21" t="n">
        <f aca="false">IF(C190=5,0,Q190-H190-U190)</f>
        <v>10.6731434545524</v>
      </c>
      <c r="W190" s="21" t="n">
        <f aca="false">IF(C190=5,0,MAX(0,IF(P190&gt;=2,IF(Q190&gt;Exempt,V190*(Q190-Exempt)/Q190,0),V190)))</f>
        <v>5.74087237183142</v>
      </c>
      <c r="X190" s="10" t="n">
        <f aca="false">IF(P190&gt;=2,MIN(MaxDed,MIN(0.4,HoldRate*G190)+MIN(0.4,LiveRate*P190)),IF(G190&gt;=3,MIN(0.3,0.02*G190),0))</f>
        <v>0.8</v>
      </c>
      <c r="Y190" s="21" t="n">
        <f aca="false">MAX(0,W190*(1-X190)-InitDed)</f>
        <v>1.12317447436628</v>
      </c>
      <c r="Z190" s="29" t="n">
        <f aca="false">SUMPRODUCT((Y190&gt;CLo)*(Y190-CLo)*CD)*(1+LocalTax)</f>
        <v>0.262582172631019</v>
      </c>
      <c r="AA190" s="21" t="n">
        <f aca="false">K190+T190+Z190</f>
        <v>1.21403386042019</v>
      </c>
      <c r="AB190" s="29" t="n">
        <f aca="false">IF(C190=5,0,(Q190-H190)-K190-L190-R190-S190-T190-Z190)</f>
        <v>7.84532950342089</v>
      </c>
      <c r="AC190" s="21" t="n">
        <f aca="false">IF(C190=5,0,N190*((1+DepRate*(1-DepTax))^G190-1))</f>
        <v>2.64734271975463</v>
      </c>
      <c r="AD190" s="29" t="n">
        <f aca="false">IF(C190=5,0,AB190-AC190+I190*(((1+DepRate*(1-DepTax))^G190-1)-((1+DepRate*(1-DepTax))^O190-1)))</f>
        <v>7.34566642332862</v>
      </c>
      <c r="AE190" s="30" t="n">
        <f aca="false">IF(J190&gt;0,-PMT(Rm,LoanYears*12,J190)*10000,0)</f>
        <v>276.900871369967</v>
      </c>
      <c r="AF190" s="21" t="n">
        <f aca="false">IF(J190&gt;0,-PMT((Rate+Stress)/12,LoanYears*12,J190)*12/DSR,0)</f>
        <v>1.15762634161178</v>
      </c>
      <c r="AG190" s="20" t="n">
        <f aca="false">IF(N190&lt;=CapA,1,0)</f>
        <v>1</v>
      </c>
      <c r="AH190" s="20" t="n">
        <f aca="false">IF(N190&lt;=CapB,1,0)</f>
        <v>1</v>
      </c>
      <c r="AI190" s="20" t="n">
        <f aca="false">IF(N190&lt;=CapC,1,0)</f>
        <v>1</v>
      </c>
      <c r="AJ190" s="21" t="n">
        <f aca="false">IF(AG190=1,AD190,-999)</f>
        <v>7.34566642332862</v>
      </c>
      <c r="AK190" s="21" t="n">
        <f aca="false">IF(AH190=1,AD190,-999)</f>
        <v>7.34566642332862</v>
      </c>
      <c r="AL190" s="21" t="n">
        <f aca="false">IF(AI190=1,AD190,-999)</f>
        <v>7.34566642332862</v>
      </c>
      <c r="AM190" s="21" t="str">
        <f aca="false">C190&amp;"|"&amp;E190&amp;"|"&amp;G190&amp;"|"&amp;TEXT(AJ190,"0.00000")</f>
        <v>1|3|10|7.34567</v>
      </c>
      <c r="AN190" s="21" t="str">
        <f aca="false">C190&amp;"|"&amp;E190&amp;"|"&amp;G190&amp;"|"&amp;TEXT(AK190,"0.00000")</f>
        <v>1|3|10|7.34567</v>
      </c>
      <c r="AO190" s="21" t="str">
        <f aca="false">C190&amp;"|"&amp;E190&amp;"|"&amp;G190&amp;"|"&amp;TEXT(AL190,"0.00000")</f>
        <v>1|3|10|7.34567</v>
      </c>
    </row>
    <row r="191" customFormat="false" ht="15" hidden="false" customHeight="false" outlineLevel="0" collapsed="false">
      <c r="A191" s="20" t="n">
        <v>7</v>
      </c>
      <c r="B191" s="18" t="str">
        <f aca="false">INDEX(C_Name,A191)</f>
        <v>노량진동 쌍용예가 85㎡</v>
      </c>
      <c r="C191" s="20" t="n">
        <v>2</v>
      </c>
      <c r="D191" s="21" t="str">
        <f aca="false">CHOOSE(C191,"1안 표준형(대출 최대)","2안 절충형(대출 50%)","3안 무대출형","4안 임대차 승계 후 입주","5안 매수 보류(전세 거주)")</f>
        <v>2안 절충형(대출 50%)</v>
      </c>
      <c r="E191" s="20" t="n">
        <v>1</v>
      </c>
      <c r="F191" s="10" t="n">
        <f aca="false">CHOOSE(E191,GrowLo,GrowMid,GrowHi)</f>
        <v>0.02</v>
      </c>
      <c r="G191" s="20" t="n">
        <v>5</v>
      </c>
      <c r="H191" s="18" t="n">
        <f aca="false">INDEX(C_Price,A191)</f>
        <v>14.5</v>
      </c>
      <c r="I191" s="18" t="n">
        <f aca="false">INDEX(C_Jeonse,A191)</f>
        <v>7.54</v>
      </c>
      <c r="J191" s="21" t="n">
        <f aca="false">IF(C191=5,0,IF(C191=1,INDEX(C_Loan,A191),IF(C191=2,INDEX(C_Loan,A191)*LoanShare2,IF(C191=3,0,MIN(INDEX(C_Loan,A191),I191)))))</f>
        <v>2.9</v>
      </c>
      <c r="K191" s="18" t="n">
        <f aca="false">IF(C191=5,0,INDEX(C_Acq,A191))</f>
        <v>0.4785</v>
      </c>
      <c r="L191" s="18" t="n">
        <f aca="false">IF(C191=5,0,INDEX(C_Fee,A191))</f>
        <v>0.1157</v>
      </c>
      <c r="M191" s="21" t="n">
        <f aca="false">IF(C191=4,MAX(0,I191-J191),0)</f>
        <v>0</v>
      </c>
      <c r="N191" s="21" t="n">
        <f aca="false">IF(C191=5,I191,IF(C191=4,(H191-I191)+K191+L191+M191,H191-J191+K191+L191))</f>
        <v>12.1942</v>
      </c>
      <c r="O191" s="20" t="n">
        <f aca="false">IF(C191=4,RentYears,0)</f>
        <v>0</v>
      </c>
      <c r="P191" s="20" t="n">
        <f aca="false">IF(C191=5,0,MAX(0,G191-O191-NonRes))</f>
        <v>5</v>
      </c>
      <c r="Q191" s="21" t="n">
        <f aca="false">IF(C191=5,0,H191*(1+F191)^G191)</f>
        <v>16.0091716464</v>
      </c>
      <c r="R191" s="21" t="n">
        <f aca="false">IF(C191=5,0,Q191*LOOKUP(Q191,FeeLo,FeeR)*(1+VAT))</f>
        <v>0.12327062167728</v>
      </c>
      <c r="S191" s="21" t="n">
        <f aca="false">IF(J191&gt;0,-CUMIPMT(Rm,LoanYears*12,J191,1,(G191-O191)*12,0),0)</f>
        <v>0.553680495056537</v>
      </c>
      <c r="T191" s="29" t="n">
        <f aca="false">IF(C191=5,0,SUMIFS(Sch_Total,Sch_Idx,A191,Sch_Scen,E191,Sch_Year,"&lt;="&amp;G191))</f>
        <v>0.155887089098976</v>
      </c>
      <c r="U191" s="21" t="n">
        <f aca="false">K191+L191+R191</f>
        <v>0.71747062167728</v>
      </c>
      <c r="V191" s="21" t="n">
        <f aca="false">IF(C191=5,0,Q191-H191-U191)</f>
        <v>0.791701024722719</v>
      </c>
      <c r="W191" s="21" t="n">
        <f aca="false">IF(C191=5,0,MAX(0,IF(P191&gt;=2,IF(Q191&gt;Exempt,V191*(Q191-Exempt)/Q191,0),V191)))</f>
        <v>0.198265430020416</v>
      </c>
      <c r="X191" s="10" t="n">
        <f aca="false">IF(P191&gt;=2,MIN(MaxDed,MIN(0.4,HoldRate*G191)+MIN(0.4,LiveRate*P191)),IF(G191&gt;=3,MIN(0.3,0.02*G191),0))</f>
        <v>0.4</v>
      </c>
      <c r="Y191" s="21" t="n">
        <f aca="false">MAX(0,W191*(1-X191)-InitDed)</f>
        <v>0.0939592580122496</v>
      </c>
      <c r="Z191" s="29" t="n">
        <f aca="false">SUMPRODUCT((Y191&gt;CLo)*(Y191-CLo)*CD)*(1+LocalTax)</f>
        <v>0.00620131102880848</v>
      </c>
      <c r="AA191" s="21" t="n">
        <f aca="false">K191+T191+Z191</f>
        <v>0.640588400127785</v>
      </c>
      <c r="AB191" s="29" t="n">
        <f aca="false">IF(C191=5,0,(Q191-H191)-K191-L191-R191-S191-T191-Z191)</f>
        <v>0.0759321295383975</v>
      </c>
      <c r="AC191" s="21" t="n">
        <f aca="false">IF(C191=5,0,N191*((1+DepRate*(1-DepTax))^G191-1))</f>
        <v>1.62801121779632</v>
      </c>
      <c r="AD191" s="29" t="n">
        <f aca="false">IF(C191=5,0,AB191-AC191+I191*(((1+DepRate*(1-DepTax))^G191-1)-((1+DepRate*(1-DepTax))^O191-1)))</f>
        <v>-0.545436210317243</v>
      </c>
      <c r="AE191" s="30" t="n">
        <f aca="false">IF(J191&gt;0,-PMT(Rm,LoanYears*12,J191)*10000,0)</f>
        <v>138.450435684983</v>
      </c>
      <c r="AF191" s="21" t="n">
        <f aca="false">IF(J191&gt;0,-PMT((Rate+Stress)/12,LoanYears*12,J191)*12/DSR,0)</f>
        <v>0.578813170805889</v>
      </c>
      <c r="AG191" s="20" t="n">
        <f aca="false">IF(N191&lt;=CapA,1,0)</f>
        <v>0</v>
      </c>
      <c r="AH191" s="20" t="n">
        <f aca="false">IF(N191&lt;=CapB,1,0)</f>
        <v>1</v>
      </c>
      <c r="AI191" s="20" t="n">
        <f aca="false">IF(N191&lt;=CapC,1,0)</f>
        <v>1</v>
      </c>
      <c r="AJ191" s="21" t="n">
        <f aca="false">IF(AG191=1,AD191,-999)</f>
        <v>-999</v>
      </c>
      <c r="AK191" s="21" t="n">
        <f aca="false">IF(AH191=1,AD191,-999)</f>
        <v>-0.545436210317243</v>
      </c>
      <c r="AL191" s="21" t="n">
        <f aca="false">IF(AI191=1,AD191,-999)</f>
        <v>-0.545436210317243</v>
      </c>
      <c r="AM191" s="21" t="str">
        <f aca="false">C191&amp;"|"&amp;E191&amp;"|"&amp;G191&amp;"|"&amp;TEXT(AJ191,"0.00000")</f>
        <v>2|1|5|-999.00000</v>
      </c>
      <c r="AN191" s="21" t="str">
        <f aca="false">C191&amp;"|"&amp;E191&amp;"|"&amp;G191&amp;"|"&amp;TEXT(AK191,"0.00000")</f>
        <v>2|1|5|-0.54544</v>
      </c>
      <c r="AO191" s="21" t="str">
        <f aca="false">C191&amp;"|"&amp;E191&amp;"|"&amp;G191&amp;"|"&amp;TEXT(AL191,"0.00000")</f>
        <v>2|1|5|-0.54544</v>
      </c>
    </row>
    <row r="192" customFormat="false" ht="15" hidden="false" customHeight="false" outlineLevel="0" collapsed="false">
      <c r="A192" s="20" t="n">
        <v>7</v>
      </c>
      <c r="B192" s="18" t="str">
        <f aca="false">INDEX(C_Name,A192)</f>
        <v>노량진동 쌍용예가 85㎡</v>
      </c>
      <c r="C192" s="20" t="n">
        <v>2</v>
      </c>
      <c r="D192" s="21" t="str">
        <f aca="false">CHOOSE(C192,"1안 표준형(대출 최대)","2안 절충형(대출 50%)","3안 무대출형","4안 임대차 승계 후 입주","5안 매수 보류(전세 거주)")</f>
        <v>2안 절충형(대출 50%)</v>
      </c>
      <c r="E192" s="20" t="n">
        <v>1</v>
      </c>
      <c r="F192" s="10" t="n">
        <f aca="false">CHOOSE(E192,GrowLo,GrowMid,GrowHi)</f>
        <v>0.02</v>
      </c>
      <c r="G192" s="20" t="n">
        <v>10</v>
      </c>
      <c r="H192" s="18" t="n">
        <f aca="false">INDEX(C_Price,A192)</f>
        <v>14.5</v>
      </c>
      <c r="I192" s="18" t="n">
        <f aca="false">INDEX(C_Jeonse,A192)</f>
        <v>7.54</v>
      </c>
      <c r="J192" s="21" t="n">
        <f aca="false">IF(C192=5,0,IF(C192=1,INDEX(C_Loan,A192),IF(C192=2,INDEX(C_Loan,A192)*LoanShare2,IF(C192=3,0,MIN(INDEX(C_Loan,A192),I192)))))</f>
        <v>2.9</v>
      </c>
      <c r="K192" s="18" t="n">
        <f aca="false">IF(C192=5,0,INDEX(C_Acq,A192))</f>
        <v>0.4785</v>
      </c>
      <c r="L192" s="18" t="n">
        <f aca="false">IF(C192=5,0,INDEX(C_Fee,A192))</f>
        <v>0.1157</v>
      </c>
      <c r="M192" s="21" t="n">
        <f aca="false">IF(C192=4,MAX(0,I192-J192),0)</f>
        <v>0</v>
      </c>
      <c r="N192" s="21" t="n">
        <f aca="false">IF(C192=5,I192,IF(C192=4,(H192-I192)+K192+L192+M192,H192-J192+K192+L192))</f>
        <v>12.1942</v>
      </c>
      <c r="O192" s="20" t="n">
        <f aca="false">IF(C192=4,RentYears,0)</f>
        <v>0</v>
      </c>
      <c r="P192" s="20" t="n">
        <f aca="false">IF(C192=5,0,MAX(0,G192-O192-NonRes))</f>
        <v>10</v>
      </c>
      <c r="Q192" s="21" t="n">
        <f aca="false">IF(C192=5,0,H192*(1+F192)^G192)</f>
        <v>17.675419089924</v>
      </c>
      <c r="R192" s="21" t="n">
        <f aca="false">IF(C192=5,0,Q192*LOOKUP(Q192,FeeLo,FeeR)*(1+VAT))</f>
        <v>0.136100726992415</v>
      </c>
      <c r="S192" s="21" t="n">
        <f aca="false">IF(J192&gt;0,-CUMIPMT(Rm,LoanYears*12,J192,1,(G192-O192)*12,0),0)</f>
        <v>1.04614004535565</v>
      </c>
      <c r="T192" s="29" t="n">
        <f aca="false">IF(C192=5,0,SUMIFS(Sch_Total,Sch_Idx,A192,Sch_Scen,E192,Sch_Year,"&lt;="&amp;G192))</f>
        <v>0.331933286000843</v>
      </c>
      <c r="U192" s="21" t="n">
        <f aca="false">K192+L192+R192</f>
        <v>0.730300726992415</v>
      </c>
      <c r="V192" s="21" t="n">
        <f aca="false">IF(C192=5,0,Q192-H192-U192)</f>
        <v>2.44511836293157</v>
      </c>
      <c r="W192" s="21" t="n">
        <f aca="false">IF(C192=5,0,MAX(0,IF(P192&gt;=2,IF(Q192&gt;Exempt,V192*(Q192-Exempt)/Q192,0),V192)))</f>
        <v>0.785105652290656</v>
      </c>
      <c r="X192" s="10" t="n">
        <f aca="false">IF(P192&gt;=2,MIN(MaxDed,MIN(0.4,HoldRate*G192)+MIN(0.4,LiveRate*P192)),IF(G192&gt;=3,MIN(0.3,0.02*G192),0))</f>
        <v>0.8</v>
      </c>
      <c r="Y192" s="21" t="n">
        <f aca="false">MAX(0,W192*(1-X192)-InitDed)</f>
        <v>0.132021130458131</v>
      </c>
      <c r="Z192" s="29" t="n">
        <f aca="false">SUMPRODUCT((Y192&gt;CLo)*(Y192-CLo)*CD)*(1+LocalTax)</f>
        <v>0.00871339461023666</v>
      </c>
      <c r="AA192" s="21" t="n">
        <f aca="false">K192+T192+Z192</f>
        <v>0.81914668061108</v>
      </c>
      <c r="AB192" s="29" t="n">
        <f aca="false">IF(C192=5,0,(Q192-H192)-K192-L192-R192-S192-T192-Z192)</f>
        <v>1.05833163696484</v>
      </c>
      <c r="AC192" s="21" t="n">
        <f aca="false">IF(C192=5,0,N192*((1+DepRate*(1-DepTax))^G192-1))</f>
        <v>3.473373350394</v>
      </c>
      <c r="AD192" s="29" t="n">
        <f aca="false">IF(C192=5,0,AB192-AC192+I192*(((1+DepRate*(1-DepTax))^G192-1)-((1+DepRate*(1-DepTax))^O192-1)))</f>
        <v>-0.267362073766805</v>
      </c>
      <c r="AE192" s="30" t="n">
        <f aca="false">IF(J192&gt;0,-PMT(Rm,LoanYears*12,J192)*10000,0)</f>
        <v>138.450435684983</v>
      </c>
      <c r="AF192" s="21" t="n">
        <f aca="false">IF(J192&gt;0,-PMT((Rate+Stress)/12,LoanYears*12,J192)*12/DSR,0)</f>
        <v>0.578813170805889</v>
      </c>
      <c r="AG192" s="20" t="n">
        <f aca="false">IF(N192&lt;=CapA,1,0)</f>
        <v>0</v>
      </c>
      <c r="AH192" s="20" t="n">
        <f aca="false">IF(N192&lt;=CapB,1,0)</f>
        <v>1</v>
      </c>
      <c r="AI192" s="20" t="n">
        <f aca="false">IF(N192&lt;=CapC,1,0)</f>
        <v>1</v>
      </c>
      <c r="AJ192" s="21" t="n">
        <f aca="false">IF(AG192=1,AD192,-999)</f>
        <v>-999</v>
      </c>
      <c r="AK192" s="21" t="n">
        <f aca="false">IF(AH192=1,AD192,-999)</f>
        <v>-0.267362073766805</v>
      </c>
      <c r="AL192" s="21" t="n">
        <f aca="false">IF(AI192=1,AD192,-999)</f>
        <v>-0.267362073766805</v>
      </c>
      <c r="AM192" s="21" t="str">
        <f aca="false">C192&amp;"|"&amp;E192&amp;"|"&amp;G192&amp;"|"&amp;TEXT(AJ192,"0.00000")</f>
        <v>2|1|10|-999.00000</v>
      </c>
      <c r="AN192" s="21" t="str">
        <f aca="false">C192&amp;"|"&amp;E192&amp;"|"&amp;G192&amp;"|"&amp;TEXT(AK192,"0.00000")</f>
        <v>2|1|10|-0.26736</v>
      </c>
      <c r="AO192" s="21" t="str">
        <f aca="false">C192&amp;"|"&amp;E192&amp;"|"&amp;G192&amp;"|"&amp;TEXT(AL192,"0.00000")</f>
        <v>2|1|10|-0.26736</v>
      </c>
    </row>
    <row r="193" customFormat="false" ht="15" hidden="false" customHeight="false" outlineLevel="0" collapsed="false">
      <c r="A193" s="20" t="n">
        <v>7</v>
      </c>
      <c r="B193" s="18" t="str">
        <f aca="false">INDEX(C_Name,A193)</f>
        <v>노량진동 쌍용예가 85㎡</v>
      </c>
      <c r="C193" s="20" t="n">
        <v>2</v>
      </c>
      <c r="D193" s="21" t="str">
        <f aca="false">CHOOSE(C193,"1안 표준형(대출 최대)","2안 절충형(대출 50%)","3안 무대출형","4안 임대차 승계 후 입주","5안 매수 보류(전세 거주)")</f>
        <v>2안 절충형(대출 50%)</v>
      </c>
      <c r="E193" s="20" t="n">
        <v>2</v>
      </c>
      <c r="F193" s="10" t="n">
        <f aca="false">CHOOSE(E193,GrowLo,GrowMid,GrowHi)</f>
        <v>0.04</v>
      </c>
      <c r="G193" s="20" t="n">
        <v>5</v>
      </c>
      <c r="H193" s="18" t="n">
        <f aca="false">INDEX(C_Price,A193)</f>
        <v>14.5</v>
      </c>
      <c r="I193" s="18" t="n">
        <f aca="false">INDEX(C_Jeonse,A193)</f>
        <v>7.54</v>
      </c>
      <c r="J193" s="21" t="n">
        <f aca="false">IF(C193=5,0,IF(C193=1,INDEX(C_Loan,A193),IF(C193=2,INDEX(C_Loan,A193)*LoanShare2,IF(C193=3,0,MIN(INDEX(C_Loan,A193),I193)))))</f>
        <v>2.9</v>
      </c>
      <c r="K193" s="18" t="n">
        <f aca="false">IF(C193=5,0,INDEX(C_Acq,A193))</f>
        <v>0.4785</v>
      </c>
      <c r="L193" s="18" t="n">
        <f aca="false">IF(C193=5,0,INDEX(C_Fee,A193))</f>
        <v>0.1157</v>
      </c>
      <c r="M193" s="21" t="n">
        <f aca="false">IF(C193=4,MAX(0,I193-J193),0)</f>
        <v>0</v>
      </c>
      <c r="N193" s="21" t="n">
        <f aca="false">IF(C193=5,I193,IF(C193=4,(H193-I193)+K193+L193+M193,H193-J193+K193+L193))</f>
        <v>12.1942</v>
      </c>
      <c r="O193" s="20" t="n">
        <f aca="false">IF(C193=4,RentYears,0)</f>
        <v>0</v>
      </c>
      <c r="P193" s="20" t="n">
        <f aca="false">IF(C193=5,0,MAX(0,G193-O193-NonRes))</f>
        <v>5</v>
      </c>
      <c r="Q193" s="21" t="n">
        <f aca="false">IF(C193=5,0,H193*(1+F193)^G193)</f>
        <v>17.6414670848</v>
      </c>
      <c r="R193" s="21" t="n">
        <f aca="false">IF(C193=5,0,Q193*LOOKUP(Q193,FeeLo,FeeR)*(1+VAT))</f>
        <v>0.13583929655296</v>
      </c>
      <c r="S193" s="21" t="n">
        <f aca="false">IF(J193&gt;0,-CUMIPMT(Rm,LoanYears*12,J193,1,(G193-O193)*12,0),0)</f>
        <v>0.553680495056537</v>
      </c>
      <c r="T193" s="29" t="n">
        <f aca="false">IF(C193=5,0,SUMIFS(Sch_Total,Sch_Idx,A193,Sch_Scen,E193,Sch_Year,"&lt;="&amp;G193))</f>
        <v>0.163787942831616</v>
      </c>
      <c r="U193" s="21" t="n">
        <f aca="false">K193+L193+R193</f>
        <v>0.73003929655296</v>
      </c>
      <c r="V193" s="21" t="n">
        <f aca="false">IF(C193=5,0,Q193-H193-U193)</f>
        <v>2.41142778824704</v>
      </c>
      <c r="W193" s="21" t="n">
        <f aca="false">IF(C193=5,0,MAX(0,IF(P193&gt;=2,IF(Q193&gt;Exempt,V193*(Q193-Exempt)/Q193,0),V193)))</f>
        <v>0.771137141223875</v>
      </c>
      <c r="X193" s="10" t="n">
        <f aca="false">IF(P193&gt;=2,MIN(MaxDed,MIN(0.4,HoldRate*G193)+MIN(0.4,LiveRate*P193)),IF(G193&gt;=3,MIN(0.3,0.02*G193),0))</f>
        <v>0.4</v>
      </c>
      <c r="Y193" s="21" t="n">
        <f aca="false">MAX(0,W193*(1-X193)-InitDed)</f>
        <v>0.437682284734325</v>
      </c>
      <c r="Z193" s="29" t="n">
        <f aca="false">SUMPRODUCT((Y193&gt;CLo)*(Y193-CLo)*CD)*(1+LocalTax)</f>
        <v>0.0583575769811636</v>
      </c>
      <c r="AA193" s="21" t="n">
        <f aca="false">K193+T193+Z193</f>
        <v>0.70064551981278</v>
      </c>
      <c r="AB193" s="29" t="n">
        <f aca="false">IF(C193=5,0,(Q193-H193)-K193-L193-R193-S193-T193-Z193)</f>
        <v>1.63560177337773</v>
      </c>
      <c r="AC193" s="21" t="n">
        <f aca="false">IF(C193=5,0,N193*((1+DepRate*(1-DepTax))^G193-1))</f>
        <v>1.62801121779632</v>
      </c>
      <c r="AD193" s="29" t="n">
        <f aca="false">IF(C193=5,0,AB193-AC193+I193*(((1+DepRate*(1-DepTax))^G193-1)-((1+DepRate*(1-DepTax))^O193-1)))</f>
        <v>1.01423343352208</v>
      </c>
      <c r="AE193" s="30" t="n">
        <f aca="false">IF(J193&gt;0,-PMT(Rm,LoanYears*12,J193)*10000,0)</f>
        <v>138.450435684983</v>
      </c>
      <c r="AF193" s="21" t="n">
        <f aca="false">IF(J193&gt;0,-PMT((Rate+Stress)/12,LoanYears*12,J193)*12/DSR,0)</f>
        <v>0.578813170805889</v>
      </c>
      <c r="AG193" s="20" t="n">
        <f aca="false">IF(N193&lt;=CapA,1,0)</f>
        <v>0</v>
      </c>
      <c r="AH193" s="20" t="n">
        <f aca="false">IF(N193&lt;=CapB,1,0)</f>
        <v>1</v>
      </c>
      <c r="AI193" s="20" t="n">
        <f aca="false">IF(N193&lt;=CapC,1,0)</f>
        <v>1</v>
      </c>
      <c r="AJ193" s="21" t="n">
        <f aca="false">IF(AG193=1,AD193,-999)</f>
        <v>-999</v>
      </c>
      <c r="AK193" s="21" t="n">
        <f aca="false">IF(AH193=1,AD193,-999)</f>
        <v>1.01423343352208</v>
      </c>
      <c r="AL193" s="21" t="n">
        <f aca="false">IF(AI193=1,AD193,-999)</f>
        <v>1.01423343352208</v>
      </c>
      <c r="AM193" s="21" t="str">
        <f aca="false">C193&amp;"|"&amp;E193&amp;"|"&amp;G193&amp;"|"&amp;TEXT(AJ193,"0.00000")</f>
        <v>2|2|5|-999.00000</v>
      </c>
      <c r="AN193" s="21" t="str">
        <f aca="false">C193&amp;"|"&amp;E193&amp;"|"&amp;G193&amp;"|"&amp;TEXT(AK193,"0.00000")</f>
        <v>2|2|5|1.01423</v>
      </c>
      <c r="AO193" s="21" t="str">
        <f aca="false">C193&amp;"|"&amp;E193&amp;"|"&amp;G193&amp;"|"&amp;TEXT(AL193,"0.00000")</f>
        <v>2|2|5|1.01423</v>
      </c>
    </row>
    <row r="194" customFormat="false" ht="15" hidden="false" customHeight="false" outlineLevel="0" collapsed="false">
      <c r="A194" s="20" t="n">
        <v>7</v>
      </c>
      <c r="B194" s="18" t="str">
        <f aca="false">INDEX(C_Name,A194)</f>
        <v>노량진동 쌍용예가 85㎡</v>
      </c>
      <c r="C194" s="20" t="n">
        <v>2</v>
      </c>
      <c r="D194" s="21" t="str">
        <f aca="false">CHOOSE(C194,"1안 표준형(대출 최대)","2안 절충형(대출 50%)","3안 무대출형","4안 임대차 승계 후 입주","5안 매수 보류(전세 거주)")</f>
        <v>2안 절충형(대출 50%)</v>
      </c>
      <c r="E194" s="20" t="n">
        <v>2</v>
      </c>
      <c r="F194" s="10" t="n">
        <f aca="false">CHOOSE(E194,GrowLo,GrowMid,GrowHi)</f>
        <v>0.04</v>
      </c>
      <c r="G194" s="20" t="n">
        <v>10</v>
      </c>
      <c r="H194" s="18" t="n">
        <f aca="false">INDEX(C_Price,A194)</f>
        <v>14.5</v>
      </c>
      <c r="I194" s="18" t="n">
        <f aca="false">INDEX(C_Jeonse,A194)</f>
        <v>7.54</v>
      </c>
      <c r="J194" s="21" t="n">
        <f aca="false">IF(C194=5,0,IF(C194=1,INDEX(C_Loan,A194),IF(C194=2,INDEX(C_Loan,A194)*LoanShare2,IF(C194=3,0,MIN(INDEX(C_Loan,A194),I194)))))</f>
        <v>2.9</v>
      </c>
      <c r="K194" s="18" t="n">
        <f aca="false">IF(C194=5,0,INDEX(C_Acq,A194))</f>
        <v>0.4785</v>
      </c>
      <c r="L194" s="18" t="n">
        <f aca="false">IF(C194=5,0,INDEX(C_Fee,A194))</f>
        <v>0.1157</v>
      </c>
      <c r="M194" s="21" t="n">
        <f aca="false">IF(C194=4,MAX(0,I194-J194),0)</f>
        <v>0</v>
      </c>
      <c r="N194" s="21" t="n">
        <f aca="false">IF(C194=5,I194,IF(C194=4,(H194-I194)+K194+L194+M194,H194-J194+K194+L194))</f>
        <v>12.1942</v>
      </c>
      <c r="O194" s="20" t="n">
        <f aca="false">IF(C194=4,RentYears,0)</f>
        <v>0</v>
      </c>
      <c r="P194" s="20" t="n">
        <f aca="false">IF(C194=5,0,MAX(0,G194-O194-NonRes))</f>
        <v>10</v>
      </c>
      <c r="Q194" s="21" t="n">
        <f aca="false">IF(C194=5,0,H194*(1+F194)^G194)</f>
        <v>21.463542131316</v>
      </c>
      <c r="R194" s="21" t="n">
        <f aca="false">IF(C194=5,0,Q194*LOOKUP(Q194,FeeLo,FeeR)*(1+VAT))</f>
        <v>0.165269274411133</v>
      </c>
      <c r="S194" s="21" t="n">
        <f aca="false">IF(J194&gt;0,-CUMIPMT(Rm,LoanYears*12,J194,1,(G194-O194)*12,0),0)</f>
        <v>1.04614004535565</v>
      </c>
      <c r="T194" s="29" t="n">
        <f aca="false">IF(C194=5,0,SUMIFS(Sch_Total,Sch_Idx,A194,Sch_Scen,E194,Sch_Year,"&lt;="&amp;G194))</f>
        <v>0.39260135895519</v>
      </c>
      <c r="U194" s="21" t="n">
        <f aca="false">K194+L194+R194</f>
        <v>0.759469274411133</v>
      </c>
      <c r="V194" s="21" t="n">
        <f aca="false">IF(C194=5,0,Q194-H194-U194)</f>
        <v>6.20407285690486</v>
      </c>
      <c r="W194" s="21" t="n">
        <f aca="false">IF(C194=5,0,MAX(0,IF(P194&gt;=2,IF(Q194&gt;Exempt,V194*(Q194-Exempt)/Q194,0),V194)))</f>
        <v>2.73545272760034</v>
      </c>
      <c r="X194" s="10" t="n">
        <f aca="false">IF(P194&gt;=2,MIN(MaxDed,MIN(0.4,HoldRate*G194)+MIN(0.4,LiveRate*P194)),IF(G194&gt;=3,MIN(0.3,0.02*G194),0))</f>
        <v>0.8</v>
      </c>
      <c r="Y194" s="21" t="n">
        <f aca="false">MAX(0,W194*(1-X194)-InitDed)</f>
        <v>0.522090545520068</v>
      </c>
      <c r="Z194" s="29" t="n">
        <f aca="false">SUMPRODUCT((Y194&gt;CLo)*(Y194-CLo)*CD)*(1+LocalTax)</f>
        <v>0.0744719040172979</v>
      </c>
      <c r="AA194" s="21" t="n">
        <f aca="false">K194+T194+Z194</f>
        <v>0.945573262972488</v>
      </c>
      <c r="AB194" s="29" t="n">
        <f aca="false">IF(C194=5,0,(Q194-H194)-K194-L194-R194-S194-T194-Z194)</f>
        <v>4.69085954857672</v>
      </c>
      <c r="AC194" s="21" t="n">
        <f aca="false">IF(C194=5,0,N194*((1+DepRate*(1-DepTax))^G194-1))</f>
        <v>3.473373350394</v>
      </c>
      <c r="AD194" s="29" t="n">
        <f aca="false">IF(C194=5,0,AB194-AC194+I194*(((1+DepRate*(1-DepTax))^G194-1)-((1+DepRate*(1-DepTax))^O194-1)))</f>
        <v>3.36516583784508</v>
      </c>
      <c r="AE194" s="30" t="n">
        <f aca="false">IF(J194&gt;0,-PMT(Rm,LoanYears*12,J194)*10000,0)</f>
        <v>138.450435684983</v>
      </c>
      <c r="AF194" s="21" t="n">
        <f aca="false">IF(J194&gt;0,-PMT((Rate+Stress)/12,LoanYears*12,J194)*12/DSR,0)</f>
        <v>0.578813170805889</v>
      </c>
      <c r="AG194" s="20" t="n">
        <f aca="false">IF(N194&lt;=CapA,1,0)</f>
        <v>0</v>
      </c>
      <c r="AH194" s="20" t="n">
        <f aca="false">IF(N194&lt;=CapB,1,0)</f>
        <v>1</v>
      </c>
      <c r="AI194" s="20" t="n">
        <f aca="false">IF(N194&lt;=CapC,1,0)</f>
        <v>1</v>
      </c>
      <c r="AJ194" s="21" t="n">
        <f aca="false">IF(AG194=1,AD194,-999)</f>
        <v>-999</v>
      </c>
      <c r="AK194" s="21" t="n">
        <f aca="false">IF(AH194=1,AD194,-999)</f>
        <v>3.36516583784508</v>
      </c>
      <c r="AL194" s="21" t="n">
        <f aca="false">IF(AI194=1,AD194,-999)</f>
        <v>3.36516583784508</v>
      </c>
      <c r="AM194" s="21" t="str">
        <f aca="false">C194&amp;"|"&amp;E194&amp;"|"&amp;G194&amp;"|"&amp;TEXT(AJ194,"0.00000")</f>
        <v>2|2|10|-999.00000</v>
      </c>
      <c r="AN194" s="21" t="str">
        <f aca="false">C194&amp;"|"&amp;E194&amp;"|"&amp;G194&amp;"|"&amp;TEXT(AK194,"0.00000")</f>
        <v>2|2|10|3.36517</v>
      </c>
      <c r="AO194" s="21" t="str">
        <f aca="false">C194&amp;"|"&amp;E194&amp;"|"&amp;G194&amp;"|"&amp;TEXT(AL194,"0.00000")</f>
        <v>2|2|10|3.36517</v>
      </c>
    </row>
    <row r="195" customFormat="false" ht="15" hidden="false" customHeight="false" outlineLevel="0" collapsed="false">
      <c r="A195" s="20" t="n">
        <v>7</v>
      </c>
      <c r="B195" s="18" t="str">
        <f aca="false">INDEX(C_Name,A195)</f>
        <v>노량진동 쌍용예가 85㎡</v>
      </c>
      <c r="C195" s="20" t="n">
        <v>2</v>
      </c>
      <c r="D195" s="21" t="str">
        <f aca="false">CHOOSE(C195,"1안 표준형(대출 최대)","2안 절충형(대출 50%)","3안 무대출형","4안 임대차 승계 후 입주","5안 매수 보류(전세 거주)")</f>
        <v>2안 절충형(대출 50%)</v>
      </c>
      <c r="E195" s="20" t="n">
        <v>3</v>
      </c>
      <c r="F195" s="10" t="n">
        <f aca="false">CHOOSE(E195,GrowLo,GrowMid,GrowHi)</f>
        <v>0.06</v>
      </c>
      <c r="G195" s="20" t="n">
        <v>5</v>
      </c>
      <c r="H195" s="18" t="n">
        <f aca="false">INDEX(C_Price,A195)</f>
        <v>14.5</v>
      </c>
      <c r="I195" s="18" t="n">
        <f aca="false">INDEX(C_Jeonse,A195)</f>
        <v>7.54</v>
      </c>
      <c r="J195" s="21" t="n">
        <f aca="false">IF(C195=5,0,IF(C195=1,INDEX(C_Loan,A195),IF(C195=2,INDEX(C_Loan,A195)*LoanShare2,IF(C195=3,0,MIN(INDEX(C_Loan,A195),I195)))))</f>
        <v>2.9</v>
      </c>
      <c r="K195" s="18" t="n">
        <f aca="false">IF(C195=5,0,INDEX(C_Acq,A195))</f>
        <v>0.4785</v>
      </c>
      <c r="L195" s="18" t="n">
        <f aca="false">IF(C195=5,0,INDEX(C_Fee,A195))</f>
        <v>0.1157</v>
      </c>
      <c r="M195" s="21" t="n">
        <f aca="false">IF(C195=4,MAX(0,I195-J195),0)</f>
        <v>0</v>
      </c>
      <c r="N195" s="21" t="n">
        <f aca="false">IF(C195=5,I195,IF(C195=4,(H195-I195)+K195+L195+M195,H195-J195+K195+L195))</f>
        <v>12.1942</v>
      </c>
      <c r="O195" s="20" t="n">
        <f aca="false">IF(C195=4,RentYears,0)</f>
        <v>0</v>
      </c>
      <c r="P195" s="20" t="n">
        <f aca="false">IF(C195=5,0,MAX(0,G195-O195-NonRes))</f>
        <v>5</v>
      </c>
      <c r="Q195" s="21" t="n">
        <f aca="false">IF(C195=5,0,H195*(1+F195)^G195)</f>
        <v>19.4042708752</v>
      </c>
      <c r="R195" s="21" t="n">
        <f aca="false">IF(C195=5,0,Q195*LOOKUP(Q195,FeeLo,FeeR)*(1+VAT))</f>
        <v>0.14941288573904</v>
      </c>
      <c r="S195" s="21" t="n">
        <f aca="false">IF(J195&gt;0,-CUMIPMT(Rm,LoanYears*12,J195,1,(G195-O195)*12,0),0)</f>
        <v>0.553680495056537</v>
      </c>
      <c r="T195" s="29" t="n">
        <f aca="false">IF(C195=5,0,SUMIFS(Sch_Total,Sch_Idx,A195,Sch_Scen,E195,Sch_Year,"&lt;="&amp;G195))</f>
        <v>0.174276603186336</v>
      </c>
      <c r="U195" s="21" t="n">
        <f aca="false">K195+L195+R195</f>
        <v>0.74361288573904</v>
      </c>
      <c r="V195" s="21" t="n">
        <f aca="false">IF(C195=5,0,Q195-H195-U195)</f>
        <v>4.16065798946097</v>
      </c>
      <c r="W195" s="21" t="n">
        <f aca="false">IF(C195=5,0,MAX(0,IF(P195&gt;=2,IF(Q195&gt;Exempt,V195*(Q195-Exempt)/Q195,0),V195)))</f>
        <v>1.58762155873669</v>
      </c>
      <c r="X195" s="10" t="n">
        <f aca="false">IF(P195&gt;=2,MIN(MaxDed,MIN(0.4,HoldRate*G195)+MIN(0.4,LiveRate*P195)),IF(G195&gt;=3,MIN(0.3,0.02*G195),0))</f>
        <v>0.4</v>
      </c>
      <c r="Y195" s="21" t="n">
        <f aca="false">MAX(0,W195*(1-X195)-InitDed)</f>
        <v>0.927572935242015</v>
      </c>
      <c r="Z195" s="29" t="n">
        <f aca="false">SUMPRODUCT((Y195&gt;CLo)*(Y195-CLo)*CD)*(1+LocalTax)</f>
        <v>0.187275580068176</v>
      </c>
      <c r="AA195" s="21" t="n">
        <f aca="false">K195+T195+Z195</f>
        <v>0.840052183254512</v>
      </c>
      <c r="AB195" s="29" t="n">
        <f aca="false">IF(C195=5,0,(Q195-H195)-K195-L195-R195-S195-T195-Z195)</f>
        <v>3.24542531114992</v>
      </c>
      <c r="AC195" s="21" t="n">
        <f aca="false">IF(C195=5,0,N195*((1+DepRate*(1-DepTax))^G195-1))</f>
        <v>1.62801121779632</v>
      </c>
      <c r="AD195" s="29" t="n">
        <f aca="false">IF(C195=5,0,AB195-AC195+I195*(((1+DepRate*(1-DepTax))^G195-1)-((1+DepRate*(1-DepTax))^O195-1)))</f>
        <v>2.62405697129427</v>
      </c>
      <c r="AE195" s="30" t="n">
        <f aca="false">IF(J195&gt;0,-PMT(Rm,LoanYears*12,J195)*10000,0)</f>
        <v>138.450435684983</v>
      </c>
      <c r="AF195" s="21" t="n">
        <f aca="false">IF(J195&gt;0,-PMT((Rate+Stress)/12,LoanYears*12,J195)*12/DSR,0)</f>
        <v>0.578813170805889</v>
      </c>
      <c r="AG195" s="20" t="n">
        <f aca="false">IF(N195&lt;=CapA,1,0)</f>
        <v>0</v>
      </c>
      <c r="AH195" s="20" t="n">
        <f aca="false">IF(N195&lt;=CapB,1,0)</f>
        <v>1</v>
      </c>
      <c r="AI195" s="20" t="n">
        <f aca="false">IF(N195&lt;=CapC,1,0)</f>
        <v>1</v>
      </c>
      <c r="AJ195" s="21" t="n">
        <f aca="false">IF(AG195=1,AD195,-999)</f>
        <v>-999</v>
      </c>
      <c r="AK195" s="21" t="n">
        <f aca="false">IF(AH195=1,AD195,-999)</f>
        <v>2.62405697129427</v>
      </c>
      <c r="AL195" s="21" t="n">
        <f aca="false">IF(AI195=1,AD195,-999)</f>
        <v>2.62405697129427</v>
      </c>
      <c r="AM195" s="21" t="str">
        <f aca="false">C195&amp;"|"&amp;E195&amp;"|"&amp;G195&amp;"|"&amp;TEXT(AJ195,"0.00000")</f>
        <v>2|3|5|-999.00000</v>
      </c>
      <c r="AN195" s="21" t="str">
        <f aca="false">C195&amp;"|"&amp;E195&amp;"|"&amp;G195&amp;"|"&amp;TEXT(AK195,"0.00000")</f>
        <v>2|3|5|2.62406</v>
      </c>
      <c r="AO195" s="21" t="str">
        <f aca="false">C195&amp;"|"&amp;E195&amp;"|"&amp;G195&amp;"|"&amp;TEXT(AL195,"0.00000")</f>
        <v>2|3|5|2.62406</v>
      </c>
    </row>
    <row r="196" customFormat="false" ht="15" hidden="false" customHeight="false" outlineLevel="0" collapsed="false">
      <c r="A196" s="20" t="n">
        <v>7</v>
      </c>
      <c r="B196" s="18" t="str">
        <f aca="false">INDEX(C_Name,A196)</f>
        <v>노량진동 쌍용예가 85㎡</v>
      </c>
      <c r="C196" s="20" t="n">
        <v>2</v>
      </c>
      <c r="D196" s="21" t="str">
        <f aca="false">CHOOSE(C196,"1안 표준형(대출 최대)","2안 절충형(대출 50%)","3안 무대출형","4안 임대차 승계 후 입주","5안 매수 보류(전세 거주)")</f>
        <v>2안 절충형(대출 50%)</v>
      </c>
      <c r="E196" s="20" t="n">
        <v>3</v>
      </c>
      <c r="F196" s="10" t="n">
        <f aca="false">CHOOSE(E196,GrowLo,GrowMid,GrowHi)</f>
        <v>0.06</v>
      </c>
      <c r="G196" s="20" t="n">
        <v>10</v>
      </c>
      <c r="H196" s="18" t="n">
        <f aca="false">INDEX(C_Price,A196)</f>
        <v>14.5</v>
      </c>
      <c r="I196" s="18" t="n">
        <f aca="false">INDEX(C_Jeonse,A196)</f>
        <v>7.54</v>
      </c>
      <c r="J196" s="21" t="n">
        <f aca="false">IF(C196=5,0,IF(C196=1,INDEX(C_Loan,A196),IF(C196=2,INDEX(C_Loan,A196)*LoanShare2,IF(C196=3,0,MIN(INDEX(C_Loan,A196),I196)))))</f>
        <v>2.9</v>
      </c>
      <c r="K196" s="18" t="n">
        <f aca="false">IF(C196=5,0,INDEX(C_Acq,A196))</f>
        <v>0.4785</v>
      </c>
      <c r="L196" s="18" t="n">
        <f aca="false">IF(C196=5,0,INDEX(C_Fee,A196))</f>
        <v>0.1157</v>
      </c>
      <c r="M196" s="21" t="n">
        <f aca="false">IF(C196=4,MAX(0,I196-J196),0)</f>
        <v>0</v>
      </c>
      <c r="N196" s="21" t="n">
        <f aca="false">IF(C196=5,I196,IF(C196=4,(H196-I196)+K196+L196+M196,H196-J196+K196+L196))</f>
        <v>12.1942</v>
      </c>
      <c r="O196" s="20" t="n">
        <f aca="false">IF(C196=4,RentYears,0)</f>
        <v>0</v>
      </c>
      <c r="P196" s="20" t="n">
        <f aca="false">IF(C196=5,0,MAX(0,G196-O196-NonRes))</f>
        <v>10</v>
      </c>
      <c r="Q196" s="21" t="n">
        <f aca="false">IF(C196=5,0,H196*(1+F196)^G196)</f>
        <v>25.9672915998714</v>
      </c>
      <c r="R196" s="21" t="n">
        <f aca="false">IF(C196=5,0,Q196*LOOKUP(Q196,FeeLo,FeeR)*(1+VAT))</f>
        <v>0.19994814531901</v>
      </c>
      <c r="S196" s="21" t="n">
        <f aca="false">IF(J196&gt;0,-CUMIPMT(Rm,LoanYears*12,J196,1,(G196-O196)*12,0),0)</f>
        <v>1.04614004535565</v>
      </c>
      <c r="T196" s="29" t="n">
        <f aca="false">IF(C196=5,0,SUMIFS(Sch_Total,Sch_Idx,A196,Sch_Scen,E196,Sch_Year,"&lt;="&amp;G196))</f>
        <v>0.472951687789173</v>
      </c>
      <c r="U196" s="21" t="n">
        <f aca="false">K196+L196+R196</f>
        <v>0.79414814531901</v>
      </c>
      <c r="V196" s="21" t="n">
        <f aca="false">IF(C196=5,0,Q196-H196-U196)</f>
        <v>10.6731434545524</v>
      </c>
      <c r="W196" s="21" t="n">
        <f aca="false">IF(C196=5,0,MAX(0,IF(P196&gt;=2,IF(Q196&gt;Exempt,V196*(Q196-Exempt)/Q196,0),V196)))</f>
        <v>5.74087237183142</v>
      </c>
      <c r="X196" s="10" t="n">
        <f aca="false">IF(P196&gt;=2,MIN(MaxDed,MIN(0.4,HoldRate*G196)+MIN(0.4,LiveRate*P196)),IF(G196&gt;=3,MIN(0.3,0.02*G196),0))</f>
        <v>0.8</v>
      </c>
      <c r="Y196" s="21" t="n">
        <f aca="false">MAX(0,W196*(1-X196)-InitDed)</f>
        <v>1.12317447436628</v>
      </c>
      <c r="Z196" s="29" t="n">
        <f aca="false">SUMPRODUCT((Y196&gt;CLo)*(Y196-CLo)*CD)*(1+LocalTax)</f>
        <v>0.262582172631019</v>
      </c>
      <c r="AA196" s="21" t="n">
        <f aca="false">K196+T196+Z196</f>
        <v>1.21403386042019</v>
      </c>
      <c r="AB196" s="29" t="n">
        <f aca="false">IF(C196=5,0,(Q196-H196)-K196-L196-R196-S196-T196-Z196)</f>
        <v>8.89146954877654</v>
      </c>
      <c r="AC196" s="21" t="n">
        <f aca="false">IF(C196=5,0,N196*((1+DepRate*(1-DepTax))^G196-1))</f>
        <v>3.473373350394</v>
      </c>
      <c r="AD196" s="29" t="n">
        <f aca="false">IF(C196=5,0,AB196-AC196+I196*(((1+DepRate*(1-DepTax))^G196-1)-((1+DepRate*(1-DepTax))^O196-1)))</f>
        <v>7.5657758380449</v>
      </c>
      <c r="AE196" s="30" t="n">
        <f aca="false">IF(J196&gt;0,-PMT(Rm,LoanYears*12,J196)*10000,0)</f>
        <v>138.450435684983</v>
      </c>
      <c r="AF196" s="21" t="n">
        <f aca="false">IF(J196&gt;0,-PMT((Rate+Stress)/12,LoanYears*12,J196)*12/DSR,0)</f>
        <v>0.578813170805889</v>
      </c>
      <c r="AG196" s="20" t="n">
        <f aca="false">IF(N196&lt;=CapA,1,0)</f>
        <v>0</v>
      </c>
      <c r="AH196" s="20" t="n">
        <f aca="false">IF(N196&lt;=CapB,1,0)</f>
        <v>1</v>
      </c>
      <c r="AI196" s="20" t="n">
        <f aca="false">IF(N196&lt;=CapC,1,0)</f>
        <v>1</v>
      </c>
      <c r="AJ196" s="21" t="n">
        <f aca="false">IF(AG196=1,AD196,-999)</f>
        <v>-999</v>
      </c>
      <c r="AK196" s="21" t="n">
        <f aca="false">IF(AH196=1,AD196,-999)</f>
        <v>7.5657758380449</v>
      </c>
      <c r="AL196" s="21" t="n">
        <f aca="false">IF(AI196=1,AD196,-999)</f>
        <v>7.5657758380449</v>
      </c>
      <c r="AM196" s="21" t="str">
        <f aca="false">C196&amp;"|"&amp;E196&amp;"|"&amp;G196&amp;"|"&amp;TEXT(AJ196,"0.00000")</f>
        <v>2|3|10|-999.00000</v>
      </c>
      <c r="AN196" s="21" t="str">
        <f aca="false">C196&amp;"|"&amp;E196&amp;"|"&amp;G196&amp;"|"&amp;TEXT(AK196,"0.00000")</f>
        <v>2|3|10|7.56578</v>
      </c>
      <c r="AO196" s="21" t="str">
        <f aca="false">C196&amp;"|"&amp;E196&amp;"|"&amp;G196&amp;"|"&amp;TEXT(AL196,"0.00000")</f>
        <v>2|3|10|7.56578</v>
      </c>
    </row>
    <row r="197" customFormat="false" ht="15" hidden="false" customHeight="false" outlineLevel="0" collapsed="false">
      <c r="A197" s="20" t="n">
        <v>7</v>
      </c>
      <c r="B197" s="18" t="str">
        <f aca="false">INDEX(C_Name,A197)</f>
        <v>노량진동 쌍용예가 85㎡</v>
      </c>
      <c r="C197" s="20" t="n">
        <v>3</v>
      </c>
      <c r="D197" s="21" t="str">
        <f aca="false">CHOOSE(C197,"1안 표준형(대출 최대)","2안 절충형(대출 50%)","3안 무대출형","4안 임대차 승계 후 입주","5안 매수 보류(전세 거주)")</f>
        <v>3안 무대출형</v>
      </c>
      <c r="E197" s="20" t="n">
        <v>1</v>
      </c>
      <c r="F197" s="10" t="n">
        <f aca="false">CHOOSE(E197,GrowLo,GrowMid,GrowHi)</f>
        <v>0.02</v>
      </c>
      <c r="G197" s="20" t="n">
        <v>5</v>
      </c>
      <c r="H197" s="18" t="n">
        <f aca="false">INDEX(C_Price,A197)</f>
        <v>14.5</v>
      </c>
      <c r="I197" s="18" t="n">
        <f aca="false">INDEX(C_Jeonse,A197)</f>
        <v>7.54</v>
      </c>
      <c r="J197" s="21" t="n">
        <f aca="false">IF(C197=5,0,IF(C197=1,INDEX(C_Loan,A197),IF(C197=2,INDEX(C_Loan,A197)*LoanShare2,IF(C197=3,0,MIN(INDEX(C_Loan,A197),I197)))))</f>
        <v>0</v>
      </c>
      <c r="K197" s="18" t="n">
        <f aca="false">IF(C197=5,0,INDEX(C_Acq,A197))</f>
        <v>0.4785</v>
      </c>
      <c r="L197" s="18" t="n">
        <f aca="false">IF(C197=5,0,INDEX(C_Fee,A197))</f>
        <v>0.1157</v>
      </c>
      <c r="M197" s="21" t="n">
        <f aca="false">IF(C197=4,MAX(0,I197-J197),0)</f>
        <v>0</v>
      </c>
      <c r="N197" s="21" t="n">
        <f aca="false">IF(C197=5,I197,IF(C197=4,(H197-I197)+K197+L197+M197,H197-J197+K197+L197))</f>
        <v>15.0942</v>
      </c>
      <c r="O197" s="20" t="n">
        <f aca="false">IF(C197=4,RentYears,0)</f>
        <v>0</v>
      </c>
      <c r="P197" s="20" t="n">
        <f aca="false">IF(C197=5,0,MAX(0,G197-O197-NonRes))</f>
        <v>5</v>
      </c>
      <c r="Q197" s="21" t="n">
        <f aca="false">IF(C197=5,0,H197*(1+F197)^G197)</f>
        <v>16.0091716464</v>
      </c>
      <c r="R197" s="21" t="n">
        <f aca="false">IF(C197=5,0,Q197*LOOKUP(Q197,FeeLo,FeeR)*(1+VAT))</f>
        <v>0.12327062167728</v>
      </c>
      <c r="S197" s="21" t="n">
        <f aca="false">IF(J197&gt;0,-CUMIPMT(Rm,LoanYears*12,J197,1,(G197-O197)*12,0),0)</f>
        <v>0</v>
      </c>
      <c r="T197" s="29" t="n">
        <f aca="false">IF(C197=5,0,SUMIFS(Sch_Total,Sch_Idx,A197,Sch_Scen,E197,Sch_Year,"&lt;="&amp;G197))</f>
        <v>0.155887089098976</v>
      </c>
      <c r="U197" s="21" t="n">
        <f aca="false">K197+L197+R197</f>
        <v>0.71747062167728</v>
      </c>
      <c r="V197" s="21" t="n">
        <f aca="false">IF(C197=5,0,Q197-H197-U197)</f>
        <v>0.791701024722719</v>
      </c>
      <c r="W197" s="21" t="n">
        <f aca="false">IF(C197=5,0,MAX(0,IF(P197&gt;=2,IF(Q197&gt;Exempt,V197*(Q197-Exempt)/Q197,0),V197)))</f>
        <v>0.198265430020416</v>
      </c>
      <c r="X197" s="10" t="n">
        <f aca="false">IF(P197&gt;=2,MIN(MaxDed,MIN(0.4,HoldRate*G197)+MIN(0.4,LiveRate*P197)),IF(G197&gt;=3,MIN(0.3,0.02*G197),0))</f>
        <v>0.4</v>
      </c>
      <c r="Y197" s="21" t="n">
        <f aca="false">MAX(0,W197*(1-X197)-InitDed)</f>
        <v>0.0939592580122496</v>
      </c>
      <c r="Z197" s="29" t="n">
        <f aca="false">SUMPRODUCT((Y197&gt;CLo)*(Y197-CLo)*CD)*(1+LocalTax)</f>
        <v>0.00620131102880848</v>
      </c>
      <c r="AA197" s="21" t="n">
        <f aca="false">K197+T197+Z197</f>
        <v>0.640588400127785</v>
      </c>
      <c r="AB197" s="29" t="n">
        <f aca="false">IF(C197=5,0,(Q197-H197)-K197-L197-R197-S197-T197-Z197)</f>
        <v>0.629612624594934</v>
      </c>
      <c r="AC197" s="21" t="n">
        <f aca="false">IF(C197=5,0,N197*((1+DepRate*(1-DepTax))^G197-1))</f>
        <v>2.01518155546582</v>
      </c>
      <c r="AD197" s="29" t="n">
        <f aca="false">IF(C197=5,0,AB197-AC197+I197*(((1+DepRate*(1-DepTax))^G197-1)-((1+DepRate*(1-DepTax))^O197-1)))</f>
        <v>-0.378926052930201</v>
      </c>
      <c r="AE197" s="30" t="n">
        <f aca="false">IF(J197&gt;0,-PMT(Rm,LoanYears*12,J197)*10000,0)</f>
        <v>0</v>
      </c>
      <c r="AF197" s="21" t="n">
        <f aca="false">IF(J197&gt;0,-PMT((Rate+Stress)/12,LoanYears*12,J197)*12/DSR,0)</f>
        <v>0</v>
      </c>
      <c r="AG197" s="20" t="n">
        <f aca="false">IF(N197&lt;=CapA,1,0)</f>
        <v>0</v>
      </c>
      <c r="AH197" s="20" t="n">
        <f aca="false">IF(N197&lt;=CapB,1,0)</f>
        <v>0</v>
      </c>
      <c r="AI197" s="20" t="n">
        <f aca="false">IF(N197&lt;=CapC,1,0)</f>
        <v>1</v>
      </c>
      <c r="AJ197" s="21" t="n">
        <f aca="false">IF(AG197=1,AD197,-999)</f>
        <v>-999</v>
      </c>
      <c r="AK197" s="21" t="n">
        <f aca="false">IF(AH197=1,AD197,-999)</f>
        <v>-999</v>
      </c>
      <c r="AL197" s="21" t="n">
        <f aca="false">IF(AI197=1,AD197,-999)</f>
        <v>-0.378926052930201</v>
      </c>
      <c r="AM197" s="21" t="str">
        <f aca="false">C197&amp;"|"&amp;E197&amp;"|"&amp;G197&amp;"|"&amp;TEXT(AJ197,"0.00000")</f>
        <v>3|1|5|-999.00000</v>
      </c>
      <c r="AN197" s="21" t="str">
        <f aca="false">C197&amp;"|"&amp;E197&amp;"|"&amp;G197&amp;"|"&amp;TEXT(AK197,"0.00000")</f>
        <v>3|1|5|-999.00000</v>
      </c>
      <c r="AO197" s="21" t="str">
        <f aca="false">C197&amp;"|"&amp;E197&amp;"|"&amp;G197&amp;"|"&amp;TEXT(AL197,"0.00000")</f>
        <v>3|1|5|-0.37893</v>
      </c>
    </row>
    <row r="198" customFormat="false" ht="15" hidden="false" customHeight="false" outlineLevel="0" collapsed="false">
      <c r="A198" s="20" t="n">
        <v>7</v>
      </c>
      <c r="B198" s="18" t="str">
        <f aca="false">INDEX(C_Name,A198)</f>
        <v>노량진동 쌍용예가 85㎡</v>
      </c>
      <c r="C198" s="20" t="n">
        <v>3</v>
      </c>
      <c r="D198" s="21" t="str">
        <f aca="false">CHOOSE(C198,"1안 표준형(대출 최대)","2안 절충형(대출 50%)","3안 무대출형","4안 임대차 승계 후 입주","5안 매수 보류(전세 거주)")</f>
        <v>3안 무대출형</v>
      </c>
      <c r="E198" s="20" t="n">
        <v>1</v>
      </c>
      <c r="F198" s="10" t="n">
        <f aca="false">CHOOSE(E198,GrowLo,GrowMid,GrowHi)</f>
        <v>0.02</v>
      </c>
      <c r="G198" s="20" t="n">
        <v>10</v>
      </c>
      <c r="H198" s="18" t="n">
        <f aca="false">INDEX(C_Price,A198)</f>
        <v>14.5</v>
      </c>
      <c r="I198" s="18" t="n">
        <f aca="false">INDEX(C_Jeonse,A198)</f>
        <v>7.54</v>
      </c>
      <c r="J198" s="21" t="n">
        <f aca="false">IF(C198=5,0,IF(C198=1,INDEX(C_Loan,A198),IF(C198=2,INDEX(C_Loan,A198)*LoanShare2,IF(C198=3,0,MIN(INDEX(C_Loan,A198),I198)))))</f>
        <v>0</v>
      </c>
      <c r="K198" s="18" t="n">
        <f aca="false">IF(C198=5,0,INDEX(C_Acq,A198))</f>
        <v>0.4785</v>
      </c>
      <c r="L198" s="18" t="n">
        <f aca="false">IF(C198=5,0,INDEX(C_Fee,A198))</f>
        <v>0.1157</v>
      </c>
      <c r="M198" s="21" t="n">
        <f aca="false">IF(C198=4,MAX(0,I198-J198),0)</f>
        <v>0</v>
      </c>
      <c r="N198" s="21" t="n">
        <f aca="false">IF(C198=5,I198,IF(C198=4,(H198-I198)+K198+L198+M198,H198-J198+K198+L198))</f>
        <v>15.0942</v>
      </c>
      <c r="O198" s="20" t="n">
        <f aca="false">IF(C198=4,RentYears,0)</f>
        <v>0</v>
      </c>
      <c r="P198" s="20" t="n">
        <f aca="false">IF(C198=5,0,MAX(0,G198-O198-NonRes))</f>
        <v>10</v>
      </c>
      <c r="Q198" s="21" t="n">
        <f aca="false">IF(C198=5,0,H198*(1+F198)^G198)</f>
        <v>17.675419089924</v>
      </c>
      <c r="R198" s="21" t="n">
        <f aca="false">IF(C198=5,0,Q198*LOOKUP(Q198,FeeLo,FeeR)*(1+VAT))</f>
        <v>0.136100726992415</v>
      </c>
      <c r="S198" s="21" t="n">
        <f aca="false">IF(J198&gt;0,-CUMIPMT(Rm,LoanYears*12,J198,1,(G198-O198)*12,0),0)</f>
        <v>0</v>
      </c>
      <c r="T198" s="29" t="n">
        <f aca="false">IF(C198=5,0,SUMIFS(Sch_Total,Sch_Idx,A198,Sch_Scen,E198,Sch_Year,"&lt;="&amp;G198))</f>
        <v>0.331933286000843</v>
      </c>
      <c r="U198" s="21" t="n">
        <f aca="false">K198+L198+R198</f>
        <v>0.730300726992415</v>
      </c>
      <c r="V198" s="21" t="n">
        <f aca="false">IF(C198=5,0,Q198-H198-U198)</f>
        <v>2.44511836293157</v>
      </c>
      <c r="W198" s="21" t="n">
        <f aca="false">IF(C198=5,0,MAX(0,IF(P198&gt;=2,IF(Q198&gt;Exempt,V198*(Q198-Exempt)/Q198,0),V198)))</f>
        <v>0.785105652290656</v>
      </c>
      <c r="X198" s="10" t="n">
        <f aca="false">IF(P198&gt;=2,MIN(MaxDed,MIN(0.4,HoldRate*G198)+MIN(0.4,LiveRate*P198)),IF(G198&gt;=3,MIN(0.3,0.02*G198),0))</f>
        <v>0.8</v>
      </c>
      <c r="Y198" s="21" t="n">
        <f aca="false">MAX(0,W198*(1-X198)-InitDed)</f>
        <v>0.132021130458131</v>
      </c>
      <c r="Z198" s="29" t="n">
        <f aca="false">SUMPRODUCT((Y198&gt;CLo)*(Y198-CLo)*CD)*(1+LocalTax)</f>
        <v>0.00871339461023666</v>
      </c>
      <c r="AA198" s="21" t="n">
        <f aca="false">K198+T198+Z198</f>
        <v>0.81914668061108</v>
      </c>
      <c r="AB198" s="29" t="n">
        <f aca="false">IF(C198=5,0,(Q198-H198)-K198-L198-R198-S198-T198-Z198)</f>
        <v>2.10447168232049</v>
      </c>
      <c r="AC198" s="21" t="n">
        <f aca="false">IF(C198=5,0,N198*((1+DepRate*(1-DepTax))^G198-1))</f>
        <v>4.29940398103337</v>
      </c>
      <c r="AD198" s="29" t="n">
        <f aca="false">IF(C198=5,0,AB198-AC198+I198*(((1+DepRate*(1-DepTax))^G198-1)-((1+DepRate*(1-DepTax))^O198-1)))</f>
        <v>-0.0472526590505242</v>
      </c>
      <c r="AE198" s="30" t="n">
        <f aca="false">IF(J198&gt;0,-PMT(Rm,LoanYears*12,J198)*10000,0)</f>
        <v>0</v>
      </c>
      <c r="AF198" s="21" t="n">
        <f aca="false">IF(J198&gt;0,-PMT((Rate+Stress)/12,LoanYears*12,J198)*12/DSR,0)</f>
        <v>0</v>
      </c>
      <c r="AG198" s="20" t="n">
        <f aca="false">IF(N198&lt;=CapA,1,0)</f>
        <v>0</v>
      </c>
      <c r="AH198" s="20" t="n">
        <f aca="false">IF(N198&lt;=CapB,1,0)</f>
        <v>0</v>
      </c>
      <c r="AI198" s="20" t="n">
        <f aca="false">IF(N198&lt;=CapC,1,0)</f>
        <v>1</v>
      </c>
      <c r="AJ198" s="21" t="n">
        <f aca="false">IF(AG198=1,AD198,-999)</f>
        <v>-999</v>
      </c>
      <c r="AK198" s="21" t="n">
        <f aca="false">IF(AH198=1,AD198,-999)</f>
        <v>-999</v>
      </c>
      <c r="AL198" s="21" t="n">
        <f aca="false">IF(AI198=1,AD198,-999)</f>
        <v>-0.0472526590505242</v>
      </c>
      <c r="AM198" s="21" t="str">
        <f aca="false">C198&amp;"|"&amp;E198&amp;"|"&amp;G198&amp;"|"&amp;TEXT(AJ198,"0.00000")</f>
        <v>3|1|10|-999.00000</v>
      </c>
      <c r="AN198" s="21" t="str">
        <f aca="false">C198&amp;"|"&amp;E198&amp;"|"&amp;G198&amp;"|"&amp;TEXT(AK198,"0.00000")</f>
        <v>3|1|10|-999.00000</v>
      </c>
      <c r="AO198" s="21" t="str">
        <f aca="false">C198&amp;"|"&amp;E198&amp;"|"&amp;G198&amp;"|"&amp;TEXT(AL198,"0.00000")</f>
        <v>3|1|10|-0.04725</v>
      </c>
    </row>
    <row r="199" customFormat="false" ht="15" hidden="false" customHeight="false" outlineLevel="0" collapsed="false">
      <c r="A199" s="20" t="n">
        <v>7</v>
      </c>
      <c r="B199" s="18" t="str">
        <f aca="false">INDEX(C_Name,A199)</f>
        <v>노량진동 쌍용예가 85㎡</v>
      </c>
      <c r="C199" s="20" t="n">
        <v>3</v>
      </c>
      <c r="D199" s="21" t="str">
        <f aca="false">CHOOSE(C199,"1안 표준형(대출 최대)","2안 절충형(대출 50%)","3안 무대출형","4안 임대차 승계 후 입주","5안 매수 보류(전세 거주)")</f>
        <v>3안 무대출형</v>
      </c>
      <c r="E199" s="20" t="n">
        <v>2</v>
      </c>
      <c r="F199" s="10" t="n">
        <f aca="false">CHOOSE(E199,GrowLo,GrowMid,GrowHi)</f>
        <v>0.04</v>
      </c>
      <c r="G199" s="20" t="n">
        <v>5</v>
      </c>
      <c r="H199" s="18" t="n">
        <f aca="false">INDEX(C_Price,A199)</f>
        <v>14.5</v>
      </c>
      <c r="I199" s="18" t="n">
        <f aca="false">INDEX(C_Jeonse,A199)</f>
        <v>7.54</v>
      </c>
      <c r="J199" s="21" t="n">
        <f aca="false">IF(C199=5,0,IF(C199=1,INDEX(C_Loan,A199),IF(C199=2,INDEX(C_Loan,A199)*LoanShare2,IF(C199=3,0,MIN(INDEX(C_Loan,A199),I199)))))</f>
        <v>0</v>
      </c>
      <c r="K199" s="18" t="n">
        <f aca="false">IF(C199=5,0,INDEX(C_Acq,A199))</f>
        <v>0.4785</v>
      </c>
      <c r="L199" s="18" t="n">
        <f aca="false">IF(C199=5,0,INDEX(C_Fee,A199))</f>
        <v>0.1157</v>
      </c>
      <c r="M199" s="21" t="n">
        <f aca="false">IF(C199=4,MAX(0,I199-J199),0)</f>
        <v>0</v>
      </c>
      <c r="N199" s="21" t="n">
        <f aca="false">IF(C199=5,I199,IF(C199=4,(H199-I199)+K199+L199+M199,H199-J199+K199+L199))</f>
        <v>15.0942</v>
      </c>
      <c r="O199" s="20" t="n">
        <f aca="false">IF(C199=4,RentYears,0)</f>
        <v>0</v>
      </c>
      <c r="P199" s="20" t="n">
        <f aca="false">IF(C199=5,0,MAX(0,G199-O199-NonRes))</f>
        <v>5</v>
      </c>
      <c r="Q199" s="21" t="n">
        <f aca="false">IF(C199=5,0,H199*(1+F199)^G199)</f>
        <v>17.6414670848</v>
      </c>
      <c r="R199" s="21" t="n">
        <f aca="false">IF(C199=5,0,Q199*LOOKUP(Q199,FeeLo,FeeR)*(1+VAT))</f>
        <v>0.13583929655296</v>
      </c>
      <c r="S199" s="21" t="n">
        <f aca="false">IF(J199&gt;0,-CUMIPMT(Rm,LoanYears*12,J199,1,(G199-O199)*12,0),0)</f>
        <v>0</v>
      </c>
      <c r="T199" s="29" t="n">
        <f aca="false">IF(C199=5,0,SUMIFS(Sch_Total,Sch_Idx,A199,Sch_Scen,E199,Sch_Year,"&lt;="&amp;G199))</f>
        <v>0.163787942831616</v>
      </c>
      <c r="U199" s="21" t="n">
        <f aca="false">K199+L199+R199</f>
        <v>0.73003929655296</v>
      </c>
      <c r="V199" s="21" t="n">
        <f aca="false">IF(C199=5,0,Q199-H199-U199)</f>
        <v>2.41142778824704</v>
      </c>
      <c r="W199" s="21" t="n">
        <f aca="false">IF(C199=5,0,MAX(0,IF(P199&gt;=2,IF(Q199&gt;Exempt,V199*(Q199-Exempt)/Q199,0),V199)))</f>
        <v>0.771137141223875</v>
      </c>
      <c r="X199" s="10" t="n">
        <f aca="false">IF(P199&gt;=2,MIN(MaxDed,MIN(0.4,HoldRate*G199)+MIN(0.4,LiveRate*P199)),IF(G199&gt;=3,MIN(0.3,0.02*G199),0))</f>
        <v>0.4</v>
      </c>
      <c r="Y199" s="21" t="n">
        <f aca="false">MAX(0,W199*(1-X199)-InitDed)</f>
        <v>0.437682284734325</v>
      </c>
      <c r="Z199" s="29" t="n">
        <f aca="false">SUMPRODUCT((Y199&gt;CLo)*(Y199-CLo)*CD)*(1+LocalTax)</f>
        <v>0.0583575769811636</v>
      </c>
      <c r="AA199" s="21" t="n">
        <f aca="false">K199+T199+Z199</f>
        <v>0.70064551981278</v>
      </c>
      <c r="AB199" s="29" t="n">
        <f aca="false">IF(C199=5,0,(Q199-H199)-K199-L199-R199-S199-T199-Z199)</f>
        <v>2.18928226843426</v>
      </c>
      <c r="AC199" s="21" t="n">
        <f aca="false">IF(C199=5,0,N199*((1+DepRate*(1-DepTax))^G199-1))</f>
        <v>2.01518155546582</v>
      </c>
      <c r="AD199" s="29" t="n">
        <f aca="false">IF(C199=5,0,AB199-AC199+I199*(((1+DepRate*(1-DepTax))^G199-1)-((1+DepRate*(1-DepTax))^O199-1)))</f>
        <v>1.18074359090913</v>
      </c>
      <c r="AE199" s="30" t="n">
        <f aca="false">IF(J199&gt;0,-PMT(Rm,LoanYears*12,J199)*10000,0)</f>
        <v>0</v>
      </c>
      <c r="AF199" s="21" t="n">
        <f aca="false">IF(J199&gt;0,-PMT((Rate+Stress)/12,LoanYears*12,J199)*12/DSR,0)</f>
        <v>0</v>
      </c>
      <c r="AG199" s="20" t="n">
        <f aca="false">IF(N199&lt;=CapA,1,0)</f>
        <v>0</v>
      </c>
      <c r="AH199" s="20" t="n">
        <f aca="false">IF(N199&lt;=CapB,1,0)</f>
        <v>0</v>
      </c>
      <c r="AI199" s="20" t="n">
        <f aca="false">IF(N199&lt;=CapC,1,0)</f>
        <v>1</v>
      </c>
      <c r="AJ199" s="21" t="n">
        <f aca="false">IF(AG199=1,AD199,-999)</f>
        <v>-999</v>
      </c>
      <c r="AK199" s="21" t="n">
        <f aca="false">IF(AH199=1,AD199,-999)</f>
        <v>-999</v>
      </c>
      <c r="AL199" s="21" t="n">
        <f aca="false">IF(AI199=1,AD199,-999)</f>
        <v>1.18074359090913</v>
      </c>
      <c r="AM199" s="21" t="str">
        <f aca="false">C199&amp;"|"&amp;E199&amp;"|"&amp;G199&amp;"|"&amp;TEXT(AJ199,"0.00000")</f>
        <v>3|2|5|-999.00000</v>
      </c>
      <c r="AN199" s="21" t="str">
        <f aca="false">C199&amp;"|"&amp;E199&amp;"|"&amp;G199&amp;"|"&amp;TEXT(AK199,"0.00000")</f>
        <v>3|2|5|-999.00000</v>
      </c>
      <c r="AO199" s="21" t="str">
        <f aca="false">C199&amp;"|"&amp;E199&amp;"|"&amp;G199&amp;"|"&amp;TEXT(AL199,"0.00000")</f>
        <v>3|2|5|1.18074</v>
      </c>
    </row>
    <row r="200" customFormat="false" ht="15" hidden="false" customHeight="false" outlineLevel="0" collapsed="false">
      <c r="A200" s="20" t="n">
        <v>7</v>
      </c>
      <c r="B200" s="18" t="str">
        <f aca="false">INDEX(C_Name,A200)</f>
        <v>노량진동 쌍용예가 85㎡</v>
      </c>
      <c r="C200" s="20" t="n">
        <v>3</v>
      </c>
      <c r="D200" s="21" t="str">
        <f aca="false">CHOOSE(C200,"1안 표준형(대출 최대)","2안 절충형(대출 50%)","3안 무대출형","4안 임대차 승계 후 입주","5안 매수 보류(전세 거주)")</f>
        <v>3안 무대출형</v>
      </c>
      <c r="E200" s="20" t="n">
        <v>2</v>
      </c>
      <c r="F200" s="10" t="n">
        <f aca="false">CHOOSE(E200,GrowLo,GrowMid,GrowHi)</f>
        <v>0.04</v>
      </c>
      <c r="G200" s="20" t="n">
        <v>10</v>
      </c>
      <c r="H200" s="18" t="n">
        <f aca="false">INDEX(C_Price,A200)</f>
        <v>14.5</v>
      </c>
      <c r="I200" s="18" t="n">
        <f aca="false">INDEX(C_Jeonse,A200)</f>
        <v>7.54</v>
      </c>
      <c r="J200" s="21" t="n">
        <f aca="false">IF(C200=5,0,IF(C200=1,INDEX(C_Loan,A200),IF(C200=2,INDEX(C_Loan,A200)*LoanShare2,IF(C200=3,0,MIN(INDEX(C_Loan,A200),I200)))))</f>
        <v>0</v>
      </c>
      <c r="K200" s="18" t="n">
        <f aca="false">IF(C200=5,0,INDEX(C_Acq,A200))</f>
        <v>0.4785</v>
      </c>
      <c r="L200" s="18" t="n">
        <f aca="false">IF(C200=5,0,INDEX(C_Fee,A200))</f>
        <v>0.1157</v>
      </c>
      <c r="M200" s="21" t="n">
        <f aca="false">IF(C200=4,MAX(0,I200-J200),0)</f>
        <v>0</v>
      </c>
      <c r="N200" s="21" t="n">
        <f aca="false">IF(C200=5,I200,IF(C200=4,(H200-I200)+K200+L200+M200,H200-J200+K200+L200))</f>
        <v>15.0942</v>
      </c>
      <c r="O200" s="20" t="n">
        <f aca="false">IF(C200=4,RentYears,0)</f>
        <v>0</v>
      </c>
      <c r="P200" s="20" t="n">
        <f aca="false">IF(C200=5,0,MAX(0,G200-O200-NonRes))</f>
        <v>10</v>
      </c>
      <c r="Q200" s="21" t="n">
        <f aca="false">IF(C200=5,0,H200*(1+F200)^G200)</f>
        <v>21.463542131316</v>
      </c>
      <c r="R200" s="21" t="n">
        <f aca="false">IF(C200=5,0,Q200*LOOKUP(Q200,FeeLo,FeeR)*(1+VAT))</f>
        <v>0.165269274411133</v>
      </c>
      <c r="S200" s="21" t="n">
        <f aca="false">IF(J200&gt;0,-CUMIPMT(Rm,LoanYears*12,J200,1,(G200-O200)*12,0),0)</f>
        <v>0</v>
      </c>
      <c r="T200" s="29" t="n">
        <f aca="false">IF(C200=5,0,SUMIFS(Sch_Total,Sch_Idx,A200,Sch_Scen,E200,Sch_Year,"&lt;="&amp;G200))</f>
        <v>0.39260135895519</v>
      </c>
      <c r="U200" s="21" t="n">
        <f aca="false">K200+L200+R200</f>
        <v>0.759469274411133</v>
      </c>
      <c r="V200" s="21" t="n">
        <f aca="false">IF(C200=5,0,Q200-H200-U200)</f>
        <v>6.20407285690486</v>
      </c>
      <c r="W200" s="21" t="n">
        <f aca="false">IF(C200=5,0,MAX(0,IF(P200&gt;=2,IF(Q200&gt;Exempt,V200*(Q200-Exempt)/Q200,0),V200)))</f>
        <v>2.73545272760034</v>
      </c>
      <c r="X200" s="10" t="n">
        <f aca="false">IF(P200&gt;=2,MIN(MaxDed,MIN(0.4,HoldRate*G200)+MIN(0.4,LiveRate*P200)),IF(G200&gt;=3,MIN(0.3,0.02*G200),0))</f>
        <v>0.8</v>
      </c>
      <c r="Y200" s="21" t="n">
        <f aca="false">MAX(0,W200*(1-X200)-InitDed)</f>
        <v>0.522090545520068</v>
      </c>
      <c r="Z200" s="29" t="n">
        <f aca="false">SUMPRODUCT((Y200&gt;CLo)*(Y200-CLo)*CD)*(1+LocalTax)</f>
        <v>0.0744719040172979</v>
      </c>
      <c r="AA200" s="21" t="n">
        <f aca="false">K200+T200+Z200</f>
        <v>0.945573262972488</v>
      </c>
      <c r="AB200" s="29" t="n">
        <f aca="false">IF(C200=5,0,(Q200-H200)-K200-L200-R200-S200-T200-Z200)</f>
        <v>5.73699959393237</v>
      </c>
      <c r="AC200" s="21" t="n">
        <f aca="false">IF(C200=5,0,N200*((1+DepRate*(1-DepTax))^G200-1))</f>
        <v>4.29940398103337</v>
      </c>
      <c r="AD200" s="29" t="n">
        <f aca="false">IF(C200=5,0,AB200-AC200+I200*(((1+DepRate*(1-DepTax))^G200-1)-((1+DepRate*(1-DepTax))^O200-1)))</f>
        <v>3.58527525256136</v>
      </c>
      <c r="AE200" s="30" t="n">
        <f aca="false">IF(J200&gt;0,-PMT(Rm,LoanYears*12,J200)*10000,0)</f>
        <v>0</v>
      </c>
      <c r="AF200" s="21" t="n">
        <f aca="false">IF(J200&gt;0,-PMT((Rate+Stress)/12,LoanYears*12,J200)*12/DSR,0)</f>
        <v>0</v>
      </c>
      <c r="AG200" s="20" t="n">
        <f aca="false">IF(N200&lt;=CapA,1,0)</f>
        <v>0</v>
      </c>
      <c r="AH200" s="20" t="n">
        <f aca="false">IF(N200&lt;=CapB,1,0)</f>
        <v>0</v>
      </c>
      <c r="AI200" s="20" t="n">
        <f aca="false">IF(N200&lt;=CapC,1,0)</f>
        <v>1</v>
      </c>
      <c r="AJ200" s="21" t="n">
        <f aca="false">IF(AG200=1,AD200,-999)</f>
        <v>-999</v>
      </c>
      <c r="AK200" s="21" t="n">
        <f aca="false">IF(AH200=1,AD200,-999)</f>
        <v>-999</v>
      </c>
      <c r="AL200" s="21" t="n">
        <f aca="false">IF(AI200=1,AD200,-999)</f>
        <v>3.58527525256136</v>
      </c>
      <c r="AM200" s="21" t="str">
        <f aca="false">C200&amp;"|"&amp;E200&amp;"|"&amp;G200&amp;"|"&amp;TEXT(AJ200,"0.00000")</f>
        <v>3|2|10|-999.00000</v>
      </c>
      <c r="AN200" s="21" t="str">
        <f aca="false">C200&amp;"|"&amp;E200&amp;"|"&amp;G200&amp;"|"&amp;TEXT(AK200,"0.00000")</f>
        <v>3|2|10|-999.00000</v>
      </c>
      <c r="AO200" s="21" t="str">
        <f aca="false">C200&amp;"|"&amp;E200&amp;"|"&amp;G200&amp;"|"&amp;TEXT(AL200,"0.00000")</f>
        <v>3|2|10|3.58528</v>
      </c>
    </row>
    <row r="201" customFormat="false" ht="15" hidden="false" customHeight="false" outlineLevel="0" collapsed="false">
      <c r="A201" s="20" t="n">
        <v>7</v>
      </c>
      <c r="B201" s="18" t="str">
        <f aca="false">INDEX(C_Name,A201)</f>
        <v>노량진동 쌍용예가 85㎡</v>
      </c>
      <c r="C201" s="20" t="n">
        <v>3</v>
      </c>
      <c r="D201" s="21" t="str">
        <f aca="false">CHOOSE(C201,"1안 표준형(대출 최대)","2안 절충형(대출 50%)","3안 무대출형","4안 임대차 승계 후 입주","5안 매수 보류(전세 거주)")</f>
        <v>3안 무대출형</v>
      </c>
      <c r="E201" s="20" t="n">
        <v>3</v>
      </c>
      <c r="F201" s="10" t="n">
        <f aca="false">CHOOSE(E201,GrowLo,GrowMid,GrowHi)</f>
        <v>0.06</v>
      </c>
      <c r="G201" s="20" t="n">
        <v>5</v>
      </c>
      <c r="H201" s="18" t="n">
        <f aca="false">INDEX(C_Price,A201)</f>
        <v>14.5</v>
      </c>
      <c r="I201" s="18" t="n">
        <f aca="false">INDEX(C_Jeonse,A201)</f>
        <v>7.54</v>
      </c>
      <c r="J201" s="21" t="n">
        <f aca="false">IF(C201=5,0,IF(C201=1,INDEX(C_Loan,A201),IF(C201=2,INDEX(C_Loan,A201)*LoanShare2,IF(C201=3,0,MIN(INDEX(C_Loan,A201),I201)))))</f>
        <v>0</v>
      </c>
      <c r="K201" s="18" t="n">
        <f aca="false">IF(C201=5,0,INDEX(C_Acq,A201))</f>
        <v>0.4785</v>
      </c>
      <c r="L201" s="18" t="n">
        <f aca="false">IF(C201=5,0,INDEX(C_Fee,A201))</f>
        <v>0.1157</v>
      </c>
      <c r="M201" s="21" t="n">
        <f aca="false">IF(C201=4,MAX(0,I201-J201),0)</f>
        <v>0</v>
      </c>
      <c r="N201" s="21" t="n">
        <f aca="false">IF(C201=5,I201,IF(C201=4,(H201-I201)+K201+L201+M201,H201-J201+K201+L201))</f>
        <v>15.0942</v>
      </c>
      <c r="O201" s="20" t="n">
        <f aca="false">IF(C201=4,RentYears,0)</f>
        <v>0</v>
      </c>
      <c r="P201" s="20" t="n">
        <f aca="false">IF(C201=5,0,MAX(0,G201-O201-NonRes))</f>
        <v>5</v>
      </c>
      <c r="Q201" s="21" t="n">
        <f aca="false">IF(C201=5,0,H201*(1+F201)^G201)</f>
        <v>19.4042708752</v>
      </c>
      <c r="R201" s="21" t="n">
        <f aca="false">IF(C201=5,0,Q201*LOOKUP(Q201,FeeLo,FeeR)*(1+VAT))</f>
        <v>0.14941288573904</v>
      </c>
      <c r="S201" s="21" t="n">
        <f aca="false">IF(J201&gt;0,-CUMIPMT(Rm,LoanYears*12,J201,1,(G201-O201)*12,0),0)</f>
        <v>0</v>
      </c>
      <c r="T201" s="29" t="n">
        <f aca="false">IF(C201=5,0,SUMIFS(Sch_Total,Sch_Idx,A201,Sch_Scen,E201,Sch_Year,"&lt;="&amp;G201))</f>
        <v>0.174276603186336</v>
      </c>
      <c r="U201" s="21" t="n">
        <f aca="false">K201+L201+R201</f>
        <v>0.74361288573904</v>
      </c>
      <c r="V201" s="21" t="n">
        <f aca="false">IF(C201=5,0,Q201-H201-U201)</f>
        <v>4.16065798946097</v>
      </c>
      <c r="W201" s="21" t="n">
        <f aca="false">IF(C201=5,0,MAX(0,IF(P201&gt;=2,IF(Q201&gt;Exempt,V201*(Q201-Exempt)/Q201,0),V201)))</f>
        <v>1.58762155873669</v>
      </c>
      <c r="X201" s="10" t="n">
        <f aca="false">IF(P201&gt;=2,MIN(MaxDed,MIN(0.4,HoldRate*G201)+MIN(0.4,LiveRate*P201)),IF(G201&gt;=3,MIN(0.3,0.02*G201),0))</f>
        <v>0.4</v>
      </c>
      <c r="Y201" s="21" t="n">
        <f aca="false">MAX(0,W201*(1-X201)-InitDed)</f>
        <v>0.927572935242015</v>
      </c>
      <c r="Z201" s="29" t="n">
        <f aca="false">SUMPRODUCT((Y201&gt;CLo)*(Y201-CLo)*CD)*(1+LocalTax)</f>
        <v>0.187275580068176</v>
      </c>
      <c r="AA201" s="21" t="n">
        <f aca="false">K201+T201+Z201</f>
        <v>0.840052183254512</v>
      </c>
      <c r="AB201" s="29" t="n">
        <f aca="false">IF(C201=5,0,(Q201-H201)-K201-L201-R201-S201-T201-Z201)</f>
        <v>3.79910580620645</v>
      </c>
      <c r="AC201" s="21" t="n">
        <f aca="false">IF(C201=5,0,N201*((1+DepRate*(1-DepTax))^G201-1))</f>
        <v>2.01518155546582</v>
      </c>
      <c r="AD201" s="29" t="n">
        <f aca="false">IF(C201=5,0,AB201-AC201+I201*(((1+DepRate*(1-DepTax))^G201-1)-((1+DepRate*(1-DepTax))^O201-1)))</f>
        <v>2.79056712868132</v>
      </c>
      <c r="AE201" s="30" t="n">
        <f aca="false">IF(J201&gt;0,-PMT(Rm,LoanYears*12,J201)*10000,0)</f>
        <v>0</v>
      </c>
      <c r="AF201" s="21" t="n">
        <f aca="false">IF(J201&gt;0,-PMT((Rate+Stress)/12,LoanYears*12,J201)*12/DSR,0)</f>
        <v>0</v>
      </c>
      <c r="AG201" s="20" t="n">
        <f aca="false">IF(N201&lt;=CapA,1,0)</f>
        <v>0</v>
      </c>
      <c r="AH201" s="20" t="n">
        <f aca="false">IF(N201&lt;=CapB,1,0)</f>
        <v>0</v>
      </c>
      <c r="AI201" s="20" t="n">
        <f aca="false">IF(N201&lt;=CapC,1,0)</f>
        <v>1</v>
      </c>
      <c r="AJ201" s="21" t="n">
        <f aca="false">IF(AG201=1,AD201,-999)</f>
        <v>-999</v>
      </c>
      <c r="AK201" s="21" t="n">
        <f aca="false">IF(AH201=1,AD201,-999)</f>
        <v>-999</v>
      </c>
      <c r="AL201" s="21" t="n">
        <f aca="false">IF(AI201=1,AD201,-999)</f>
        <v>2.79056712868132</v>
      </c>
      <c r="AM201" s="21" t="str">
        <f aca="false">C201&amp;"|"&amp;E201&amp;"|"&amp;G201&amp;"|"&amp;TEXT(AJ201,"0.00000")</f>
        <v>3|3|5|-999.00000</v>
      </c>
      <c r="AN201" s="21" t="str">
        <f aca="false">C201&amp;"|"&amp;E201&amp;"|"&amp;G201&amp;"|"&amp;TEXT(AK201,"0.00000")</f>
        <v>3|3|5|-999.00000</v>
      </c>
      <c r="AO201" s="21" t="str">
        <f aca="false">C201&amp;"|"&amp;E201&amp;"|"&amp;G201&amp;"|"&amp;TEXT(AL201,"0.00000")</f>
        <v>3|3|5|2.79057</v>
      </c>
    </row>
    <row r="202" customFormat="false" ht="15" hidden="false" customHeight="false" outlineLevel="0" collapsed="false">
      <c r="A202" s="20" t="n">
        <v>7</v>
      </c>
      <c r="B202" s="18" t="str">
        <f aca="false">INDEX(C_Name,A202)</f>
        <v>노량진동 쌍용예가 85㎡</v>
      </c>
      <c r="C202" s="20" t="n">
        <v>3</v>
      </c>
      <c r="D202" s="21" t="str">
        <f aca="false">CHOOSE(C202,"1안 표준형(대출 최대)","2안 절충형(대출 50%)","3안 무대출형","4안 임대차 승계 후 입주","5안 매수 보류(전세 거주)")</f>
        <v>3안 무대출형</v>
      </c>
      <c r="E202" s="20" t="n">
        <v>3</v>
      </c>
      <c r="F202" s="10" t="n">
        <f aca="false">CHOOSE(E202,GrowLo,GrowMid,GrowHi)</f>
        <v>0.06</v>
      </c>
      <c r="G202" s="20" t="n">
        <v>10</v>
      </c>
      <c r="H202" s="18" t="n">
        <f aca="false">INDEX(C_Price,A202)</f>
        <v>14.5</v>
      </c>
      <c r="I202" s="18" t="n">
        <f aca="false">INDEX(C_Jeonse,A202)</f>
        <v>7.54</v>
      </c>
      <c r="J202" s="21" t="n">
        <f aca="false">IF(C202=5,0,IF(C202=1,INDEX(C_Loan,A202),IF(C202=2,INDEX(C_Loan,A202)*LoanShare2,IF(C202=3,0,MIN(INDEX(C_Loan,A202),I202)))))</f>
        <v>0</v>
      </c>
      <c r="K202" s="18" t="n">
        <f aca="false">IF(C202=5,0,INDEX(C_Acq,A202))</f>
        <v>0.4785</v>
      </c>
      <c r="L202" s="18" t="n">
        <f aca="false">IF(C202=5,0,INDEX(C_Fee,A202))</f>
        <v>0.1157</v>
      </c>
      <c r="M202" s="21" t="n">
        <f aca="false">IF(C202=4,MAX(0,I202-J202),0)</f>
        <v>0</v>
      </c>
      <c r="N202" s="21" t="n">
        <f aca="false">IF(C202=5,I202,IF(C202=4,(H202-I202)+K202+L202+M202,H202-J202+K202+L202))</f>
        <v>15.0942</v>
      </c>
      <c r="O202" s="20" t="n">
        <f aca="false">IF(C202=4,RentYears,0)</f>
        <v>0</v>
      </c>
      <c r="P202" s="20" t="n">
        <f aca="false">IF(C202=5,0,MAX(0,G202-O202-NonRes))</f>
        <v>10</v>
      </c>
      <c r="Q202" s="21" t="n">
        <f aca="false">IF(C202=5,0,H202*(1+F202)^G202)</f>
        <v>25.9672915998714</v>
      </c>
      <c r="R202" s="21" t="n">
        <f aca="false">IF(C202=5,0,Q202*LOOKUP(Q202,FeeLo,FeeR)*(1+VAT))</f>
        <v>0.19994814531901</v>
      </c>
      <c r="S202" s="21" t="n">
        <f aca="false">IF(J202&gt;0,-CUMIPMT(Rm,LoanYears*12,J202,1,(G202-O202)*12,0),0)</f>
        <v>0</v>
      </c>
      <c r="T202" s="29" t="n">
        <f aca="false">IF(C202=5,0,SUMIFS(Sch_Total,Sch_Idx,A202,Sch_Scen,E202,Sch_Year,"&lt;="&amp;G202))</f>
        <v>0.472951687789173</v>
      </c>
      <c r="U202" s="21" t="n">
        <f aca="false">K202+L202+R202</f>
        <v>0.79414814531901</v>
      </c>
      <c r="V202" s="21" t="n">
        <f aca="false">IF(C202=5,0,Q202-H202-U202)</f>
        <v>10.6731434545524</v>
      </c>
      <c r="W202" s="21" t="n">
        <f aca="false">IF(C202=5,0,MAX(0,IF(P202&gt;=2,IF(Q202&gt;Exempt,V202*(Q202-Exempt)/Q202,0),V202)))</f>
        <v>5.74087237183142</v>
      </c>
      <c r="X202" s="10" t="n">
        <f aca="false">IF(P202&gt;=2,MIN(MaxDed,MIN(0.4,HoldRate*G202)+MIN(0.4,LiveRate*P202)),IF(G202&gt;=3,MIN(0.3,0.02*G202),0))</f>
        <v>0.8</v>
      </c>
      <c r="Y202" s="21" t="n">
        <f aca="false">MAX(0,W202*(1-X202)-InitDed)</f>
        <v>1.12317447436628</v>
      </c>
      <c r="Z202" s="29" t="n">
        <f aca="false">SUMPRODUCT((Y202&gt;CLo)*(Y202-CLo)*CD)*(1+LocalTax)</f>
        <v>0.262582172631019</v>
      </c>
      <c r="AA202" s="21" t="n">
        <f aca="false">K202+T202+Z202</f>
        <v>1.21403386042019</v>
      </c>
      <c r="AB202" s="29" t="n">
        <f aca="false">IF(C202=5,0,(Q202-H202)-K202-L202-R202-S202-T202-Z202)</f>
        <v>9.93760959413219</v>
      </c>
      <c r="AC202" s="21" t="n">
        <f aca="false">IF(C202=5,0,N202*((1+DepRate*(1-DepTax))^G202-1))</f>
        <v>4.29940398103337</v>
      </c>
      <c r="AD202" s="29" t="n">
        <f aca="false">IF(C202=5,0,AB202-AC202+I202*(((1+DepRate*(1-DepTax))^G202-1)-((1+DepRate*(1-DepTax))^O202-1)))</f>
        <v>7.78588525276118</v>
      </c>
      <c r="AE202" s="30" t="n">
        <f aca="false">IF(J202&gt;0,-PMT(Rm,LoanYears*12,J202)*10000,0)</f>
        <v>0</v>
      </c>
      <c r="AF202" s="21" t="n">
        <f aca="false">IF(J202&gt;0,-PMT((Rate+Stress)/12,LoanYears*12,J202)*12/DSR,0)</f>
        <v>0</v>
      </c>
      <c r="AG202" s="20" t="n">
        <f aca="false">IF(N202&lt;=CapA,1,0)</f>
        <v>0</v>
      </c>
      <c r="AH202" s="20" t="n">
        <f aca="false">IF(N202&lt;=CapB,1,0)</f>
        <v>0</v>
      </c>
      <c r="AI202" s="20" t="n">
        <f aca="false">IF(N202&lt;=CapC,1,0)</f>
        <v>1</v>
      </c>
      <c r="AJ202" s="21" t="n">
        <f aca="false">IF(AG202=1,AD202,-999)</f>
        <v>-999</v>
      </c>
      <c r="AK202" s="21" t="n">
        <f aca="false">IF(AH202=1,AD202,-999)</f>
        <v>-999</v>
      </c>
      <c r="AL202" s="21" t="n">
        <f aca="false">IF(AI202=1,AD202,-999)</f>
        <v>7.78588525276118</v>
      </c>
      <c r="AM202" s="21" t="str">
        <f aca="false">C202&amp;"|"&amp;E202&amp;"|"&amp;G202&amp;"|"&amp;TEXT(AJ202,"0.00000")</f>
        <v>3|3|10|-999.00000</v>
      </c>
      <c r="AN202" s="21" t="str">
        <f aca="false">C202&amp;"|"&amp;E202&amp;"|"&amp;G202&amp;"|"&amp;TEXT(AK202,"0.00000")</f>
        <v>3|3|10|-999.00000</v>
      </c>
      <c r="AO202" s="21" t="str">
        <f aca="false">C202&amp;"|"&amp;E202&amp;"|"&amp;G202&amp;"|"&amp;TEXT(AL202,"0.00000")</f>
        <v>3|3|10|7.78589</v>
      </c>
    </row>
    <row r="203" customFormat="false" ht="15" hidden="false" customHeight="false" outlineLevel="0" collapsed="false">
      <c r="A203" s="20" t="n">
        <v>7</v>
      </c>
      <c r="B203" s="18" t="str">
        <f aca="false">INDEX(C_Name,A203)</f>
        <v>노량진동 쌍용예가 85㎡</v>
      </c>
      <c r="C203" s="20" t="n">
        <v>4</v>
      </c>
      <c r="D203" s="21" t="str">
        <f aca="false">CHOOSE(C203,"1안 표준형(대출 최대)","2안 절충형(대출 50%)","3안 무대출형","4안 임대차 승계 후 입주","5안 매수 보류(전세 거주)")</f>
        <v>4안 임대차 승계 후 입주</v>
      </c>
      <c r="E203" s="20" t="n">
        <v>1</v>
      </c>
      <c r="F203" s="10" t="n">
        <f aca="false">CHOOSE(E203,GrowLo,GrowMid,GrowHi)</f>
        <v>0.02</v>
      </c>
      <c r="G203" s="20" t="n">
        <v>5</v>
      </c>
      <c r="H203" s="18" t="n">
        <f aca="false">INDEX(C_Price,A203)</f>
        <v>14.5</v>
      </c>
      <c r="I203" s="18" t="n">
        <f aca="false">INDEX(C_Jeonse,A203)</f>
        <v>7.54</v>
      </c>
      <c r="J203" s="21" t="n">
        <f aca="false">IF(C203=5,0,IF(C203=1,INDEX(C_Loan,A203),IF(C203=2,INDEX(C_Loan,A203)*LoanShare2,IF(C203=3,0,MIN(INDEX(C_Loan,A203),I203)))))</f>
        <v>5.8</v>
      </c>
      <c r="K203" s="18" t="n">
        <f aca="false">IF(C203=5,0,INDEX(C_Acq,A203))</f>
        <v>0.4785</v>
      </c>
      <c r="L203" s="18" t="n">
        <f aca="false">IF(C203=5,0,INDEX(C_Fee,A203))</f>
        <v>0.1157</v>
      </c>
      <c r="M203" s="21" t="n">
        <f aca="false">IF(C203=4,MAX(0,I203-J203),0)</f>
        <v>1.74</v>
      </c>
      <c r="N203" s="21" t="n">
        <f aca="false">IF(C203=5,I203,IF(C203=4,(H203-I203)+K203+L203+M203,H203-J203+K203+L203))</f>
        <v>9.2942</v>
      </c>
      <c r="O203" s="20" t="n">
        <f aca="false">IF(C203=4,RentYears,0)</f>
        <v>2</v>
      </c>
      <c r="P203" s="20" t="n">
        <f aca="false">IF(C203=5,0,MAX(0,G203-O203-NonRes))</f>
        <v>3</v>
      </c>
      <c r="Q203" s="21" t="n">
        <f aca="false">IF(C203=5,0,H203*(1+F203)^G203)</f>
        <v>16.0091716464</v>
      </c>
      <c r="R203" s="21" t="n">
        <f aca="false">IF(C203=5,0,Q203*LOOKUP(Q203,FeeLo,FeeR)*(1+VAT))</f>
        <v>0.12327062167728</v>
      </c>
      <c r="S203" s="21" t="n">
        <f aca="false">IF(J203&gt;0,-CUMIPMT(Rm,LoanYears*12,J203,1,(G203-O203)*12,0),0)</f>
        <v>0.677769220488804</v>
      </c>
      <c r="T203" s="29" t="n">
        <f aca="false">IF(C203=5,0,SUMIFS(Sch_Total,Sch_Idx,A203,Sch_Scen,E203,Sch_Year,"&lt;="&amp;G203))</f>
        <v>0.155887089098976</v>
      </c>
      <c r="U203" s="21" t="n">
        <f aca="false">K203+L203+R203</f>
        <v>0.71747062167728</v>
      </c>
      <c r="V203" s="21" t="n">
        <f aca="false">IF(C203=5,0,Q203-H203-U203)</f>
        <v>0.791701024722719</v>
      </c>
      <c r="W203" s="21" t="n">
        <f aca="false">IF(C203=5,0,MAX(0,IF(P203&gt;=2,IF(Q203&gt;Exempt,V203*(Q203-Exempt)/Q203,0),V203)))</f>
        <v>0.198265430020416</v>
      </c>
      <c r="X203" s="10" t="n">
        <f aca="false">IF(P203&gt;=2,MIN(MaxDed,MIN(0.4,HoldRate*G203)+MIN(0.4,LiveRate*P203)),IF(G203&gt;=3,MIN(0.3,0.02*G203),0))</f>
        <v>0.32</v>
      </c>
      <c r="Y203" s="21" t="n">
        <f aca="false">MAX(0,W203*(1-X203)-InitDed)</f>
        <v>0.109820492413883</v>
      </c>
      <c r="Z203" s="29" t="n">
        <f aca="false">SUMPRODUCT((Y203&gt;CLo)*(Y203-CLo)*CD)*(1+LocalTax)</f>
        <v>0.00724815249931627</v>
      </c>
      <c r="AA203" s="21" t="n">
        <f aca="false">K203+T203+Z203</f>
        <v>0.641635241598292</v>
      </c>
      <c r="AB203" s="29" t="n">
        <f aca="false">IF(C203=5,0,(Q203-H203)-K203-L203-R203-S203-T203-Z203)</f>
        <v>-0.0492034373643779</v>
      </c>
      <c r="AC203" s="21" t="n">
        <f aca="false">IF(C203=5,0,N203*((1+DepRate*(1-DepTax))^G203-1))</f>
        <v>1.24084088012683</v>
      </c>
      <c r="AD203" s="29" t="n">
        <f aca="false">IF(C203=5,0,AB203-AC203+I203*(((1+DepRate*(1-DepTax))^G203-1)-((1+DepRate*(1-DepTax))^O203-1)))</f>
        <v>-0.670988688326525</v>
      </c>
      <c r="AE203" s="30" t="n">
        <f aca="false">IF(J203&gt;0,-PMT(Rm,LoanYears*12,J203)*10000,0)</f>
        <v>276.900871369967</v>
      </c>
      <c r="AF203" s="21" t="n">
        <f aca="false">IF(J203&gt;0,-PMT((Rate+Stress)/12,LoanYears*12,J203)*12/DSR,0)</f>
        <v>1.15762634161178</v>
      </c>
      <c r="AG203" s="20" t="n">
        <f aca="false">IF(N203&lt;=CapA,1,0)</f>
        <v>1</v>
      </c>
      <c r="AH203" s="20" t="n">
        <f aca="false">IF(N203&lt;=CapB,1,0)</f>
        <v>1</v>
      </c>
      <c r="AI203" s="20" t="n">
        <f aca="false">IF(N203&lt;=CapC,1,0)</f>
        <v>1</v>
      </c>
      <c r="AJ203" s="21" t="n">
        <f aca="false">IF(AG203=1,AD203,-999)</f>
        <v>-0.670988688326525</v>
      </c>
      <c r="AK203" s="21" t="n">
        <f aca="false">IF(AH203=1,AD203,-999)</f>
        <v>-0.670988688326525</v>
      </c>
      <c r="AL203" s="21" t="n">
        <f aca="false">IF(AI203=1,AD203,-999)</f>
        <v>-0.670988688326525</v>
      </c>
      <c r="AM203" s="21" t="str">
        <f aca="false">C203&amp;"|"&amp;E203&amp;"|"&amp;G203&amp;"|"&amp;TEXT(AJ203,"0.00000")</f>
        <v>4|1|5|-0.67099</v>
      </c>
      <c r="AN203" s="21" t="str">
        <f aca="false">C203&amp;"|"&amp;E203&amp;"|"&amp;G203&amp;"|"&amp;TEXT(AK203,"0.00000")</f>
        <v>4|1|5|-0.67099</v>
      </c>
      <c r="AO203" s="21" t="str">
        <f aca="false">C203&amp;"|"&amp;E203&amp;"|"&amp;G203&amp;"|"&amp;TEXT(AL203,"0.00000")</f>
        <v>4|1|5|-0.67099</v>
      </c>
    </row>
    <row r="204" customFormat="false" ht="15" hidden="false" customHeight="false" outlineLevel="0" collapsed="false">
      <c r="A204" s="20" t="n">
        <v>7</v>
      </c>
      <c r="B204" s="18" t="str">
        <f aca="false">INDEX(C_Name,A204)</f>
        <v>노량진동 쌍용예가 85㎡</v>
      </c>
      <c r="C204" s="20" t="n">
        <v>4</v>
      </c>
      <c r="D204" s="21" t="str">
        <f aca="false">CHOOSE(C204,"1안 표준형(대출 최대)","2안 절충형(대출 50%)","3안 무대출형","4안 임대차 승계 후 입주","5안 매수 보류(전세 거주)")</f>
        <v>4안 임대차 승계 후 입주</v>
      </c>
      <c r="E204" s="20" t="n">
        <v>1</v>
      </c>
      <c r="F204" s="10" t="n">
        <f aca="false">CHOOSE(E204,GrowLo,GrowMid,GrowHi)</f>
        <v>0.02</v>
      </c>
      <c r="G204" s="20" t="n">
        <v>10</v>
      </c>
      <c r="H204" s="18" t="n">
        <f aca="false">INDEX(C_Price,A204)</f>
        <v>14.5</v>
      </c>
      <c r="I204" s="18" t="n">
        <f aca="false">INDEX(C_Jeonse,A204)</f>
        <v>7.54</v>
      </c>
      <c r="J204" s="21" t="n">
        <f aca="false">IF(C204=5,0,IF(C204=1,INDEX(C_Loan,A204),IF(C204=2,INDEX(C_Loan,A204)*LoanShare2,IF(C204=3,0,MIN(INDEX(C_Loan,A204),I204)))))</f>
        <v>5.8</v>
      </c>
      <c r="K204" s="18" t="n">
        <f aca="false">IF(C204=5,0,INDEX(C_Acq,A204))</f>
        <v>0.4785</v>
      </c>
      <c r="L204" s="18" t="n">
        <f aca="false">IF(C204=5,0,INDEX(C_Fee,A204))</f>
        <v>0.1157</v>
      </c>
      <c r="M204" s="21" t="n">
        <f aca="false">IF(C204=4,MAX(0,I204-J204),0)</f>
        <v>1.74</v>
      </c>
      <c r="N204" s="21" t="n">
        <f aca="false">IF(C204=5,I204,IF(C204=4,(H204-I204)+K204+L204+M204,H204-J204+K204+L204))</f>
        <v>9.2942</v>
      </c>
      <c r="O204" s="20" t="n">
        <f aca="false">IF(C204=4,RentYears,0)</f>
        <v>2</v>
      </c>
      <c r="P204" s="20" t="n">
        <f aca="false">IF(C204=5,0,MAX(0,G204-O204-NonRes))</f>
        <v>8</v>
      </c>
      <c r="Q204" s="21" t="n">
        <f aca="false">IF(C204=5,0,H204*(1+F204)^G204)</f>
        <v>17.675419089924</v>
      </c>
      <c r="R204" s="21" t="n">
        <f aca="false">IF(C204=5,0,Q204*LOOKUP(Q204,FeeLo,FeeR)*(1+VAT))</f>
        <v>0.136100726992415</v>
      </c>
      <c r="S204" s="21" t="n">
        <f aca="false">IF(J204&gt;0,-CUMIPMT(Rm,LoanYears*12,J204,1,(G204-O204)*12,0),0)</f>
        <v>1.71461596185219</v>
      </c>
      <c r="T204" s="29" t="n">
        <f aca="false">IF(C204=5,0,SUMIFS(Sch_Total,Sch_Idx,A204,Sch_Scen,E204,Sch_Year,"&lt;="&amp;G204))</f>
        <v>0.331933286000843</v>
      </c>
      <c r="U204" s="21" t="n">
        <f aca="false">K204+L204+R204</f>
        <v>0.730300726992415</v>
      </c>
      <c r="V204" s="21" t="n">
        <f aca="false">IF(C204=5,0,Q204-H204-U204)</f>
        <v>2.44511836293157</v>
      </c>
      <c r="W204" s="21" t="n">
        <f aca="false">IF(C204=5,0,MAX(0,IF(P204&gt;=2,IF(Q204&gt;Exempt,V204*(Q204-Exempt)/Q204,0),V204)))</f>
        <v>0.785105652290656</v>
      </c>
      <c r="X204" s="10" t="n">
        <f aca="false">IF(P204&gt;=2,MIN(MaxDed,MIN(0.4,HoldRate*G204)+MIN(0.4,LiveRate*P204)),IF(G204&gt;=3,MIN(0.3,0.02*G204),0))</f>
        <v>0.72</v>
      </c>
      <c r="Y204" s="21" t="n">
        <f aca="false">MAX(0,W204*(1-X204)-InitDed)</f>
        <v>0.194829582641384</v>
      </c>
      <c r="Z204" s="29" t="n">
        <f aca="false">SUMPRODUCT((Y204&gt;CLo)*(Y204-CLo)*CD)*(1+LocalTax)</f>
        <v>0.0182868811358283</v>
      </c>
      <c r="AA204" s="21" t="n">
        <f aca="false">K204+T204+Z204</f>
        <v>0.828720167136672</v>
      </c>
      <c r="AB204" s="29" t="n">
        <f aca="false">IF(C204=5,0,(Q204-H204)-K204-L204-R204-S204-T204-Z204)</f>
        <v>0.38028223394271</v>
      </c>
      <c r="AC204" s="21" t="n">
        <f aca="false">IF(C204=5,0,N204*((1+DepRate*(1-DepTax))^G204-1))</f>
        <v>2.64734271975463</v>
      </c>
      <c r="AD204" s="29" t="n">
        <f aca="false">IF(C204=5,0,AB204-AC204+I204*(((1+DepRate*(1-DepTax))^G204-1)-((1+DepRate*(1-DepTax))^O204-1)))</f>
        <v>-0.50696809492556</v>
      </c>
      <c r="AE204" s="30" t="n">
        <f aca="false">IF(J204&gt;0,-PMT(Rm,LoanYears*12,J204)*10000,0)</f>
        <v>276.900871369967</v>
      </c>
      <c r="AF204" s="21" t="n">
        <f aca="false">IF(J204&gt;0,-PMT((Rate+Stress)/12,LoanYears*12,J204)*12/DSR,0)</f>
        <v>1.15762634161178</v>
      </c>
      <c r="AG204" s="20" t="n">
        <f aca="false">IF(N204&lt;=CapA,1,0)</f>
        <v>1</v>
      </c>
      <c r="AH204" s="20" t="n">
        <f aca="false">IF(N204&lt;=CapB,1,0)</f>
        <v>1</v>
      </c>
      <c r="AI204" s="20" t="n">
        <f aca="false">IF(N204&lt;=CapC,1,0)</f>
        <v>1</v>
      </c>
      <c r="AJ204" s="21" t="n">
        <f aca="false">IF(AG204=1,AD204,-999)</f>
        <v>-0.50696809492556</v>
      </c>
      <c r="AK204" s="21" t="n">
        <f aca="false">IF(AH204=1,AD204,-999)</f>
        <v>-0.50696809492556</v>
      </c>
      <c r="AL204" s="21" t="n">
        <f aca="false">IF(AI204=1,AD204,-999)</f>
        <v>-0.50696809492556</v>
      </c>
      <c r="AM204" s="21" t="str">
        <f aca="false">C204&amp;"|"&amp;E204&amp;"|"&amp;G204&amp;"|"&amp;TEXT(AJ204,"0.00000")</f>
        <v>4|1|10|-0.50697</v>
      </c>
      <c r="AN204" s="21" t="str">
        <f aca="false">C204&amp;"|"&amp;E204&amp;"|"&amp;G204&amp;"|"&amp;TEXT(AK204,"0.00000")</f>
        <v>4|1|10|-0.50697</v>
      </c>
      <c r="AO204" s="21" t="str">
        <f aca="false">C204&amp;"|"&amp;E204&amp;"|"&amp;G204&amp;"|"&amp;TEXT(AL204,"0.00000")</f>
        <v>4|1|10|-0.50697</v>
      </c>
    </row>
    <row r="205" customFormat="false" ht="15" hidden="false" customHeight="false" outlineLevel="0" collapsed="false">
      <c r="A205" s="20" t="n">
        <v>7</v>
      </c>
      <c r="B205" s="18" t="str">
        <f aca="false">INDEX(C_Name,A205)</f>
        <v>노량진동 쌍용예가 85㎡</v>
      </c>
      <c r="C205" s="20" t="n">
        <v>4</v>
      </c>
      <c r="D205" s="21" t="str">
        <f aca="false">CHOOSE(C205,"1안 표준형(대출 최대)","2안 절충형(대출 50%)","3안 무대출형","4안 임대차 승계 후 입주","5안 매수 보류(전세 거주)")</f>
        <v>4안 임대차 승계 후 입주</v>
      </c>
      <c r="E205" s="20" t="n">
        <v>2</v>
      </c>
      <c r="F205" s="10" t="n">
        <f aca="false">CHOOSE(E205,GrowLo,GrowMid,GrowHi)</f>
        <v>0.04</v>
      </c>
      <c r="G205" s="20" t="n">
        <v>5</v>
      </c>
      <c r="H205" s="18" t="n">
        <f aca="false">INDEX(C_Price,A205)</f>
        <v>14.5</v>
      </c>
      <c r="I205" s="18" t="n">
        <f aca="false">INDEX(C_Jeonse,A205)</f>
        <v>7.54</v>
      </c>
      <c r="J205" s="21" t="n">
        <f aca="false">IF(C205=5,0,IF(C205=1,INDEX(C_Loan,A205),IF(C205=2,INDEX(C_Loan,A205)*LoanShare2,IF(C205=3,0,MIN(INDEX(C_Loan,A205),I205)))))</f>
        <v>5.8</v>
      </c>
      <c r="K205" s="18" t="n">
        <f aca="false">IF(C205=5,0,INDEX(C_Acq,A205))</f>
        <v>0.4785</v>
      </c>
      <c r="L205" s="18" t="n">
        <f aca="false">IF(C205=5,0,INDEX(C_Fee,A205))</f>
        <v>0.1157</v>
      </c>
      <c r="M205" s="21" t="n">
        <f aca="false">IF(C205=4,MAX(0,I205-J205),0)</f>
        <v>1.74</v>
      </c>
      <c r="N205" s="21" t="n">
        <f aca="false">IF(C205=5,I205,IF(C205=4,(H205-I205)+K205+L205+M205,H205-J205+K205+L205))</f>
        <v>9.2942</v>
      </c>
      <c r="O205" s="20" t="n">
        <f aca="false">IF(C205=4,RentYears,0)</f>
        <v>2</v>
      </c>
      <c r="P205" s="20" t="n">
        <f aca="false">IF(C205=5,0,MAX(0,G205-O205-NonRes))</f>
        <v>3</v>
      </c>
      <c r="Q205" s="21" t="n">
        <f aca="false">IF(C205=5,0,H205*(1+F205)^G205)</f>
        <v>17.6414670848</v>
      </c>
      <c r="R205" s="21" t="n">
        <f aca="false">IF(C205=5,0,Q205*LOOKUP(Q205,FeeLo,FeeR)*(1+VAT))</f>
        <v>0.13583929655296</v>
      </c>
      <c r="S205" s="21" t="n">
        <f aca="false">IF(J205&gt;0,-CUMIPMT(Rm,LoanYears*12,J205,1,(G205-O205)*12,0),0)</f>
        <v>0.677769220488804</v>
      </c>
      <c r="T205" s="29" t="n">
        <f aca="false">IF(C205=5,0,SUMIFS(Sch_Total,Sch_Idx,A205,Sch_Scen,E205,Sch_Year,"&lt;="&amp;G205))</f>
        <v>0.163787942831616</v>
      </c>
      <c r="U205" s="21" t="n">
        <f aca="false">K205+L205+R205</f>
        <v>0.73003929655296</v>
      </c>
      <c r="V205" s="21" t="n">
        <f aca="false">IF(C205=5,0,Q205-H205-U205)</f>
        <v>2.41142778824704</v>
      </c>
      <c r="W205" s="21" t="n">
        <f aca="false">IF(C205=5,0,MAX(0,IF(P205&gt;=2,IF(Q205&gt;Exempt,V205*(Q205-Exempt)/Q205,0),V205)))</f>
        <v>0.771137141223875</v>
      </c>
      <c r="X205" s="10" t="n">
        <f aca="false">IF(P205&gt;=2,MIN(MaxDed,MIN(0.4,HoldRate*G205)+MIN(0.4,LiveRate*P205)),IF(G205&gt;=3,MIN(0.3,0.02*G205),0))</f>
        <v>0.32</v>
      </c>
      <c r="Y205" s="21" t="n">
        <f aca="false">MAX(0,W205*(1-X205)-InitDed)</f>
        <v>0.499373256032235</v>
      </c>
      <c r="Z205" s="29" t="n">
        <f aca="false">SUMPRODUCT((Y205&gt;CLo)*(Y205-CLo)*CD)*(1+LocalTax)</f>
        <v>0.0685365872453187</v>
      </c>
      <c r="AA205" s="21" t="n">
        <f aca="false">K205+T205+Z205</f>
        <v>0.710824530076935</v>
      </c>
      <c r="AB205" s="29" t="n">
        <f aca="false">IF(C205=5,0,(Q205-H205)-K205-L205-R205-S205-T205-Z205)</f>
        <v>1.5013340376813</v>
      </c>
      <c r="AC205" s="21" t="n">
        <f aca="false">IF(C205=5,0,N205*((1+DepRate*(1-DepTax))^G205-1))</f>
        <v>1.24084088012683</v>
      </c>
      <c r="AD205" s="29" t="n">
        <f aca="false">IF(C205=5,0,AB205-AC205+I205*(((1+DepRate*(1-DepTax))^G205-1)-((1+DepRate*(1-DepTax))^O205-1)))</f>
        <v>0.879548786719156</v>
      </c>
      <c r="AE205" s="30" t="n">
        <f aca="false">IF(J205&gt;0,-PMT(Rm,LoanYears*12,J205)*10000,0)</f>
        <v>276.900871369967</v>
      </c>
      <c r="AF205" s="21" t="n">
        <f aca="false">IF(J205&gt;0,-PMT((Rate+Stress)/12,LoanYears*12,J205)*12/DSR,0)</f>
        <v>1.15762634161178</v>
      </c>
      <c r="AG205" s="20" t="n">
        <f aca="false">IF(N205&lt;=CapA,1,0)</f>
        <v>1</v>
      </c>
      <c r="AH205" s="20" t="n">
        <f aca="false">IF(N205&lt;=CapB,1,0)</f>
        <v>1</v>
      </c>
      <c r="AI205" s="20" t="n">
        <f aca="false">IF(N205&lt;=CapC,1,0)</f>
        <v>1</v>
      </c>
      <c r="AJ205" s="21" t="n">
        <f aca="false">IF(AG205=1,AD205,-999)</f>
        <v>0.879548786719156</v>
      </c>
      <c r="AK205" s="21" t="n">
        <f aca="false">IF(AH205=1,AD205,-999)</f>
        <v>0.879548786719156</v>
      </c>
      <c r="AL205" s="21" t="n">
        <f aca="false">IF(AI205=1,AD205,-999)</f>
        <v>0.879548786719156</v>
      </c>
      <c r="AM205" s="21" t="str">
        <f aca="false">C205&amp;"|"&amp;E205&amp;"|"&amp;G205&amp;"|"&amp;TEXT(AJ205,"0.00000")</f>
        <v>4|2|5|0.87955</v>
      </c>
      <c r="AN205" s="21" t="str">
        <f aca="false">C205&amp;"|"&amp;E205&amp;"|"&amp;G205&amp;"|"&amp;TEXT(AK205,"0.00000")</f>
        <v>4|2|5|0.87955</v>
      </c>
      <c r="AO205" s="21" t="str">
        <f aca="false">C205&amp;"|"&amp;E205&amp;"|"&amp;G205&amp;"|"&amp;TEXT(AL205,"0.00000")</f>
        <v>4|2|5|0.87955</v>
      </c>
    </row>
    <row r="206" customFormat="false" ht="15" hidden="false" customHeight="false" outlineLevel="0" collapsed="false">
      <c r="A206" s="20" t="n">
        <v>7</v>
      </c>
      <c r="B206" s="18" t="str">
        <f aca="false">INDEX(C_Name,A206)</f>
        <v>노량진동 쌍용예가 85㎡</v>
      </c>
      <c r="C206" s="20" t="n">
        <v>4</v>
      </c>
      <c r="D206" s="21" t="str">
        <f aca="false">CHOOSE(C206,"1안 표준형(대출 최대)","2안 절충형(대출 50%)","3안 무대출형","4안 임대차 승계 후 입주","5안 매수 보류(전세 거주)")</f>
        <v>4안 임대차 승계 후 입주</v>
      </c>
      <c r="E206" s="20" t="n">
        <v>2</v>
      </c>
      <c r="F206" s="10" t="n">
        <f aca="false">CHOOSE(E206,GrowLo,GrowMid,GrowHi)</f>
        <v>0.04</v>
      </c>
      <c r="G206" s="20" t="n">
        <v>10</v>
      </c>
      <c r="H206" s="18" t="n">
        <f aca="false">INDEX(C_Price,A206)</f>
        <v>14.5</v>
      </c>
      <c r="I206" s="18" t="n">
        <f aca="false">INDEX(C_Jeonse,A206)</f>
        <v>7.54</v>
      </c>
      <c r="J206" s="21" t="n">
        <f aca="false">IF(C206=5,0,IF(C206=1,INDEX(C_Loan,A206),IF(C206=2,INDEX(C_Loan,A206)*LoanShare2,IF(C206=3,0,MIN(INDEX(C_Loan,A206),I206)))))</f>
        <v>5.8</v>
      </c>
      <c r="K206" s="18" t="n">
        <f aca="false">IF(C206=5,0,INDEX(C_Acq,A206))</f>
        <v>0.4785</v>
      </c>
      <c r="L206" s="18" t="n">
        <f aca="false">IF(C206=5,0,INDEX(C_Fee,A206))</f>
        <v>0.1157</v>
      </c>
      <c r="M206" s="21" t="n">
        <f aca="false">IF(C206=4,MAX(0,I206-J206),0)</f>
        <v>1.74</v>
      </c>
      <c r="N206" s="21" t="n">
        <f aca="false">IF(C206=5,I206,IF(C206=4,(H206-I206)+K206+L206+M206,H206-J206+K206+L206))</f>
        <v>9.2942</v>
      </c>
      <c r="O206" s="20" t="n">
        <f aca="false">IF(C206=4,RentYears,0)</f>
        <v>2</v>
      </c>
      <c r="P206" s="20" t="n">
        <f aca="false">IF(C206=5,0,MAX(0,G206-O206-NonRes))</f>
        <v>8</v>
      </c>
      <c r="Q206" s="21" t="n">
        <f aca="false">IF(C206=5,0,H206*(1+F206)^G206)</f>
        <v>21.463542131316</v>
      </c>
      <c r="R206" s="21" t="n">
        <f aca="false">IF(C206=5,0,Q206*LOOKUP(Q206,FeeLo,FeeR)*(1+VAT))</f>
        <v>0.165269274411133</v>
      </c>
      <c r="S206" s="21" t="n">
        <f aca="false">IF(J206&gt;0,-CUMIPMT(Rm,LoanYears*12,J206,1,(G206-O206)*12,0),0)</f>
        <v>1.71461596185219</v>
      </c>
      <c r="T206" s="29" t="n">
        <f aca="false">IF(C206=5,0,SUMIFS(Sch_Total,Sch_Idx,A206,Sch_Scen,E206,Sch_Year,"&lt;="&amp;G206))</f>
        <v>0.39260135895519</v>
      </c>
      <c r="U206" s="21" t="n">
        <f aca="false">K206+L206+R206</f>
        <v>0.759469274411133</v>
      </c>
      <c r="V206" s="21" t="n">
        <f aca="false">IF(C206=5,0,Q206-H206-U206)</f>
        <v>6.20407285690486</v>
      </c>
      <c r="W206" s="21" t="n">
        <f aca="false">IF(C206=5,0,MAX(0,IF(P206&gt;=2,IF(Q206&gt;Exempt,V206*(Q206-Exempt)/Q206,0),V206)))</f>
        <v>2.73545272760034</v>
      </c>
      <c r="X206" s="10" t="n">
        <f aca="false">IF(P206&gt;=2,MIN(MaxDed,MIN(0.4,HoldRate*G206)+MIN(0.4,LiveRate*P206)),IF(G206&gt;=3,MIN(0.3,0.02*G206),0))</f>
        <v>0.72</v>
      </c>
      <c r="Y206" s="21" t="n">
        <f aca="false">MAX(0,W206*(1-X206)-InitDed)</f>
        <v>0.740926763728095</v>
      </c>
      <c r="Z206" s="29" t="n">
        <f aca="false">SUMPRODUCT((Y206&gt;CLo)*(Y206-CLo)*CD)*(1+LocalTax)</f>
        <v>0.132244665624217</v>
      </c>
      <c r="AA206" s="21" t="n">
        <f aca="false">K206+T206+Z206</f>
        <v>1.00334602457941</v>
      </c>
      <c r="AB206" s="29" t="n">
        <f aca="false">IF(C206=5,0,(Q206-H206)-K206-L206-R206-S206-T206-Z206)</f>
        <v>3.96461087047327</v>
      </c>
      <c r="AC206" s="21" t="n">
        <f aca="false">IF(C206=5,0,N206*((1+DepRate*(1-DepTax))^G206-1))</f>
        <v>2.64734271975463</v>
      </c>
      <c r="AD206" s="29" t="n">
        <f aca="false">IF(C206=5,0,AB206-AC206+I206*(((1+DepRate*(1-DepTax))^G206-1)-((1+DepRate*(1-DepTax))^O206-1)))</f>
        <v>3.077360541605</v>
      </c>
      <c r="AE206" s="30" t="n">
        <f aca="false">IF(J206&gt;0,-PMT(Rm,LoanYears*12,J206)*10000,0)</f>
        <v>276.900871369967</v>
      </c>
      <c r="AF206" s="21" t="n">
        <f aca="false">IF(J206&gt;0,-PMT((Rate+Stress)/12,LoanYears*12,J206)*12/DSR,0)</f>
        <v>1.15762634161178</v>
      </c>
      <c r="AG206" s="20" t="n">
        <f aca="false">IF(N206&lt;=CapA,1,0)</f>
        <v>1</v>
      </c>
      <c r="AH206" s="20" t="n">
        <f aca="false">IF(N206&lt;=CapB,1,0)</f>
        <v>1</v>
      </c>
      <c r="AI206" s="20" t="n">
        <f aca="false">IF(N206&lt;=CapC,1,0)</f>
        <v>1</v>
      </c>
      <c r="AJ206" s="21" t="n">
        <f aca="false">IF(AG206=1,AD206,-999)</f>
        <v>3.077360541605</v>
      </c>
      <c r="AK206" s="21" t="n">
        <f aca="false">IF(AH206=1,AD206,-999)</f>
        <v>3.077360541605</v>
      </c>
      <c r="AL206" s="21" t="n">
        <f aca="false">IF(AI206=1,AD206,-999)</f>
        <v>3.077360541605</v>
      </c>
      <c r="AM206" s="21" t="str">
        <f aca="false">C206&amp;"|"&amp;E206&amp;"|"&amp;G206&amp;"|"&amp;TEXT(AJ206,"0.00000")</f>
        <v>4|2|10|3.07736</v>
      </c>
      <c r="AN206" s="21" t="str">
        <f aca="false">C206&amp;"|"&amp;E206&amp;"|"&amp;G206&amp;"|"&amp;TEXT(AK206,"0.00000")</f>
        <v>4|2|10|3.07736</v>
      </c>
      <c r="AO206" s="21" t="str">
        <f aca="false">C206&amp;"|"&amp;E206&amp;"|"&amp;G206&amp;"|"&amp;TEXT(AL206,"0.00000")</f>
        <v>4|2|10|3.07736</v>
      </c>
    </row>
    <row r="207" customFormat="false" ht="15" hidden="false" customHeight="false" outlineLevel="0" collapsed="false">
      <c r="A207" s="20" t="n">
        <v>7</v>
      </c>
      <c r="B207" s="18" t="str">
        <f aca="false">INDEX(C_Name,A207)</f>
        <v>노량진동 쌍용예가 85㎡</v>
      </c>
      <c r="C207" s="20" t="n">
        <v>4</v>
      </c>
      <c r="D207" s="21" t="str">
        <f aca="false">CHOOSE(C207,"1안 표준형(대출 최대)","2안 절충형(대출 50%)","3안 무대출형","4안 임대차 승계 후 입주","5안 매수 보류(전세 거주)")</f>
        <v>4안 임대차 승계 후 입주</v>
      </c>
      <c r="E207" s="20" t="n">
        <v>3</v>
      </c>
      <c r="F207" s="10" t="n">
        <f aca="false">CHOOSE(E207,GrowLo,GrowMid,GrowHi)</f>
        <v>0.06</v>
      </c>
      <c r="G207" s="20" t="n">
        <v>5</v>
      </c>
      <c r="H207" s="18" t="n">
        <f aca="false">INDEX(C_Price,A207)</f>
        <v>14.5</v>
      </c>
      <c r="I207" s="18" t="n">
        <f aca="false">INDEX(C_Jeonse,A207)</f>
        <v>7.54</v>
      </c>
      <c r="J207" s="21" t="n">
        <f aca="false">IF(C207=5,0,IF(C207=1,INDEX(C_Loan,A207),IF(C207=2,INDEX(C_Loan,A207)*LoanShare2,IF(C207=3,0,MIN(INDEX(C_Loan,A207),I207)))))</f>
        <v>5.8</v>
      </c>
      <c r="K207" s="18" t="n">
        <f aca="false">IF(C207=5,0,INDEX(C_Acq,A207))</f>
        <v>0.4785</v>
      </c>
      <c r="L207" s="18" t="n">
        <f aca="false">IF(C207=5,0,INDEX(C_Fee,A207))</f>
        <v>0.1157</v>
      </c>
      <c r="M207" s="21" t="n">
        <f aca="false">IF(C207=4,MAX(0,I207-J207),0)</f>
        <v>1.74</v>
      </c>
      <c r="N207" s="21" t="n">
        <f aca="false">IF(C207=5,I207,IF(C207=4,(H207-I207)+K207+L207+M207,H207-J207+K207+L207))</f>
        <v>9.2942</v>
      </c>
      <c r="O207" s="20" t="n">
        <f aca="false">IF(C207=4,RentYears,0)</f>
        <v>2</v>
      </c>
      <c r="P207" s="20" t="n">
        <f aca="false">IF(C207=5,0,MAX(0,G207-O207-NonRes))</f>
        <v>3</v>
      </c>
      <c r="Q207" s="21" t="n">
        <f aca="false">IF(C207=5,0,H207*(1+F207)^G207)</f>
        <v>19.4042708752</v>
      </c>
      <c r="R207" s="21" t="n">
        <f aca="false">IF(C207=5,0,Q207*LOOKUP(Q207,FeeLo,FeeR)*(1+VAT))</f>
        <v>0.14941288573904</v>
      </c>
      <c r="S207" s="21" t="n">
        <f aca="false">IF(J207&gt;0,-CUMIPMT(Rm,LoanYears*12,J207,1,(G207-O207)*12,0),0)</f>
        <v>0.677769220488804</v>
      </c>
      <c r="T207" s="29" t="n">
        <f aca="false">IF(C207=5,0,SUMIFS(Sch_Total,Sch_Idx,A207,Sch_Scen,E207,Sch_Year,"&lt;="&amp;G207))</f>
        <v>0.174276603186336</v>
      </c>
      <c r="U207" s="21" t="n">
        <f aca="false">K207+L207+R207</f>
        <v>0.74361288573904</v>
      </c>
      <c r="V207" s="21" t="n">
        <f aca="false">IF(C207=5,0,Q207-H207-U207)</f>
        <v>4.16065798946097</v>
      </c>
      <c r="W207" s="21" t="n">
        <f aca="false">IF(C207=5,0,MAX(0,IF(P207&gt;=2,IF(Q207&gt;Exempt,V207*(Q207-Exempt)/Q207,0),V207)))</f>
        <v>1.58762155873669</v>
      </c>
      <c r="X207" s="10" t="n">
        <f aca="false">IF(P207&gt;=2,MIN(MaxDed,MIN(0.4,HoldRate*G207)+MIN(0.4,LiveRate*P207)),IF(G207&gt;=3,MIN(0.3,0.02*G207),0))</f>
        <v>0.32</v>
      </c>
      <c r="Y207" s="21" t="n">
        <f aca="false">MAX(0,W207*(1-X207)-InitDed)</f>
        <v>1.05458265994095</v>
      </c>
      <c r="Z207" s="29" t="n">
        <f aca="false">SUMPRODUCT((Y207&gt;CLo)*(Y207-CLo)*CD)*(1+LocalTax)</f>
        <v>0.236174324077266</v>
      </c>
      <c r="AA207" s="21" t="n">
        <f aca="false">K207+T207+Z207</f>
        <v>0.888950927263602</v>
      </c>
      <c r="AB207" s="29" t="n">
        <f aca="false">IF(C207=5,0,(Q207-H207)-K207-L207-R207-S207-T207-Z207)</f>
        <v>3.07243784170856</v>
      </c>
      <c r="AC207" s="21" t="n">
        <f aca="false">IF(C207=5,0,N207*((1+DepRate*(1-DepTax))^G207-1))</f>
        <v>1.24084088012683</v>
      </c>
      <c r="AD207" s="29" t="n">
        <f aca="false">IF(C207=5,0,AB207-AC207+I207*(((1+DepRate*(1-DepTax))^G207-1)-((1+DepRate*(1-DepTax))^O207-1)))</f>
        <v>2.45065259074641</v>
      </c>
      <c r="AE207" s="30" t="n">
        <f aca="false">IF(J207&gt;0,-PMT(Rm,LoanYears*12,J207)*10000,0)</f>
        <v>276.900871369967</v>
      </c>
      <c r="AF207" s="21" t="n">
        <f aca="false">IF(J207&gt;0,-PMT((Rate+Stress)/12,LoanYears*12,J207)*12/DSR,0)</f>
        <v>1.15762634161178</v>
      </c>
      <c r="AG207" s="20" t="n">
        <f aca="false">IF(N207&lt;=CapA,1,0)</f>
        <v>1</v>
      </c>
      <c r="AH207" s="20" t="n">
        <f aca="false">IF(N207&lt;=CapB,1,0)</f>
        <v>1</v>
      </c>
      <c r="AI207" s="20" t="n">
        <f aca="false">IF(N207&lt;=CapC,1,0)</f>
        <v>1</v>
      </c>
      <c r="AJ207" s="21" t="n">
        <f aca="false">IF(AG207=1,AD207,-999)</f>
        <v>2.45065259074641</v>
      </c>
      <c r="AK207" s="21" t="n">
        <f aca="false">IF(AH207=1,AD207,-999)</f>
        <v>2.45065259074641</v>
      </c>
      <c r="AL207" s="21" t="n">
        <f aca="false">IF(AI207=1,AD207,-999)</f>
        <v>2.45065259074641</v>
      </c>
      <c r="AM207" s="21" t="str">
        <f aca="false">C207&amp;"|"&amp;E207&amp;"|"&amp;G207&amp;"|"&amp;TEXT(AJ207,"0.00000")</f>
        <v>4|3|5|2.45065</v>
      </c>
      <c r="AN207" s="21" t="str">
        <f aca="false">C207&amp;"|"&amp;E207&amp;"|"&amp;G207&amp;"|"&amp;TEXT(AK207,"0.00000")</f>
        <v>4|3|5|2.45065</v>
      </c>
      <c r="AO207" s="21" t="str">
        <f aca="false">C207&amp;"|"&amp;E207&amp;"|"&amp;G207&amp;"|"&amp;TEXT(AL207,"0.00000")</f>
        <v>4|3|5|2.45065</v>
      </c>
    </row>
    <row r="208" customFormat="false" ht="15" hidden="false" customHeight="false" outlineLevel="0" collapsed="false">
      <c r="A208" s="20" t="n">
        <v>7</v>
      </c>
      <c r="B208" s="18" t="str">
        <f aca="false">INDEX(C_Name,A208)</f>
        <v>노량진동 쌍용예가 85㎡</v>
      </c>
      <c r="C208" s="20" t="n">
        <v>4</v>
      </c>
      <c r="D208" s="21" t="str">
        <f aca="false">CHOOSE(C208,"1안 표준형(대출 최대)","2안 절충형(대출 50%)","3안 무대출형","4안 임대차 승계 후 입주","5안 매수 보류(전세 거주)")</f>
        <v>4안 임대차 승계 후 입주</v>
      </c>
      <c r="E208" s="20" t="n">
        <v>3</v>
      </c>
      <c r="F208" s="10" t="n">
        <f aca="false">CHOOSE(E208,GrowLo,GrowMid,GrowHi)</f>
        <v>0.06</v>
      </c>
      <c r="G208" s="20" t="n">
        <v>10</v>
      </c>
      <c r="H208" s="18" t="n">
        <f aca="false">INDEX(C_Price,A208)</f>
        <v>14.5</v>
      </c>
      <c r="I208" s="18" t="n">
        <f aca="false">INDEX(C_Jeonse,A208)</f>
        <v>7.54</v>
      </c>
      <c r="J208" s="21" t="n">
        <f aca="false">IF(C208=5,0,IF(C208=1,INDEX(C_Loan,A208),IF(C208=2,INDEX(C_Loan,A208)*LoanShare2,IF(C208=3,0,MIN(INDEX(C_Loan,A208),I208)))))</f>
        <v>5.8</v>
      </c>
      <c r="K208" s="18" t="n">
        <f aca="false">IF(C208=5,0,INDEX(C_Acq,A208))</f>
        <v>0.4785</v>
      </c>
      <c r="L208" s="18" t="n">
        <f aca="false">IF(C208=5,0,INDEX(C_Fee,A208))</f>
        <v>0.1157</v>
      </c>
      <c r="M208" s="21" t="n">
        <f aca="false">IF(C208=4,MAX(0,I208-J208),0)</f>
        <v>1.74</v>
      </c>
      <c r="N208" s="21" t="n">
        <f aca="false">IF(C208=5,I208,IF(C208=4,(H208-I208)+K208+L208+M208,H208-J208+K208+L208))</f>
        <v>9.2942</v>
      </c>
      <c r="O208" s="20" t="n">
        <f aca="false">IF(C208=4,RentYears,0)</f>
        <v>2</v>
      </c>
      <c r="P208" s="20" t="n">
        <f aca="false">IF(C208=5,0,MAX(0,G208-O208-NonRes))</f>
        <v>8</v>
      </c>
      <c r="Q208" s="21" t="n">
        <f aca="false">IF(C208=5,0,H208*(1+F208)^G208)</f>
        <v>25.9672915998714</v>
      </c>
      <c r="R208" s="21" t="n">
        <f aca="false">IF(C208=5,0,Q208*LOOKUP(Q208,FeeLo,FeeR)*(1+VAT))</f>
        <v>0.19994814531901</v>
      </c>
      <c r="S208" s="21" t="n">
        <f aca="false">IF(J208&gt;0,-CUMIPMT(Rm,LoanYears*12,J208,1,(G208-O208)*12,0),0)</f>
        <v>1.71461596185219</v>
      </c>
      <c r="T208" s="29" t="n">
        <f aca="false">IF(C208=5,0,SUMIFS(Sch_Total,Sch_Idx,A208,Sch_Scen,E208,Sch_Year,"&lt;="&amp;G208))</f>
        <v>0.472951687789173</v>
      </c>
      <c r="U208" s="21" t="n">
        <f aca="false">K208+L208+R208</f>
        <v>0.79414814531901</v>
      </c>
      <c r="V208" s="21" t="n">
        <f aca="false">IF(C208=5,0,Q208-H208-U208)</f>
        <v>10.6731434545524</v>
      </c>
      <c r="W208" s="21" t="n">
        <f aca="false">IF(C208=5,0,MAX(0,IF(P208&gt;=2,IF(Q208&gt;Exempt,V208*(Q208-Exempt)/Q208,0),V208)))</f>
        <v>5.74087237183142</v>
      </c>
      <c r="X208" s="10" t="n">
        <f aca="false">IF(P208&gt;=2,MIN(MaxDed,MIN(0.4,HoldRate*G208)+MIN(0.4,LiveRate*P208)),IF(G208&gt;=3,MIN(0.3,0.02*G208),0))</f>
        <v>0.72</v>
      </c>
      <c r="Y208" s="21" t="n">
        <f aca="false">MAX(0,W208*(1-X208)-InitDed)</f>
        <v>1.5824442641128</v>
      </c>
      <c r="Z208" s="29" t="n">
        <f aca="false">SUMPRODUCT((Y208&gt;CLo)*(Y208-CLo)*CD)*(1+LocalTax)</f>
        <v>0.44212170239915</v>
      </c>
      <c r="AA208" s="21" t="n">
        <f aca="false">K208+T208+Z208</f>
        <v>1.39357339018832</v>
      </c>
      <c r="AB208" s="29" t="n">
        <f aca="false">IF(C208=5,0,(Q208-H208)-K208-L208-R208-S208-T208-Z208)</f>
        <v>8.04345410251187</v>
      </c>
      <c r="AC208" s="21" t="n">
        <f aca="false">IF(C208=5,0,N208*((1+DepRate*(1-DepTax))^G208-1))</f>
        <v>2.64734271975463</v>
      </c>
      <c r="AD208" s="29" t="n">
        <f aca="false">IF(C208=5,0,AB208-AC208+I208*(((1+DepRate*(1-DepTax))^G208-1)-((1+DepRate*(1-DepTax))^O208-1)))</f>
        <v>7.1562037736436</v>
      </c>
      <c r="AE208" s="30" t="n">
        <f aca="false">IF(J208&gt;0,-PMT(Rm,LoanYears*12,J208)*10000,0)</f>
        <v>276.900871369967</v>
      </c>
      <c r="AF208" s="21" t="n">
        <f aca="false">IF(J208&gt;0,-PMT((Rate+Stress)/12,LoanYears*12,J208)*12/DSR,0)</f>
        <v>1.15762634161178</v>
      </c>
      <c r="AG208" s="20" t="n">
        <f aca="false">IF(N208&lt;=CapA,1,0)</f>
        <v>1</v>
      </c>
      <c r="AH208" s="20" t="n">
        <f aca="false">IF(N208&lt;=CapB,1,0)</f>
        <v>1</v>
      </c>
      <c r="AI208" s="20" t="n">
        <f aca="false">IF(N208&lt;=CapC,1,0)</f>
        <v>1</v>
      </c>
      <c r="AJ208" s="21" t="n">
        <f aca="false">IF(AG208=1,AD208,-999)</f>
        <v>7.1562037736436</v>
      </c>
      <c r="AK208" s="21" t="n">
        <f aca="false">IF(AH208=1,AD208,-999)</f>
        <v>7.1562037736436</v>
      </c>
      <c r="AL208" s="21" t="n">
        <f aca="false">IF(AI208=1,AD208,-999)</f>
        <v>7.1562037736436</v>
      </c>
      <c r="AM208" s="21" t="str">
        <f aca="false">C208&amp;"|"&amp;E208&amp;"|"&amp;G208&amp;"|"&amp;TEXT(AJ208,"0.00000")</f>
        <v>4|3|10|7.15620</v>
      </c>
      <c r="AN208" s="21" t="str">
        <f aca="false">C208&amp;"|"&amp;E208&amp;"|"&amp;G208&amp;"|"&amp;TEXT(AK208,"0.00000")</f>
        <v>4|3|10|7.15620</v>
      </c>
      <c r="AO208" s="21" t="str">
        <f aca="false">C208&amp;"|"&amp;E208&amp;"|"&amp;G208&amp;"|"&amp;TEXT(AL208,"0.00000")</f>
        <v>4|3|10|7.15620</v>
      </c>
    </row>
    <row r="209" customFormat="false" ht="15" hidden="false" customHeight="false" outlineLevel="0" collapsed="false">
      <c r="A209" s="20" t="n">
        <v>7</v>
      </c>
      <c r="B209" s="18" t="str">
        <f aca="false">INDEX(C_Name,A209)</f>
        <v>노량진동 쌍용예가 85㎡</v>
      </c>
      <c r="C209" s="20" t="n">
        <v>5</v>
      </c>
      <c r="D209" s="21" t="str">
        <f aca="false">CHOOSE(C209,"1안 표준형(대출 최대)","2안 절충형(대출 50%)","3안 무대출형","4안 임대차 승계 후 입주","5안 매수 보류(전세 거주)")</f>
        <v>5안 매수 보류(전세 거주)</v>
      </c>
      <c r="E209" s="20" t="n">
        <v>1</v>
      </c>
      <c r="F209" s="10" t="n">
        <f aca="false">CHOOSE(E209,GrowLo,GrowMid,GrowHi)</f>
        <v>0.02</v>
      </c>
      <c r="G209" s="20" t="n">
        <v>5</v>
      </c>
      <c r="H209" s="18" t="n">
        <f aca="false">INDEX(C_Price,A209)</f>
        <v>14.5</v>
      </c>
      <c r="I209" s="18" t="n">
        <f aca="false">INDEX(C_Jeonse,A209)</f>
        <v>7.54</v>
      </c>
      <c r="J209" s="21" t="n">
        <f aca="false">IF(C209=5,0,IF(C209=1,INDEX(C_Loan,A209),IF(C209=2,INDEX(C_Loan,A209)*LoanShare2,IF(C209=3,0,MIN(INDEX(C_Loan,A209),I209)))))</f>
        <v>0</v>
      </c>
      <c r="K209" s="18" t="n">
        <f aca="false">IF(C209=5,0,INDEX(C_Acq,A209))</f>
        <v>0</v>
      </c>
      <c r="L209" s="18" t="n">
        <f aca="false">IF(C209=5,0,INDEX(C_Fee,A209))</f>
        <v>0</v>
      </c>
      <c r="M209" s="21" t="n">
        <f aca="false">IF(C209=4,MAX(0,I209-J209),0)</f>
        <v>0</v>
      </c>
      <c r="N209" s="21" t="n">
        <f aca="false">IF(C209=5,I209,IF(C209=4,(H209-I209)+K209+L209+M209,H209-J209+K209+L209))</f>
        <v>7.54</v>
      </c>
      <c r="O209" s="20" t="n">
        <f aca="false">IF(C209=4,RentYears,0)</f>
        <v>0</v>
      </c>
      <c r="P209" s="20" t="n">
        <f aca="false">IF(C209=5,0,MAX(0,G209-O209-NonRes))</f>
        <v>0</v>
      </c>
      <c r="Q209" s="21" t="n">
        <f aca="false">IF(C209=5,0,H209*(1+F209)^G209)</f>
        <v>0</v>
      </c>
      <c r="R209" s="21" t="n">
        <f aca="false">IF(C209=5,0,Q209*LOOKUP(Q209,FeeLo,FeeR)*(1+VAT))</f>
        <v>0</v>
      </c>
      <c r="S209" s="21" t="n">
        <f aca="false">IF(J209&gt;0,-CUMIPMT(Rm,LoanYears*12,J209,1,(G209-O209)*12,0),0)</f>
        <v>0</v>
      </c>
      <c r="T209" s="29" t="n">
        <f aca="false">IF(C209=5,0,SUMIFS(Sch_Total,Sch_Idx,A209,Sch_Scen,E209,Sch_Year,"&lt;="&amp;G209))</f>
        <v>0</v>
      </c>
      <c r="U209" s="21" t="n">
        <f aca="false">K209+L209+R209</f>
        <v>0</v>
      </c>
      <c r="V209" s="21" t="n">
        <f aca="false">IF(C209=5,0,Q209-H209-U209)</f>
        <v>0</v>
      </c>
      <c r="W209" s="21" t="n">
        <f aca="false">IF(C209=5,0,MAX(0,IF(P209&gt;=2,IF(Q209&gt;Exempt,V209*(Q209-Exempt)/Q209,0),V209)))</f>
        <v>0</v>
      </c>
      <c r="X209" s="10" t="n">
        <f aca="false">IF(P209&gt;=2,MIN(MaxDed,MIN(0.4,HoldRate*G209)+MIN(0.4,LiveRate*P209)),IF(G209&gt;=3,MIN(0.3,0.02*G209),0))</f>
        <v>0.1</v>
      </c>
      <c r="Y209" s="21" t="n">
        <f aca="false">MAX(0,W209*(1-X209)-InitDed)</f>
        <v>0</v>
      </c>
      <c r="Z209" s="29" t="n">
        <f aca="false">SUMPRODUCT((Y209&gt;CLo)*(Y209-CLo)*CD)*(1+LocalTax)</f>
        <v>0</v>
      </c>
      <c r="AA209" s="21" t="n">
        <f aca="false">K209+T209+Z209</f>
        <v>0</v>
      </c>
      <c r="AB209" s="29" t="n">
        <f aca="false">IF(C209=5,0,(Q209-H209)-K209-L209-R209-S209-T209-Z209)</f>
        <v>0</v>
      </c>
      <c r="AC209" s="21" t="n">
        <f aca="false">IF(C209=5,0,N209*((1+DepRate*(1-DepTax))^G209-1))</f>
        <v>0</v>
      </c>
      <c r="AD209" s="29" t="n">
        <f aca="false">IF(C209=5,0,AB209-AC209+I209*(((1+DepRate*(1-DepTax))^G209-1)-((1+DepRate*(1-DepTax))^O209-1)))</f>
        <v>0</v>
      </c>
      <c r="AE209" s="30" t="n">
        <f aca="false">IF(J209&gt;0,-PMT(Rm,LoanYears*12,J209)*10000,0)</f>
        <v>0</v>
      </c>
      <c r="AF209" s="21" t="n">
        <f aca="false">IF(J209&gt;0,-PMT((Rate+Stress)/12,LoanYears*12,J209)*12/DSR,0)</f>
        <v>0</v>
      </c>
      <c r="AG209" s="20" t="n">
        <f aca="false">IF(N209&lt;=CapA,1,0)</f>
        <v>1</v>
      </c>
      <c r="AH209" s="20" t="n">
        <f aca="false">IF(N209&lt;=CapB,1,0)</f>
        <v>1</v>
      </c>
      <c r="AI209" s="20" t="n">
        <f aca="false">IF(N209&lt;=CapC,1,0)</f>
        <v>1</v>
      </c>
      <c r="AJ209" s="21" t="n">
        <f aca="false">IF(AG209=1,AD209,-999)</f>
        <v>0</v>
      </c>
      <c r="AK209" s="21" t="n">
        <f aca="false">IF(AH209=1,AD209,-999)</f>
        <v>0</v>
      </c>
      <c r="AL209" s="21" t="n">
        <f aca="false">IF(AI209=1,AD209,-999)</f>
        <v>0</v>
      </c>
      <c r="AM209" s="21" t="str">
        <f aca="false">C209&amp;"|"&amp;E209&amp;"|"&amp;G209&amp;"|"&amp;TEXT(AJ209,"0.00000")</f>
        <v>5|1|5|0.00000</v>
      </c>
      <c r="AN209" s="21" t="str">
        <f aca="false">C209&amp;"|"&amp;E209&amp;"|"&amp;G209&amp;"|"&amp;TEXT(AK209,"0.00000")</f>
        <v>5|1|5|0.00000</v>
      </c>
      <c r="AO209" s="21" t="str">
        <f aca="false">C209&amp;"|"&amp;E209&amp;"|"&amp;G209&amp;"|"&amp;TEXT(AL209,"0.00000")</f>
        <v>5|1|5|0.00000</v>
      </c>
    </row>
    <row r="210" customFormat="false" ht="15" hidden="false" customHeight="false" outlineLevel="0" collapsed="false">
      <c r="A210" s="20" t="n">
        <v>7</v>
      </c>
      <c r="B210" s="18" t="str">
        <f aca="false">INDEX(C_Name,A210)</f>
        <v>노량진동 쌍용예가 85㎡</v>
      </c>
      <c r="C210" s="20" t="n">
        <v>5</v>
      </c>
      <c r="D210" s="21" t="str">
        <f aca="false">CHOOSE(C210,"1안 표준형(대출 최대)","2안 절충형(대출 50%)","3안 무대출형","4안 임대차 승계 후 입주","5안 매수 보류(전세 거주)")</f>
        <v>5안 매수 보류(전세 거주)</v>
      </c>
      <c r="E210" s="20" t="n">
        <v>1</v>
      </c>
      <c r="F210" s="10" t="n">
        <f aca="false">CHOOSE(E210,GrowLo,GrowMid,GrowHi)</f>
        <v>0.02</v>
      </c>
      <c r="G210" s="20" t="n">
        <v>10</v>
      </c>
      <c r="H210" s="18" t="n">
        <f aca="false">INDEX(C_Price,A210)</f>
        <v>14.5</v>
      </c>
      <c r="I210" s="18" t="n">
        <f aca="false">INDEX(C_Jeonse,A210)</f>
        <v>7.54</v>
      </c>
      <c r="J210" s="21" t="n">
        <f aca="false">IF(C210=5,0,IF(C210=1,INDEX(C_Loan,A210),IF(C210=2,INDEX(C_Loan,A210)*LoanShare2,IF(C210=3,0,MIN(INDEX(C_Loan,A210),I210)))))</f>
        <v>0</v>
      </c>
      <c r="K210" s="18" t="n">
        <f aca="false">IF(C210=5,0,INDEX(C_Acq,A210))</f>
        <v>0</v>
      </c>
      <c r="L210" s="18" t="n">
        <f aca="false">IF(C210=5,0,INDEX(C_Fee,A210))</f>
        <v>0</v>
      </c>
      <c r="M210" s="21" t="n">
        <f aca="false">IF(C210=4,MAX(0,I210-J210),0)</f>
        <v>0</v>
      </c>
      <c r="N210" s="21" t="n">
        <f aca="false">IF(C210=5,I210,IF(C210=4,(H210-I210)+K210+L210+M210,H210-J210+K210+L210))</f>
        <v>7.54</v>
      </c>
      <c r="O210" s="20" t="n">
        <f aca="false">IF(C210=4,RentYears,0)</f>
        <v>0</v>
      </c>
      <c r="P210" s="20" t="n">
        <f aca="false">IF(C210=5,0,MAX(0,G210-O210-NonRes))</f>
        <v>0</v>
      </c>
      <c r="Q210" s="21" t="n">
        <f aca="false">IF(C210=5,0,H210*(1+F210)^G210)</f>
        <v>0</v>
      </c>
      <c r="R210" s="21" t="n">
        <f aca="false">IF(C210=5,0,Q210*LOOKUP(Q210,FeeLo,FeeR)*(1+VAT))</f>
        <v>0</v>
      </c>
      <c r="S210" s="21" t="n">
        <f aca="false">IF(J210&gt;0,-CUMIPMT(Rm,LoanYears*12,J210,1,(G210-O210)*12,0),0)</f>
        <v>0</v>
      </c>
      <c r="T210" s="29" t="n">
        <f aca="false">IF(C210=5,0,SUMIFS(Sch_Total,Sch_Idx,A210,Sch_Scen,E210,Sch_Year,"&lt;="&amp;G210))</f>
        <v>0</v>
      </c>
      <c r="U210" s="21" t="n">
        <f aca="false">K210+L210+R210</f>
        <v>0</v>
      </c>
      <c r="V210" s="21" t="n">
        <f aca="false">IF(C210=5,0,Q210-H210-U210)</f>
        <v>0</v>
      </c>
      <c r="W210" s="21" t="n">
        <f aca="false">IF(C210=5,0,MAX(0,IF(P210&gt;=2,IF(Q210&gt;Exempt,V210*(Q210-Exempt)/Q210,0),V210)))</f>
        <v>0</v>
      </c>
      <c r="X210" s="10" t="n">
        <f aca="false">IF(P210&gt;=2,MIN(MaxDed,MIN(0.4,HoldRate*G210)+MIN(0.4,LiveRate*P210)),IF(G210&gt;=3,MIN(0.3,0.02*G210),0))</f>
        <v>0.2</v>
      </c>
      <c r="Y210" s="21" t="n">
        <f aca="false">MAX(0,W210*(1-X210)-InitDed)</f>
        <v>0</v>
      </c>
      <c r="Z210" s="29" t="n">
        <f aca="false">SUMPRODUCT((Y210&gt;CLo)*(Y210-CLo)*CD)*(1+LocalTax)</f>
        <v>0</v>
      </c>
      <c r="AA210" s="21" t="n">
        <f aca="false">K210+T210+Z210</f>
        <v>0</v>
      </c>
      <c r="AB210" s="29" t="n">
        <f aca="false">IF(C210=5,0,(Q210-H210)-K210-L210-R210-S210-T210-Z210)</f>
        <v>0</v>
      </c>
      <c r="AC210" s="21" t="n">
        <f aca="false">IF(C210=5,0,N210*((1+DepRate*(1-DepTax))^G210-1))</f>
        <v>0</v>
      </c>
      <c r="AD210" s="29" t="n">
        <f aca="false">IF(C210=5,0,AB210-AC210+I210*(((1+DepRate*(1-DepTax))^G210-1)-((1+DepRate*(1-DepTax))^O210-1)))</f>
        <v>0</v>
      </c>
      <c r="AE210" s="30" t="n">
        <f aca="false">IF(J210&gt;0,-PMT(Rm,LoanYears*12,J210)*10000,0)</f>
        <v>0</v>
      </c>
      <c r="AF210" s="21" t="n">
        <f aca="false">IF(J210&gt;0,-PMT((Rate+Stress)/12,LoanYears*12,J210)*12/DSR,0)</f>
        <v>0</v>
      </c>
      <c r="AG210" s="20" t="n">
        <f aca="false">IF(N210&lt;=CapA,1,0)</f>
        <v>1</v>
      </c>
      <c r="AH210" s="20" t="n">
        <f aca="false">IF(N210&lt;=CapB,1,0)</f>
        <v>1</v>
      </c>
      <c r="AI210" s="20" t="n">
        <f aca="false">IF(N210&lt;=CapC,1,0)</f>
        <v>1</v>
      </c>
      <c r="AJ210" s="21" t="n">
        <f aca="false">IF(AG210=1,AD210,-999)</f>
        <v>0</v>
      </c>
      <c r="AK210" s="21" t="n">
        <f aca="false">IF(AH210=1,AD210,-999)</f>
        <v>0</v>
      </c>
      <c r="AL210" s="21" t="n">
        <f aca="false">IF(AI210=1,AD210,-999)</f>
        <v>0</v>
      </c>
      <c r="AM210" s="21" t="str">
        <f aca="false">C210&amp;"|"&amp;E210&amp;"|"&amp;G210&amp;"|"&amp;TEXT(AJ210,"0.00000")</f>
        <v>5|1|10|0.00000</v>
      </c>
      <c r="AN210" s="21" t="str">
        <f aca="false">C210&amp;"|"&amp;E210&amp;"|"&amp;G210&amp;"|"&amp;TEXT(AK210,"0.00000")</f>
        <v>5|1|10|0.00000</v>
      </c>
      <c r="AO210" s="21" t="str">
        <f aca="false">C210&amp;"|"&amp;E210&amp;"|"&amp;G210&amp;"|"&amp;TEXT(AL210,"0.00000")</f>
        <v>5|1|10|0.00000</v>
      </c>
    </row>
    <row r="211" customFormat="false" ht="15" hidden="false" customHeight="false" outlineLevel="0" collapsed="false">
      <c r="A211" s="20" t="n">
        <v>7</v>
      </c>
      <c r="B211" s="18" t="str">
        <f aca="false">INDEX(C_Name,A211)</f>
        <v>노량진동 쌍용예가 85㎡</v>
      </c>
      <c r="C211" s="20" t="n">
        <v>5</v>
      </c>
      <c r="D211" s="21" t="str">
        <f aca="false">CHOOSE(C211,"1안 표준형(대출 최대)","2안 절충형(대출 50%)","3안 무대출형","4안 임대차 승계 후 입주","5안 매수 보류(전세 거주)")</f>
        <v>5안 매수 보류(전세 거주)</v>
      </c>
      <c r="E211" s="20" t="n">
        <v>2</v>
      </c>
      <c r="F211" s="10" t="n">
        <f aca="false">CHOOSE(E211,GrowLo,GrowMid,GrowHi)</f>
        <v>0.04</v>
      </c>
      <c r="G211" s="20" t="n">
        <v>5</v>
      </c>
      <c r="H211" s="18" t="n">
        <f aca="false">INDEX(C_Price,A211)</f>
        <v>14.5</v>
      </c>
      <c r="I211" s="18" t="n">
        <f aca="false">INDEX(C_Jeonse,A211)</f>
        <v>7.54</v>
      </c>
      <c r="J211" s="21" t="n">
        <f aca="false">IF(C211=5,0,IF(C211=1,INDEX(C_Loan,A211),IF(C211=2,INDEX(C_Loan,A211)*LoanShare2,IF(C211=3,0,MIN(INDEX(C_Loan,A211),I211)))))</f>
        <v>0</v>
      </c>
      <c r="K211" s="18" t="n">
        <f aca="false">IF(C211=5,0,INDEX(C_Acq,A211))</f>
        <v>0</v>
      </c>
      <c r="L211" s="18" t="n">
        <f aca="false">IF(C211=5,0,INDEX(C_Fee,A211))</f>
        <v>0</v>
      </c>
      <c r="M211" s="21" t="n">
        <f aca="false">IF(C211=4,MAX(0,I211-J211),0)</f>
        <v>0</v>
      </c>
      <c r="N211" s="21" t="n">
        <f aca="false">IF(C211=5,I211,IF(C211=4,(H211-I211)+K211+L211+M211,H211-J211+K211+L211))</f>
        <v>7.54</v>
      </c>
      <c r="O211" s="20" t="n">
        <f aca="false">IF(C211=4,RentYears,0)</f>
        <v>0</v>
      </c>
      <c r="P211" s="20" t="n">
        <f aca="false">IF(C211=5,0,MAX(0,G211-O211-NonRes))</f>
        <v>0</v>
      </c>
      <c r="Q211" s="21" t="n">
        <f aca="false">IF(C211=5,0,H211*(1+F211)^G211)</f>
        <v>0</v>
      </c>
      <c r="R211" s="21" t="n">
        <f aca="false">IF(C211=5,0,Q211*LOOKUP(Q211,FeeLo,FeeR)*(1+VAT))</f>
        <v>0</v>
      </c>
      <c r="S211" s="21" t="n">
        <f aca="false">IF(J211&gt;0,-CUMIPMT(Rm,LoanYears*12,J211,1,(G211-O211)*12,0),0)</f>
        <v>0</v>
      </c>
      <c r="T211" s="29" t="n">
        <f aca="false">IF(C211=5,0,SUMIFS(Sch_Total,Sch_Idx,A211,Sch_Scen,E211,Sch_Year,"&lt;="&amp;G211))</f>
        <v>0</v>
      </c>
      <c r="U211" s="21" t="n">
        <f aca="false">K211+L211+R211</f>
        <v>0</v>
      </c>
      <c r="V211" s="21" t="n">
        <f aca="false">IF(C211=5,0,Q211-H211-U211)</f>
        <v>0</v>
      </c>
      <c r="W211" s="21" t="n">
        <f aca="false">IF(C211=5,0,MAX(0,IF(P211&gt;=2,IF(Q211&gt;Exempt,V211*(Q211-Exempt)/Q211,0),V211)))</f>
        <v>0</v>
      </c>
      <c r="X211" s="10" t="n">
        <f aca="false">IF(P211&gt;=2,MIN(MaxDed,MIN(0.4,HoldRate*G211)+MIN(0.4,LiveRate*P211)),IF(G211&gt;=3,MIN(0.3,0.02*G211),0))</f>
        <v>0.1</v>
      </c>
      <c r="Y211" s="21" t="n">
        <f aca="false">MAX(0,W211*(1-X211)-InitDed)</f>
        <v>0</v>
      </c>
      <c r="Z211" s="29" t="n">
        <f aca="false">SUMPRODUCT((Y211&gt;CLo)*(Y211-CLo)*CD)*(1+LocalTax)</f>
        <v>0</v>
      </c>
      <c r="AA211" s="21" t="n">
        <f aca="false">K211+T211+Z211</f>
        <v>0</v>
      </c>
      <c r="AB211" s="29" t="n">
        <f aca="false">IF(C211=5,0,(Q211-H211)-K211-L211-R211-S211-T211-Z211)</f>
        <v>0</v>
      </c>
      <c r="AC211" s="21" t="n">
        <f aca="false">IF(C211=5,0,N211*((1+DepRate*(1-DepTax))^G211-1))</f>
        <v>0</v>
      </c>
      <c r="AD211" s="29" t="n">
        <f aca="false">IF(C211=5,0,AB211-AC211+I211*(((1+DepRate*(1-DepTax))^G211-1)-((1+DepRate*(1-DepTax))^O211-1)))</f>
        <v>0</v>
      </c>
      <c r="AE211" s="30" t="n">
        <f aca="false">IF(J211&gt;0,-PMT(Rm,LoanYears*12,J211)*10000,0)</f>
        <v>0</v>
      </c>
      <c r="AF211" s="21" t="n">
        <f aca="false">IF(J211&gt;0,-PMT((Rate+Stress)/12,LoanYears*12,J211)*12/DSR,0)</f>
        <v>0</v>
      </c>
      <c r="AG211" s="20" t="n">
        <f aca="false">IF(N211&lt;=CapA,1,0)</f>
        <v>1</v>
      </c>
      <c r="AH211" s="20" t="n">
        <f aca="false">IF(N211&lt;=CapB,1,0)</f>
        <v>1</v>
      </c>
      <c r="AI211" s="20" t="n">
        <f aca="false">IF(N211&lt;=CapC,1,0)</f>
        <v>1</v>
      </c>
      <c r="AJ211" s="21" t="n">
        <f aca="false">IF(AG211=1,AD211,-999)</f>
        <v>0</v>
      </c>
      <c r="AK211" s="21" t="n">
        <f aca="false">IF(AH211=1,AD211,-999)</f>
        <v>0</v>
      </c>
      <c r="AL211" s="21" t="n">
        <f aca="false">IF(AI211=1,AD211,-999)</f>
        <v>0</v>
      </c>
      <c r="AM211" s="21" t="str">
        <f aca="false">C211&amp;"|"&amp;E211&amp;"|"&amp;G211&amp;"|"&amp;TEXT(AJ211,"0.00000")</f>
        <v>5|2|5|0.00000</v>
      </c>
      <c r="AN211" s="21" t="str">
        <f aca="false">C211&amp;"|"&amp;E211&amp;"|"&amp;G211&amp;"|"&amp;TEXT(AK211,"0.00000")</f>
        <v>5|2|5|0.00000</v>
      </c>
      <c r="AO211" s="21" t="str">
        <f aca="false">C211&amp;"|"&amp;E211&amp;"|"&amp;G211&amp;"|"&amp;TEXT(AL211,"0.00000")</f>
        <v>5|2|5|0.00000</v>
      </c>
    </row>
    <row r="212" customFormat="false" ht="15" hidden="false" customHeight="false" outlineLevel="0" collapsed="false">
      <c r="A212" s="20" t="n">
        <v>7</v>
      </c>
      <c r="B212" s="18" t="str">
        <f aca="false">INDEX(C_Name,A212)</f>
        <v>노량진동 쌍용예가 85㎡</v>
      </c>
      <c r="C212" s="20" t="n">
        <v>5</v>
      </c>
      <c r="D212" s="21" t="str">
        <f aca="false">CHOOSE(C212,"1안 표준형(대출 최대)","2안 절충형(대출 50%)","3안 무대출형","4안 임대차 승계 후 입주","5안 매수 보류(전세 거주)")</f>
        <v>5안 매수 보류(전세 거주)</v>
      </c>
      <c r="E212" s="20" t="n">
        <v>2</v>
      </c>
      <c r="F212" s="10" t="n">
        <f aca="false">CHOOSE(E212,GrowLo,GrowMid,GrowHi)</f>
        <v>0.04</v>
      </c>
      <c r="G212" s="20" t="n">
        <v>10</v>
      </c>
      <c r="H212" s="18" t="n">
        <f aca="false">INDEX(C_Price,A212)</f>
        <v>14.5</v>
      </c>
      <c r="I212" s="18" t="n">
        <f aca="false">INDEX(C_Jeonse,A212)</f>
        <v>7.54</v>
      </c>
      <c r="J212" s="21" t="n">
        <f aca="false">IF(C212=5,0,IF(C212=1,INDEX(C_Loan,A212),IF(C212=2,INDEX(C_Loan,A212)*LoanShare2,IF(C212=3,0,MIN(INDEX(C_Loan,A212),I212)))))</f>
        <v>0</v>
      </c>
      <c r="K212" s="18" t="n">
        <f aca="false">IF(C212=5,0,INDEX(C_Acq,A212))</f>
        <v>0</v>
      </c>
      <c r="L212" s="18" t="n">
        <f aca="false">IF(C212=5,0,INDEX(C_Fee,A212))</f>
        <v>0</v>
      </c>
      <c r="M212" s="21" t="n">
        <f aca="false">IF(C212=4,MAX(0,I212-J212),0)</f>
        <v>0</v>
      </c>
      <c r="N212" s="21" t="n">
        <f aca="false">IF(C212=5,I212,IF(C212=4,(H212-I212)+K212+L212+M212,H212-J212+K212+L212))</f>
        <v>7.54</v>
      </c>
      <c r="O212" s="20" t="n">
        <f aca="false">IF(C212=4,RentYears,0)</f>
        <v>0</v>
      </c>
      <c r="P212" s="20" t="n">
        <f aca="false">IF(C212=5,0,MAX(0,G212-O212-NonRes))</f>
        <v>0</v>
      </c>
      <c r="Q212" s="21" t="n">
        <f aca="false">IF(C212=5,0,H212*(1+F212)^G212)</f>
        <v>0</v>
      </c>
      <c r="R212" s="21" t="n">
        <f aca="false">IF(C212=5,0,Q212*LOOKUP(Q212,FeeLo,FeeR)*(1+VAT))</f>
        <v>0</v>
      </c>
      <c r="S212" s="21" t="n">
        <f aca="false">IF(J212&gt;0,-CUMIPMT(Rm,LoanYears*12,J212,1,(G212-O212)*12,0),0)</f>
        <v>0</v>
      </c>
      <c r="T212" s="29" t="n">
        <f aca="false">IF(C212=5,0,SUMIFS(Sch_Total,Sch_Idx,A212,Sch_Scen,E212,Sch_Year,"&lt;="&amp;G212))</f>
        <v>0</v>
      </c>
      <c r="U212" s="21" t="n">
        <f aca="false">K212+L212+R212</f>
        <v>0</v>
      </c>
      <c r="V212" s="21" t="n">
        <f aca="false">IF(C212=5,0,Q212-H212-U212)</f>
        <v>0</v>
      </c>
      <c r="W212" s="21" t="n">
        <f aca="false">IF(C212=5,0,MAX(0,IF(P212&gt;=2,IF(Q212&gt;Exempt,V212*(Q212-Exempt)/Q212,0),V212)))</f>
        <v>0</v>
      </c>
      <c r="X212" s="10" t="n">
        <f aca="false">IF(P212&gt;=2,MIN(MaxDed,MIN(0.4,HoldRate*G212)+MIN(0.4,LiveRate*P212)),IF(G212&gt;=3,MIN(0.3,0.02*G212),0))</f>
        <v>0.2</v>
      </c>
      <c r="Y212" s="21" t="n">
        <f aca="false">MAX(0,W212*(1-X212)-InitDed)</f>
        <v>0</v>
      </c>
      <c r="Z212" s="29" t="n">
        <f aca="false">SUMPRODUCT((Y212&gt;CLo)*(Y212-CLo)*CD)*(1+LocalTax)</f>
        <v>0</v>
      </c>
      <c r="AA212" s="21" t="n">
        <f aca="false">K212+T212+Z212</f>
        <v>0</v>
      </c>
      <c r="AB212" s="29" t="n">
        <f aca="false">IF(C212=5,0,(Q212-H212)-K212-L212-R212-S212-T212-Z212)</f>
        <v>0</v>
      </c>
      <c r="AC212" s="21" t="n">
        <f aca="false">IF(C212=5,0,N212*((1+DepRate*(1-DepTax))^G212-1))</f>
        <v>0</v>
      </c>
      <c r="AD212" s="29" t="n">
        <f aca="false">IF(C212=5,0,AB212-AC212+I212*(((1+DepRate*(1-DepTax))^G212-1)-((1+DepRate*(1-DepTax))^O212-1)))</f>
        <v>0</v>
      </c>
      <c r="AE212" s="30" t="n">
        <f aca="false">IF(J212&gt;0,-PMT(Rm,LoanYears*12,J212)*10000,0)</f>
        <v>0</v>
      </c>
      <c r="AF212" s="21" t="n">
        <f aca="false">IF(J212&gt;0,-PMT((Rate+Stress)/12,LoanYears*12,J212)*12/DSR,0)</f>
        <v>0</v>
      </c>
      <c r="AG212" s="20" t="n">
        <f aca="false">IF(N212&lt;=CapA,1,0)</f>
        <v>1</v>
      </c>
      <c r="AH212" s="20" t="n">
        <f aca="false">IF(N212&lt;=CapB,1,0)</f>
        <v>1</v>
      </c>
      <c r="AI212" s="20" t="n">
        <f aca="false">IF(N212&lt;=CapC,1,0)</f>
        <v>1</v>
      </c>
      <c r="AJ212" s="21" t="n">
        <f aca="false">IF(AG212=1,AD212,-999)</f>
        <v>0</v>
      </c>
      <c r="AK212" s="21" t="n">
        <f aca="false">IF(AH212=1,AD212,-999)</f>
        <v>0</v>
      </c>
      <c r="AL212" s="21" t="n">
        <f aca="false">IF(AI212=1,AD212,-999)</f>
        <v>0</v>
      </c>
      <c r="AM212" s="21" t="str">
        <f aca="false">C212&amp;"|"&amp;E212&amp;"|"&amp;G212&amp;"|"&amp;TEXT(AJ212,"0.00000")</f>
        <v>5|2|10|0.00000</v>
      </c>
      <c r="AN212" s="21" t="str">
        <f aca="false">C212&amp;"|"&amp;E212&amp;"|"&amp;G212&amp;"|"&amp;TEXT(AK212,"0.00000")</f>
        <v>5|2|10|0.00000</v>
      </c>
      <c r="AO212" s="21" t="str">
        <f aca="false">C212&amp;"|"&amp;E212&amp;"|"&amp;G212&amp;"|"&amp;TEXT(AL212,"0.00000")</f>
        <v>5|2|10|0.00000</v>
      </c>
    </row>
    <row r="213" customFormat="false" ht="15" hidden="false" customHeight="false" outlineLevel="0" collapsed="false">
      <c r="A213" s="20" t="n">
        <v>7</v>
      </c>
      <c r="B213" s="18" t="str">
        <f aca="false">INDEX(C_Name,A213)</f>
        <v>노량진동 쌍용예가 85㎡</v>
      </c>
      <c r="C213" s="20" t="n">
        <v>5</v>
      </c>
      <c r="D213" s="21" t="str">
        <f aca="false">CHOOSE(C213,"1안 표준형(대출 최대)","2안 절충형(대출 50%)","3안 무대출형","4안 임대차 승계 후 입주","5안 매수 보류(전세 거주)")</f>
        <v>5안 매수 보류(전세 거주)</v>
      </c>
      <c r="E213" s="20" t="n">
        <v>3</v>
      </c>
      <c r="F213" s="10" t="n">
        <f aca="false">CHOOSE(E213,GrowLo,GrowMid,GrowHi)</f>
        <v>0.06</v>
      </c>
      <c r="G213" s="20" t="n">
        <v>5</v>
      </c>
      <c r="H213" s="18" t="n">
        <f aca="false">INDEX(C_Price,A213)</f>
        <v>14.5</v>
      </c>
      <c r="I213" s="18" t="n">
        <f aca="false">INDEX(C_Jeonse,A213)</f>
        <v>7.54</v>
      </c>
      <c r="J213" s="21" t="n">
        <f aca="false">IF(C213=5,0,IF(C213=1,INDEX(C_Loan,A213),IF(C213=2,INDEX(C_Loan,A213)*LoanShare2,IF(C213=3,0,MIN(INDEX(C_Loan,A213),I213)))))</f>
        <v>0</v>
      </c>
      <c r="K213" s="18" t="n">
        <f aca="false">IF(C213=5,0,INDEX(C_Acq,A213))</f>
        <v>0</v>
      </c>
      <c r="L213" s="18" t="n">
        <f aca="false">IF(C213=5,0,INDEX(C_Fee,A213))</f>
        <v>0</v>
      </c>
      <c r="M213" s="21" t="n">
        <f aca="false">IF(C213=4,MAX(0,I213-J213),0)</f>
        <v>0</v>
      </c>
      <c r="N213" s="21" t="n">
        <f aca="false">IF(C213=5,I213,IF(C213=4,(H213-I213)+K213+L213+M213,H213-J213+K213+L213))</f>
        <v>7.54</v>
      </c>
      <c r="O213" s="20" t="n">
        <f aca="false">IF(C213=4,RentYears,0)</f>
        <v>0</v>
      </c>
      <c r="P213" s="20" t="n">
        <f aca="false">IF(C213=5,0,MAX(0,G213-O213-NonRes))</f>
        <v>0</v>
      </c>
      <c r="Q213" s="21" t="n">
        <f aca="false">IF(C213=5,0,H213*(1+F213)^G213)</f>
        <v>0</v>
      </c>
      <c r="R213" s="21" t="n">
        <f aca="false">IF(C213=5,0,Q213*LOOKUP(Q213,FeeLo,FeeR)*(1+VAT))</f>
        <v>0</v>
      </c>
      <c r="S213" s="21" t="n">
        <f aca="false">IF(J213&gt;0,-CUMIPMT(Rm,LoanYears*12,J213,1,(G213-O213)*12,0),0)</f>
        <v>0</v>
      </c>
      <c r="T213" s="29" t="n">
        <f aca="false">IF(C213=5,0,SUMIFS(Sch_Total,Sch_Idx,A213,Sch_Scen,E213,Sch_Year,"&lt;="&amp;G213))</f>
        <v>0</v>
      </c>
      <c r="U213" s="21" t="n">
        <f aca="false">K213+L213+R213</f>
        <v>0</v>
      </c>
      <c r="V213" s="21" t="n">
        <f aca="false">IF(C213=5,0,Q213-H213-U213)</f>
        <v>0</v>
      </c>
      <c r="W213" s="21" t="n">
        <f aca="false">IF(C213=5,0,MAX(0,IF(P213&gt;=2,IF(Q213&gt;Exempt,V213*(Q213-Exempt)/Q213,0),V213)))</f>
        <v>0</v>
      </c>
      <c r="X213" s="10" t="n">
        <f aca="false">IF(P213&gt;=2,MIN(MaxDed,MIN(0.4,HoldRate*G213)+MIN(0.4,LiveRate*P213)),IF(G213&gt;=3,MIN(0.3,0.02*G213),0))</f>
        <v>0.1</v>
      </c>
      <c r="Y213" s="21" t="n">
        <f aca="false">MAX(0,W213*(1-X213)-InitDed)</f>
        <v>0</v>
      </c>
      <c r="Z213" s="29" t="n">
        <f aca="false">SUMPRODUCT((Y213&gt;CLo)*(Y213-CLo)*CD)*(1+LocalTax)</f>
        <v>0</v>
      </c>
      <c r="AA213" s="21" t="n">
        <f aca="false">K213+T213+Z213</f>
        <v>0</v>
      </c>
      <c r="AB213" s="29" t="n">
        <f aca="false">IF(C213=5,0,(Q213-H213)-K213-L213-R213-S213-T213-Z213)</f>
        <v>0</v>
      </c>
      <c r="AC213" s="21" t="n">
        <f aca="false">IF(C213=5,0,N213*((1+DepRate*(1-DepTax))^G213-1))</f>
        <v>0</v>
      </c>
      <c r="AD213" s="29" t="n">
        <f aca="false">IF(C213=5,0,AB213-AC213+I213*(((1+DepRate*(1-DepTax))^G213-1)-((1+DepRate*(1-DepTax))^O213-1)))</f>
        <v>0</v>
      </c>
      <c r="AE213" s="30" t="n">
        <f aca="false">IF(J213&gt;0,-PMT(Rm,LoanYears*12,J213)*10000,0)</f>
        <v>0</v>
      </c>
      <c r="AF213" s="21" t="n">
        <f aca="false">IF(J213&gt;0,-PMT((Rate+Stress)/12,LoanYears*12,J213)*12/DSR,0)</f>
        <v>0</v>
      </c>
      <c r="AG213" s="20" t="n">
        <f aca="false">IF(N213&lt;=CapA,1,0)</f>
        <v>1</v>
      </c>
      <c r="AH213" s="20" t="n">
        <f aca="false">IF(N213&lt;=CapB,1,0)</f>
        <v>1</v>
      </c>
      <c r="AI213" s="20" t="n">
        <f aca="false">IF(N213&lt;=CapC,1,0)</f>
        <v>1</v>
      </c>
      <c r="AJ213" s="21" t="n">
        <f aca="false">IF(AG213=1,AD213,-999)</f>
        <v>0</v>
      </c>
      <c r="AK213" s="21" t="n">
        <f aca="false">IF(AH213=1,AD213,-999)</f>
        <v>0</v>
      </c>
      <c r="AL213" s="21" t="n">
        <f aca="false">IF(AI213=1,AD213,-999)</f>
        <v>0</v>
      </c>
      <c r="AM213" s="21" t="str">
        <f aca="false">C213&amp;"|"&amp;E213&amp;"|"&amp;G213&amp;"|"&amp;TEXT(AJ213,"0.00000")</f>
        <v>5|3|5|0.00000</v>
      </c>
      <c r="AN213" s="21" t="str">
        <f aca="false">C213&amp;"|"&amp;E213&amp;"|"&amp;G213&amp;"|"&amp;TEXT(AK213,"0.00000")</f>
        <v>5|3|5|0.00000</v>
      </c>
      <c r="AO213" s="21" t="str">
        <f aca="false">C213&amp;"|"&amp;E213&amp;"|"&amp;G213&amp;"|"&amp;TEXT(AL213,"0.00000")</f>
        <v>5|3|5|0.00000</v>
      </c>
    </row>
    <row r="214" customFormat="false" ht="15" hidden="false" customHeight="false" outlineLevel="0" collapsed="false">
      <c r="A214" s="20" t="n">
        <v>7</v>
      </c>
      <c r="B214" s="18" t="str">
        <f aca="false">INDEX(C_Name,A214)</f>
        <v>노량진동 쌍용예가 85㎡</v>
      </c>
      <c r="C214" s="20" t="n">
        <v>5</v>
      </c>
      <c r="D214" s="21" t="str">
        <f aca="false">CHOOSE(C214,"1안 표준형(대출 최대)","2안 절충형(대출 50%)","3안 무대출형","4안 임대차 승계 후 입주","5안 매수 보류(전세 거주)")</f>
        <v>5안 매수 보류(전세 거주)</v>
      </c>
      <c r="E214" s="20" t="n">
        <v>3</v>
      </c>
      <c r="F214" s="10" t="n">
        <f aca="false">CHOOSE(E214,GrowLo,GrowMid,GrowHi)</f>
        <v>0.06</v>
      </c>
      <c r="G214" s="20" t="n">
        <v>10</v>
      </c>
      <c r="H214" s="18" t="n">
        <f aca="false">INDEX(C_Price,A214)</f>
        <v>14.5</v>
      </c>
      <c r="I214" s="18" t="n">
        <f aca="false">INDEX(C_Jeonse,A214)</f>
        <v>7.54</v>
      </c>
      <c r="J214" s="21" t="n">
        <f aca="false">IF(C214=5,0,IF(C214=1,INDEX(C_Loan,A214),IF(C214=2,INDEX(C_Loan,A214)*LoanShare2,IF(C214=3,0,MIN(INDEX(C_Loan,A214),I214)))))</f>
        <v>0</v>
      </c>
      <c r="K214" s="18" t="n">
        <f aca="false">IF(C214=5,0,INDEX(C_Acq,A214))</f>
        <v>0</v>
      </c>
      <c r="L214" s="18" t="n">
        <f aca="false">IF(C214=5,0,INDEX(C_Fee,A214))</f>
        <v>0</v>
      </c>
      <c r="M214" s="21" t="n">
        <f aca="false">IF(C214=4,MAX(0,I214-J214),0)</f>
        <v>0</v>
      </c>
      <c r="N214" s="21" t="n">
        <f aca="false">IF(C214=5,I214,IF(C214=4,(H214-I214)+K214+L214+M214,H214-J214+K214+L214))</f>
        <v>7.54</v>
      </c>
      <c r="O214" s="20" t="n">
        <f aca="false">IF(C214=4,RentYears,0)</f>
        <v>0</v>
      </c>
      <c r="P214" s="20" t="n">
        <f aca="false">IF(C214=5,0,MAX(0,G214-O214-NonRes))</f>
        <v>0</v>
      </c>
      <c r="Q214" s="21" t="n">
        <f aca="false">IF(C214=5,0,H214*(1+F214)^G214)</f>
        <v>0</v>
      </c>
      <c r="R214" s="21" t="n">
        <f aca="false">IF(C214=5,0,Q214*LOOKUP(Q214,FeeLo,FeeR)*(1+VAT))</f>
        <v>0</v>
      </c>
      <c r="S214" s="21" t="n">
        <f aca="false">IF(J214&gt;0,-CUMIPMT(Rm,LoanYears*12,J214,1,(G214-O214)*12,0),0)</f>
        <v>0</v>
      </c>
      <c r="T214" s="29" t="n">
        <f aca="false">IF(C214=5,0,SUMIFS(Sch_Total,Sch_Idx,A214,Sch_Scen,E214,Sch_Year,"&lt;="&amp;G214))</f>
        <v>0</v>
      </c>
      <c r="U214" s="21" t="n">
        <f aca="false">K214+L214+R214</f>
        <v>0</v>
      </c>
      <c r="V214" s="21" t="n">
        <f aca="false">IF(C214=5,0,Q214-H214-U214)</f>
        <v>0</v>
      </c>
      <c r="W214" s="21" t="n">
        <f aca="false">IF(C214=5,0,MAX(0,IF(P214&gt;=2,IF(Q214&gt;Exempt,V214*(Q214-Exempt)/Q214,0),V214)))</f>
        <v>0</v>
      </c>
      <c r="X214" s="10" t="n">
        <f aca="false">IF(P214&gt;=2,MIN(MaxDed,MIN(0.4,HoldRate*G214)+MIN(0.4,LiveRate*P214)),IF(G214&gt;=3,MIN(0.3,0.02*G214),0))</f>
        <v>0.2</v>
      </c>
      <c r="Y214" s="21" t="n">
        <f aca="false">MAX(0,W214*(1-X214)-InitDed)</f>
        <v>0</v>
      </c>
      <c r="Z214" s="29" t="n">
        <f aca="false">SUMPRODUCT((Y214&gt;CLo)*(Y214-CLo)*CD)*(1+LocalTax)</f>
        <v>0</v>
      </c>
      <c r="AA214" s="21" t="n">
        <f aca="false">K214+T214+Z214</f>
        <v>0</v>
      </c>
      <c r="AB214" s="29" t="n">
        <f aca="false">IF(C214=5,0,(Q214-H214)-K214-L214-R214-S214-T214-Z214)</f>
        <v>0</v>
      </c>
      <c r="AC214" s="21" t="n">
        <f aca="false">IF(C214=5,0,N214*((1+DepRate*(1-DepTax))^G214-1))</f>
        <v>0</v>
      </c>
      <c r="AD214" s="29" t="n">
        <f aca="false">IF(C214=5,0,AB214-AC214+I214*(((1+DepRate*(1-DepTax))^G214-1)-((1+DepRate*(1-DepTax))^O214-1)))</f>
        <v>0</v>
      </c>
      <c r="AE214" s="30" t="n">
        <f aca="false">IF(J214&gt;0,-PMT(Rm,LoanYears*12,J214)*10000,0)</f>
        <v>0</v>
      </c>
      <c r="AF214" s="21" t="n">
        <f aca="false">IF(J214&gt;0,-PMT((Rate+Stress)/12,LoanYears*12,J214)*12/DSR,0)</f>
        <v>0</v>
      </c>
      <c r="AG214" s="20" t="n">
        <f aca="false">IF(N214&lt;=CapA,1,0)</f>
        <v>1</v>
      </c>
      <c r="AH214" s="20" t="n">
        <f aca="false">IF(N214&lt;=CapB,1,0)</f>
        <v>1</v>
      </c>
      <c r="AI214" s="20" t="n">
        <f aca="false">IF(N214&lt;=CapC,1,0)</f>
        <v>1</v>
      </c>
      <c r="AJ214" s="21" t="n">
        <f aca="false">IF(AG214=1,AD214,-999)</f>
        <v>0</v>
      </c>
      <c r="AK214" s="21" t="n">
        <f aca="false">IF(AH214=1,AD214,-999)</f>
        <v>0</v>
      </c>
      <c r="AL214" s="21" t="n">
        <f aca="false">IF(AI214=1,AD214,-999)</f>
        <v>0</v>
      </c>
      <c r="AM214" s="21" t="str">
        <f aca="false">C214&amp;"|"&amp;E214&amp;"|"&amp;G214&amp;"|"&amp;TEXT(AJ214,"0.00000")</f>
        <v>5|3|10|0.00000</v>
      </c>
      <c r="AN214" s="21" t="str">
        <f aca="false">C214&amp;"|"&amp;E214&amp;"|"&amp;G214&amp;"|"&amp;TEXT(AK214,"0.00000")</f>
        <v>5|3|10|0.00000</v>
      </c>
      <c r="AO214" s="21" t="str">
        <f aca="false">C214&amp;"|"&amp;E214&amp;"|"&amp;G214&amp;"|"&amp;TEXT(AL214,"0.00000")</f>
        <v>5|3|10|0.00000</v>
      </c>
    </row>
    <row r="215" customFormat="false" ht="15" hidden="false" customHeight="false" outlineLevel="0" collapsed="false">
      <c r="A215" s="20" t="n">
        <v>8</v>
      </c>
      <c r="B215" s="18" t="str">
        <f aca="false">INDEX(C_Name,A215)</f>
        <v>본동 래미안트윈파크 (32평형)</v>
      </c>
      <c r="C215" s="20" t="n">
        <v>1</v>
      </c>
      <c r="D215" s="21" t="str">
        <f aca="false">CHOOSE(C215,"1안 표준형(대출 최대)","2안 절충형(대출 50%)","3안 무대출형","4안 임대차 승계 후 입주","5안 매수 보류(전세 거주)")</f>
        <v>1안 표준형(대출 최대)</v>
      </c>
      <c r="E215" s="20" t="n">
        <v>1</v>
      </c>
      <c r="F215" s="10" t="n">
        <f aca="false">CHOOSE(E215,GrowLo,GrowMid,GrowHi)</f>
        <v>0.02</v>
      </c>
      <c r="G215" s="20" t="n">
        <v>5</v>
      </c>
      <c r="H215" s="18" t="n">
        <f aca="false">INDEX(C_Price,A215)</f>
        <v>24.2</v>
      </c>
      <c r="I215" s="18" t="n">
        <f aca="false">INDEX(C_Jeonse,A215)</f>
        <v>12.584</v>
      </c>
      <c r="J215" s="21" t="n">
        <f aca="false">IF(C215=5,0,IF(C215=1,INDEX(C_Loan,A215),IF(C215=2,INDEX(C_Loan,A215)*LoanShare2,IF(C215=3,0,MIN(INDEX(C_Loan,A215),I215)))))</f>
        <v>4</v>
      </c>
      <c r="K215" s="18" t="n">
        <f aca="false">IF(C215=5,0,INDEX(C_Acq,A215))</f>
        <v>0.7986</v>
      </c>
      <c r="L215" s="18" t="n">
        <f aca="false">IF(C215=5,0,INDEX(C_Fee,A215))</f>
        <v>0.20634</v>
      </c>
      <c r="M215" s="21" t="n">
        <f aca="false">IF(C215=4,MAX(0,I215-J215),0)</f>
        <v>0</v>
      </c>
      <c r="N215" s="21" t="n">
        <f aca="false">IF(C215=5,I215,IF(C215=4,(H215-I215)+K215+L215+M215,H215-J215+K215+L215))</f>
        <v>21.20494</v>
      </c>
      <c r="O215" s="20" t="n">
        <f aca="false">IF(C215=4,RentYears,0)</f>
        <v>0</v>
      </c>
      <c r="P215" s="20" t="n">
        <f aca="false">IF(C215=5,0,MAX(0,G215-O215-NonRes))</f>
        <v>5</v>
      </c>
      <c r="Q215" s="21" t="n">
        <f aca="false">IF(C215=5,0,H215*(1+F215)^G215)</f>
        <v>26.71875543744</v>
      </c>
      <c r="R215" s="21" t="n">
        <f aca="false">IF(C215=5,0,Q215*LOOKUP(Q215,FeeLo,FeeR)*(1+VAT))</f>
        <v>0.205734416868288</v>
      </c>
      <c r="S215" s="21" t="n">
        <f aca="false">IF(J215&gt;0,-CUMIPMT(Rm,LoanYears*12,J215,1,(G215-O215)*12,0),0)</f>
        <v>0.76369723456074</v>
      </c>
      <c r="T215" s="29" t="n">
        <f aca="false">IF(C215=5,0,SUMIFS(Sch_Total,Sch_Idx,A215,Sch_Scen,E215,Sch_Year,"&lt;="&amp;G215))</f>
        <v>0.385453148303117</v>
      </c>
      <c r="U215" s="21" t="n">
        <f aca="false">K215+L215+R215</f>
        <v>1.21067441686829</v>
      </c>
      <c r="V215" s="21" t="n">
        <f aca="false">IF(C215=5,0,Q215-H215-U215)</f>
        <v>1.30808102057171</v>
      </c>
      <c r="W215" s="21" t="n">
        <f aca="false">IF(C215=5,0,MAX(0,IF(P215&gt;=2,IF(Q215&gt;Exempt,V215*(Q215-Exempt)/Q215,0),V215)))</f>
        <v>0.720592120363996</v>
      </c>
      <c r="X215" s="10" t="n">
        <f aca="false">IF(P215&gt;=2,MIN(MaxDed,MIN(0.4,HoldRate*G215)+MIN(0.4,LiveRate*P215)),IF(G215&gt;=3,MIN(0.3,0.02*G215),0))</f>
        <v>0.4</v>
      </c>
      <c r="Y215" s="21" t="n">
        <f aca="false">MAX(0,W215*(1-X215)-InitDed)</f>
        <v>0.407355272218398</v>
      </c>
      <c r="Z215" s="29" t="n">
        <f aca="false">SUMPRODUCT((Y215&gt;CLo)*(Y215-CLo)*CD)*(1+LocalTax)</f>
        <v>0.0533536199160356</v>
      </c>
      <c r="AA215" s="21" t="n">
        <f aca="false">K215+T215+Z215</f>
        <v>1.23740676821915</v>
      </c>
      <c r="AB215" s="29" t="n">
        <f aca="false">IF(C215=5,0,(Q215-H215)-K215-L215-R215-S215-T215-Z215)</f>
        <v>0.105577017791819</v>
      </c>
      <c r="AC215" s="21" t="n">
        <f aca="false">IF(C215=5,0,N215*((1+DepRate*(1-DepTax))^G215-1))</f>
        <v>2.83100820002116</v>
      </c>
      <c r="AD215" s="29" t="n">
        <f aca="false">IF(C215=5,0,AB215-AC215+I215*(((1+DepRate*(1-DepTax))^G215-1)-((1+DepRate*(1-DepTax))^O215-1)))</f>
        <v>-1.04537893076971</v>
      </c>
      <c r="AE215" s="30" t="n">
        <f aca="false">IF(J215&gt;0,-PMT(Rm,LoanYears*12,J215)*10000,0)</f>
        <v>190.966118186184</v>
      </c>
      <c r="AF215" s="21" t="n">
        <f aca="false">IF(J215&gt;0,-PMT((Rate+Stress)/12,LoanYears*12,J215)*12/DSR,0)</f>
        <v>0.79836299421502</v>
      </c>
      <c r="AG215" s="20" t="n">
        <f aca="false">IF(N215&lt;=CapA,1,0)</f>
        <v>0</v>
      </c>
      <c r="AH215" s="20" t="n">
        <f aca="false">IF(N215&lt;=CapB,1,0)</f>
        <v>0</v>
      </c>
      <c r="AI215" s="20" t="n">
        <f aca="false">IF(N215&lt;=CapC,1,0)</f>
        <v>0</v>
      </c>
      <c r="AJ215" s="21" t="n">
        <f aca="false">IF(AG215=1,AD215,-999)</f>
        <v>-999</v>
      </c>
      <c r="AK215" s="21" t="n">
        <f aca="false">IF(AH215=1,AD215,-999)</f>
        <v>-999</v>
      </c>
      <c r="AL215" s="21" t="n">
        <f aca="false">IF(AI215=1,AD215,-999)</f>
        <v>-999</v>
      </c>
      <c r="AM215" s="21" t="str">
        <f aca="false">C215&amp;"|"&amp;E215&amp;"|"&amp;G215&amp;"|"&amp;TEXT(AJ215,"0.00000")</f>
        <v>1|1|5|-999.00000</v>
      </c>
      <c r="AN215" s="21" t="str">
        <f aca="false">C215&amp;"|"&amp;E215&amp;"|"&amp;G215&amp;"|"&amp;TEXT(AK215,"0.00000")</f>
        <v>1|1|5|-999.00000</v>
      </c>
      <c r="AO215" s="21" t="str">
        <f aca="false">C215&amp;"|"&amp;E215&amp;"|"&amp;G215&amp;"|"&amp;TEXT(AL215,"0.00000")</f>
        <v>1|1|5|-999.00000</v>
      </c>
    </row>
    <row r="216" customFormat="false" ht="15" hidden="false" customHeight="false" outlineLevel="0" collapsed="false">
      <c r="A216" s="20" t="n">
        <v>8</v>
      </c>
      <c r="B216" s="18" t="str">
        <f aca="false">INDEX(C_Name,A216)</f>
        <v>본동 래미안트윈파크 (32평형)</v>
      </c>
      <c r="C216" s="20" t="n">
        <v>1</v>
      </c>
      <c r="D216" s="21" t="str">
        <f aca="false">CHOOSE(C216,"1안 표준형(대출 최대)","2안 절충형(대출 50%)","3안 무대출형","4안 임대차 승계 후 입주","5안 매수 보류(전세 거주)")</f>
        <v>1안 표준형(대출 최대)</v>
      </c>
      <c r="E216" s="20" t="n">
        <v>1</v>
      </c>
      <c r="F216" s="10" t="n">
        <f aca="false">CHOOSE(E216,GrowLo,GrowMid,GrowHi)</f>
        <v>0.02</v>
      </c>
      <c r="G216" s="20" t="n">
        <v>10</v>
      </c>
      <c r="H216" s="18" t="n">
        <f aca="false">INDEX(C_Price,A216)</f>
        <v>24.2</v>
      </c>
      <c r="I216" s="18" t="n">
        <f aca="false">INDEX(C_Jeonse,A216)</f>
        <v>12.584</v>
      </c>
      <c r="J216" s="21" t="n">
        <f aca="false">IF(C216=5,0,IF(C216=1,INDEX(C_Loan,A216),IF(C216=2,INDEX(C_Loan,A216)*LoanShare2,IF(C216=3,0,MIN(INDEX(C_Loan,A216),I216)))))</f>
        <v>4</v>
      </c>
      <c r="K216" s="18" t="n">
        <f aca="false">IF(C216=5,0,INDEX(C_Acq,A216))</f>
        <v>0.7986</v>
      </c>
      <c r="L216" s="18" t="n">
        <f aca="false">IF(C216=5,0,INDEX(C_Fee,A216))</f>
        <v>0.20634</v>
      </c>
      <c r="M216" s="21" t="n">
        <f aca="false">IF(C216=4,MAX(0,I216-J216),0)</f>
        <v>0</v>
      </c>
      <c r="N216" s="21" t="n">
        <f aca="false">IF(C216=5,I216,IF(C216=4,(H216-I216)+K216+L216+M216,H216-J216+K216+L216))</f>
        <v>21.20494</v>
      </c>
      <c r="O216" s="20" t="n">
        <f aca="false">IF(C216=4,RentYears,0)</f>
        <v>0</v>
      </c>
      <c r="P216" s="20" t="n">
        <f aca="false">IF(C216=5,0,MAX(0,G216-O216-NonRes))</f>
        <v>10</v>
      </c>
      <c r="Q216" s="21" t="n">
        <f aca="false">IF(C216=5,0,H216*(1+F216)^G216)</f>
        <v>29.4996649638731</v>
      </c>
      <c r="R216" s="21" t="n">
        <f aca="false">IF(C216=5,0,Q216*LOOKUP(Q216,FeeLo,FeeR)*(1+VAT))</f>
        <v>0.227147420221823</v>
      </c>
      <c r="S216" s="21" t="n">
        <f aca="false">IF(J216&gt;0,-CUMIPMT(Rm,LoanYears*12,J216,1,(G216-O216)*12,0),0)</f>
        <v>1.44295178669745</v>
      </c>
      <c r="T216" s="29" t="n">
        <f aca="false">IF(C216=5,0,SUMIFS(Sch_Total,Sch_Idx,A216,Sch_Scen,E216,Sch_Year,"&lt;="&amp;G216))</f>
        <v>0.849699625381735</v>
      </c>
      <c r="U216" s="21" t="n">
        <f aca="false">K216+L216+R216</f>
        <v>1.23208742022182</v>
      </c>
      <c r="V216" s="21" t="n">
        <f aca="false">IF(C216=5,0,Q216-H216-U216)</f>
        <v>4.0675775436513</v>
      </c>
      <c r="W216" s="21" t="n">
        <f aca="false">IF(C216=5,0,MAX(0,IF(P216&gt;=2,IF(Q216&gt;Exempt,V216*(Q216-Exempt)/Q216,0),V216)))</f>
        <v>2.41295093743079</v>
      </c>
      <c r="X216" s="10" t="n">
        <f aca="false">IF(P216&gt;=2,MIN(MaxDed,MIN(0.4,HoldRate*G216)+MIN(0.4,LiveRate*P216)),IF(G216&gt;=3,MIN(0.3,0.02*G216),0))</f>
        <v>0.8</v>
      </c>
      <c r="Y216" s="21" t="n">
        <f aca="false">MAX(0,W216*(1-X216)-InitDed)</f>
        <v>0.457590187486157</v>
      </c>
      <c r="Z216" s="29" t="n">
        <f aca="false">SUMPRODUCT((Y216&gt;CLo)*(Y216-CLo)*CD)*(1+LocalTax)</f>
        <v>0.061642380935216</v>
      </c>
      <c r="AA216" s="21" t="n">
        <f aca="false">K216+T216+Z216</f>
        <v>1.70994200631695</v>
      </c>
      <c r="AB216" s="29" t="n">
        <f aca="false">IF(C216=5,0,(Q216-H216)-K216-L216-R216-S216-T216-Z216)</f>
        <v>1.7132837506369</v>
      </c>
      <c r="AC216" s="21" t="n">
        <f aca="false">IF(C216=5,0,N216*((1+DepRate*(1-DepTax))^G216-1))</f>
        <v>6.03997584857586</v>
      </c>
      <c r="AD216" s="29" t="n">
        <f aca="false">IF(C216=5,0,AB216-AC216+I216*(((1+DepRate*(1-DepTax))^G216-1)-((1+DepRate*(1-DepTax))^O216-1)))</f>
        <v>-0.742288837261087</v>
      </c>
      <c r="AE216" s="30" t="n">
        <f aca="false">IF(J216&gt;0,-PMT(Rm,LoanYears*12,J216)*10000,0)</f>
        <v>190.966118186184</v>
      </c>
      <c r="AF216" s="21" t="n">
        <f aca="false">IF(J216&gt;0,-PMT((Rate+Stress)/12,LoanYears*12,J216)*12/DSR,0)</f>
        <v>0.79836299421502</v>
      </c>
      <c r="AG216" s="20" t="n">
        <f aca="false">IF(N216&lt;=CapA,1,0)</f>
        <v>0</v>
      </c>
      <c r="AH216" s="20" t="n">
        <f aca="false">IF(N216&lt;=CapB,1,0)</f>
        <v>0</v>
      </c>
      <c r="AI216" s="20" t="n">
        <f aca="false">IF(N216&lt;=CapC,1,0)</f>
        <v>0</v>
      </c>
      <c r="AJ216" s="21" t="n">
        <f aca="false">IF(AG216=1,AD216,-999)</f>
        <v>-999</v>
      </c>
      <c r="AK216" s="21" t="n">
        <f aca="false">IF(AH216=1,AD216,-999)</f>
        <v>-999</v>
      </c>
      <c r="AL216" s="21" t="n">
        <f aca="false">IF(AI216=1,AD216,-999)</f>
        <v>-999</v>
      </c>
      <c r="AM216" s="21" t="str">
        <f aca="false">C216&amp;"|"&amp;E216&amp;"|"&amp;G216&amp;"|"&amp;TEXT(AJ216,"0.00000")</f>
        <v>1|1|10|-999.00000</v>
      </c>
      <c r="AN216" s="21" t="str">
        <f aca="false">C216&amp;"|"&amp;E216&amp;"|"&amp;G216&amp;"|"&amp;TEXT(AK216,"0.00000")</f>
        <v>1|1|10|-999.00000</v>
      </c>
      <c r="AO216" s="21" t="str">
        <f aca="false">C216&amp;"|"&amp;E216&amp;"|"&amp;G216&amp;"|"&amp;TEXT(AL216,"0.00000")</f>
        <v>1|1|10|-999.00000</v>
      </c>
    </row>
    <row r="217" customFormat="false" ht="15" hidden="false" customHeight="false" outlineLevel="0" collapsed="false">
      <c r="A217" s="20" t="n">
        <v>8</v>
      </c>
      <c r="B217" s="18" t="str">
        <f aca="false">INDEX(C_Name,A217)</f>
        <v>본동 래미안트윈파크 (32평형)</v>
      </c>
      <c r="C217" s="20" t="n">
        <v>1</v>
      </c>
      <c r="D217" s="21" t="str">
        <f aca="false">CHOOSE(C217,"1안 표준형(대출 최대)","2안 절충형(대출 50%)","3안 무대출형","4안 임대차 승계 후 입주","5안 매수 보류(전세 거주)")</f>
        <v>1안 표준형(대출 최대)</v>
      </c>
      <c r="E217" s="20" t="n">
        <v>2</v>
      </c>
      <c r="F217" s="10" t="n">
        <f aca="false">CHOOSE(E217,GrowLo,GrowMid,GrowHi)</f>
        <v>0.04</v>
      </c>
      <c r="G217" s="20" t="n">
        <v>5</v>
      </c>
      <c r="H217" s="18" t="n">
        <f aca="false">INDEX(C_Price,A217)</f>
        <v>24.2</v>
      </c>
      <c r="I217" s="18" t="n">
        <f aca="false">INDEX(C_Jeonse,A217)</f>
        <v>12.584</v>
      </c>
      <c r="J217" s="21" t="n">
        <f aca="false">IF(C217=5,0,IF(C217=1,INDEX(C_Loan,A217),IF(C217=2,INDEX(C_Loan,A217)*LoanShare2,IF(C217=3,0,MIN(INDEX(C_Loan,A217),I217)))))</f>
        <v>4</v>
      </c>
      <c r="K217" s="18" t="n">
        <f aca="false">IF(C217=5,0,INDEX(C_Acq,A217))</f>
        <v>0.7986</v>
      </c>
      <c r="L217" s="18" t="n">
        <f aca="false">IF(C217=5,0,INDEX(C_Fee,A217))</f>
        <v>0.20634</v>
      </c>
      <c r="M217" s="21" t="n">
        <f aca="false">IF(C217=4,MAX(0,I217-J217),0)</f>
        <v>0</v>
      </c>
      <c r="N217" s="21" t="n">
        <f aca="false">IF(C217=5,I217,IF(C217=4,(H217-I217)+K217+L217+M217,H217-J217+K217+L217))</f>
        <v>21.20494</v>
      </c>
      <c r="O217" s="20" t="n">
        <f aca="false">IF(C217=4,RentYears,0)</f>
        <v>0</v>
      </c>
      <c r="P217" s="20" t="n">
        <f aca="false">IF(C217=5,0,MAX(0,G217-O217-NonRes))</f>
        <v>5</v>
      </c>
      <c r="Q217" s="21" t="n">
        <f aca="false">IF(C217=5,0,H217*(1+F217)^G217)</f>
        <v>29.44300023808</v>
      </c>
      <c r="R217" s="21" t="n">
        <f aca="false">IF(C217=5,0,Q217*LOOKUP(Q217,FeeLo,FeeR)*(1+VAT))</f>
        <v>0.226711101833216</v>
      </c>
      <c r="S217" s="21" t="n">
        <f aca="false">IF(J217&gt;0,-CUMIPMT(Rm,LoanYears*12,J217,1,(G217-O217)*12,0),0)</f>
        <v>0.76369723456074</v>
      </c>
      <c r="T217" s="29" t="n">
        <f aca="false">IF(C217=5,0,SUMIFS(Sch_Total,Sch_Idx,A217,Sch_Scen,E217,Sch_Year,"&lt;="&amp;G217))</f>
        <v>0.416504645976269</v>
      </c>
      <c r="U217" s="21" t="n">
        <f aca="false">K217+L217+R217</f>
        <v>1.23165110183322</v>
      </c>
      <c r="V217" s="21" t="n">
        <f aca="false">IF(C217=5,0,Q217-H217-U217)</f>
        <v>4.01134913624679</v>
      </c>
      <c r="W217" s="21" t="n">
        <f aca="false">IF(C217=5,0,MAX(0,IF(P217&gt;=2,IF(Q217&gt;Exempt,V217*(Q217-Exempt)/Q217,0),V217)))</f>
        <v>2.37645495950781</v>
      </c>
      <c r="X217" s="10" t="n">
        <f aca="false">IF(P217&gt;=2,MIN(MaxDed,MIN(0.4,HoldRate*G217)+MIN(0.4,LiveRate*P217)),IF(G217&gt;=3,MIN(0.3,0.02*G217),0))</f>
        <v>0.4</v>
      </c>
      <c r="Y217" s="21" t="n">
        <f aca="false">MAX(0,W217*(1-X217)-InitDed)</f>
        <v>1.40087297570468</v>
      </c>
      <c r="Z217" s="29" t="n">
        <f aca="false">SUMPRODUCT((Y217&gt;CLo)*(Y217-CLo)*CD)*(1+LocalTax)</f>
        <v>0.369496095646303</v>
      </c>
      <c r="AA217" s="21" t="n">
        <f aca="false">K217+T217+Z217</f>
        <v>1.58460074162257</v>
      </c>
      <c r="AB217" s="29" t="n">
        <f aca="false">IF(C217=5,0,(Q217-H217)-K217-L217-R217-S217-T217-Z217)</f>
        <v>2.46165116006348</v>
      </c>
      <c r="AC217" s="21" t="n">
        <f aca="false">IF(C217=5,0,N217*((1+DepRate*(1-DepTax))^G217-1))</f>
        <v>2.83100820002116</v>
      </c>
      <c r="AD217" s="29" t="n">
        <f aca="false">IF(C217=5,0,AB217-AC217+I217*(((1+DepRate*(1-DepTax))^G217-1)-((1+DepRate*(1-DepTax))^O217-1)))</f>
        <v>1.31069521150194</v>
      </c>
      <c r="AE217" s="30" t="n">
        <f aca="false">IF(J217&gt;0,-PMT(Rm,LoanYears*12,J217)*10000,0)</f>
        <v>190.966118186184</v>
      </c>
      <c r="AF217" s="21" t="n">
        <f aca="false">IF(J217&gt;0,-PMT((Rate+Stress)/12,LoanYears*12,J217)*12/DSR,0)</f>
        <v>0.79836299421502</v>
      </c>
      <c r="AG217" s="20" t="n">
        <f aca="false">IF(N217&lt;=CapA,1,0)</f>
        <v>0</v>
      </c>
      <c r="AH217" s="20" t="n">
        <f aca="false">IF(N217&lt;=CapB,1,0)</f>
        <v>0</v>
      </c>
      <c r="AI217" s="20" t="n">
        <f aca="false">IF(N217&lt;=CapC,1,0)</f>
        <v>0</v>
      </c>
      <c r="AJ217" s="21" t="n">
        <f aca="false">IF(AG217=1,AD217,-999)</f>
        <v>-999</v>
      </c>
      <c r="AK217" s="21" t="n">
        <f aca="false">IF(AH217=1,AD217,-999)</f>
        <v>-999</v>
      </c>
      <c r="AL217" s="21" t="n">
        <f aca="false">IF(AI217=1,AD217,-999)</f>
        <v>-999</v>
      </c>
      <c r="AM217" s="21" t="str">
        <f aca="false">C217&amp;"|"&amp;E217&amp;"|"&amp;G217&amp;"|"&amp;TEXT(AJ217,"0.00000")</f>
        <v>1|2|5|-999.00000</v>
      </c>
      <c r="AN217" s="21" t="str">
        <f aca="false">C217&amp;"|"&amp;E217&amp;"|"&amp;G217&amp;"|"&amp;TEXT(AK217,"0.00000")</f>
        <v>1|2|5|-999.00000</v>
      </c>
      <c r="AO217" s="21" t="str">
        <f aca="false">C217&amp;"|"&amp;E217&amp;"|"&amp;G217&amp;"|"&amp;TEXT(AL217,"0.00000")</f>
        <v>1|2|5|-999.00000</v>
      </c>
    </row>
    <row r="218" customFormat="false" ht="15" hidden="false" customHeight="false" outlineLevel="0" collapsed="false">
      <c r="A218" s="20" t="n">
        <v>8</v>
      </c>
      <c r="B218" s="18" t="str">
        <f aca="false">INDEX(C_Name,A218)</f>
        <v>본동 래미안트윈파크 (32평형)</v>
      </c>
      <c r="C218" s="20" t="n">
        <v>1</v>
      </c>
      <c r="D218" s="21" t="str">
        <f aca="false">CHOOSE(C218,"1안 표준형(대출 최대)","2안 절충형(대출 50%)","3안 무대출형","4안 임대차 승계 후 입주","5안 매수 보류(전세 거주)")</f>
        <v>1안 표준형(대출 최대)</v>
      </c>
      <c r="E218" s="20" t="n">
        <v>2</v>
      </c>
      <c r="F218" s="10" t="n">
        <f aca="false">CHOOSE(E218,GrowLo,GrowMid,GrowHi)</f>
        <v>0.04</v>
      </c>
      <c r="G218" s="20" t="n">
        <v>10</v>
      </c>
      <c r="H218" s="18" t="n">
        <f aca="false">INDEX(C_Price,A218)</f>
        <v>24.2</v>
      </c>
      <c r="I218" s="18" t="n">
        <f aca="false">INDEX(C_Jeonse,A218)</f>
        <v>12.584</v>
      </c>
      <c r="J218" s="21" t="n">
        <f aca="false">IF(C218=5,0,IF(C218=1,INDEX(C_Loan,A218),IF(C218=2,INDEX(C_Loan,A218)*LoanShare2,IF(C218=3,0,MIN(INDEX(C_Loan,A218),I218)))))</f>
        <v>4</v>
      </c>
      <c r="K218" s="18" t="n">
        <f aca="false">IF(C218=5,0,INDEX(C_Acq,A218))</f>
        <v>0.7986</v>
      </c>
      <c r="L218" s="18" t="n">
        <f aca="false">IF(C218=5,0,INDEX(C_Fee,A218))</f>
        <v>0.20634</v>
      </c>
      <c r="M218" s="21" t="n">
        <f aca="false">IF(C218=4,MAX(0,I218-J218),0)</f>
        <v>0</v>
      </c>
      <c r="N218" s="21" t="n">
        <f aca="false">IF(C218=5,I218,IF(C218=4,(H218-I218)+K218+L218+M218,H218-J218+K218+L218))</f>
        <v>21.20494</v>
      </c>
      <c r="O218" s="20" t="n">
        <f aca="false">IF(C218=4,RentYears,0)</f>
        <v>0</v>
      </c>
      <c r="P218" s="20" t="n">
        <f aca="false">IF(C218=5,0,MAX(0,G218-O218-NonRes))</f>
        <v>10</v>
      </c>
      <c r="Q218" s="21" t="n">
        <f aca="false">IF(C218=5,0,H218*(1+F218)^G218)</f>
        <v>35.8219116950239</v>
      </c>
      <c r="R218" s="21" t="n">
        <f aca="false">IF(C218=5,0,Q218*LOOKUP(Q218,FeeLo,FeeR)*(1+VAT))</f>
        <v>0.275828720051684</v>
      </c>
      <c r="S218" s="21" t="n">
        <f aca="false">IF(J218&gt;0,-CUMIPMT(Rm,LoanYears*12,J218,1,(G218-O218)*12,0),0)</f>
        <v>1.44295178669745</v>
      </c>
      <c r="T218" s="29" t="n">
        <f aca="false">IF(C218=5,0,SUMIFS(Sch_Total,Sch_Idx,A218,Sch_Scen,E218,Sch_Year,"&lt;="&amp;G218))</f>
        <v>1.00987862179362</v>
      </c>
      <c r="U218" s="21" t="n">
        <f aca="false">K218+L218+R218</f>
        <v>1.28076872005168</v>
      </c>
      <c r="V218" s="21" t="n">
        <f aca="false">IF(C218=5,0,Q218-H218-U218)</f>
        <v>10.3411429749723</v>
      </c>
      <c r="W218" s="21" t="n">
        <f aca="false">IF(C218=5,0,MAX(0,IF(P218&gt;=2,IF(Q218&gt;Exempt,V218*(Q218-Exempt)/Q218,0),V218)))</f>
        <v>6.87695835087512</v>
      </c>
      <c r="X218" s="10" t="n">
        <f aca="false">IF(P218&gt;=2,MIN(MaxDed,MIN(0.4,HoldRate*G218)+MIN(0.4,LiveRate*P218)),IF(G218&gt;=3,MIN(0.3,0.02*G218),0))</f>
        <v>0.8</v>
      </c>
      <c r="Y218" s="21" t="n">
        <f aca="false">MAX(0,W218*(1-X218)-InitDed)</f>
        <v>1.35039167017502</v>
      </c>
      <c r="Z218" s="29" t="n">
        <f aca="false">SUMPRODUCT((Y218&gt;CLo)*(Y218-CLo)*CD)*(1+LocalTax)</f>
        <v>0.350060793017384</v>
      </c>
      <c r="AA218" s="21" t="n">
        <f aca="false">K218+T218+Z218</f>
        <v>2.15853941481101</v>
      </c>
      <c r="AB218" s="29" t="n">
        <f aca="false">IF(C218=5,0,(Q218-H218)-K218-L218-R218-S218-T218-Z218)</f>
        <v>7.53825177346379</v>
      </c>
      <c r="AC218" s="21" t="n">
        <f aca="false">IF(C218=5,0,N218*((1+DepRate*(1-DepTax))^G218-1))</f>
        <v>6.03997584857586</v>
      </c>
      <c r="AD218" s="29" t="n">
        <f aca="false">IF(C218=5,0,AB218-AC218+I218*(((1+DepRate*(1-DepTax))^G218-1)-((1+DepRate*(1-DepTax))^O218-1)))</f>
        <v>5.0826791855658</v>
      </c>
      <c r="AE218" s="30" t="n">
        <f aca="false">IF(J218&gt;0,-PMT(Rm,LoanYears*12,J218)*10000,0)</f>
        <v>190.966118186184</v>
      </c>
      <c r="AF218" s="21" t="n">
        <f aca="false">IF(J218&gt;0,-PMT((Rate+Stress)/12,LoanYears*12,J218)*12/DSR,0)</f>
        <v>0.79836299421502</v>
      </c>
      <c r="AG218" s="20" t="n">
        <f aca="false">IF(N218&lt;=CapA,1,0)</f>
        <v>0</v>
      </c>
      <c r="AH218" s="20" t="n">
        <f aca="false">IF(N218&lt;=CapB,1,0)</f>
        <v>0</v>
      </c>
      <c r="AI218" s="20" t="n">
        <f aca="false">IF(N218&lt;=CapC,1,0)</f>
        <v>0</v>
      </c>
      <c r="AJ218" s="21" t="n">
        <f aca="false">IF(AG218=1,AD218,-999)</f>
        <v>-999</v>
      </c>
      <c r="AK218" s="21" t="n">
        <f aca="false">IF(AH218=1,AD218,-999)</f>
        <v>-999</v>
      </c>
      <c r="AL218" s="21" t="n">
        <f aca="false">IF(AI218=1,AD218,-999)</f>
        <v>-999</v>
      </c>
      <c r="AM218" s="21" t="str">
        <f aca="false">C218&amp;"|"&amp;E218&amp;"|"&amp;G218&amp;"|"&amp;TEXT(AJ218,"0.00000")</f>
        <v>1|2|10|-999.00000</v>
      </c>
      <c r="AN218" s="21" t="str">
        <f aca="false">C218&amp;"|"&amp;E218&amp;"|"&amp;G218&amp;"|"&amp;TEXT(AK218,"0.00000")</f>
        <v>1|2|10|-999.00000</v>
      </c>
      <c r="AO218" s="21" t="str">
        <f aca="false">C218&amp;"|"&amp;E218&amp;"|"&amp;G218&amp;"|"&amp;TEXT(AL218,"0.00000")</f>
        <v>1|2|10|-999.00000</v>
      </c>
    </row>
    <row r="219" customFormat="false" ht="15" hidden="false" customHeight="false" outlineLevel="0" collapsed="false">
      <c r="A219" s="20" t="n">
        <v>8</v>
      </c>
      <c r="B219" s="18" t="str">
        <f aca="false">INDEX(C_Name,A219)</f>
        <v>본동 래미안트윈파크 (32평형)</v>
      </c>
      <c r="C219" s="20" t="n">
        <v>1</v>
      </c>
      <c r="D219" s="21" t="str">
        <f aca="false">CHOOSE(C219,"1안 표준형(대출 최대)","2안 절충형(대출 50%)","3안 무대출형","4안 임대차 승계 후 입주","5안 매수 보류(전세 거주)")</f>
        <v>1안 표준형(대출 최대)</v>
      </c>
      <c r="E219" s="20" t="n">
        <v>3</v>
      </c>
      <c r="F219" s="10" t="n">
        <f aca="false">CHOOSE(E219,GrowLo,GrowMid,GrowHi)</f>
        <v>0.06</v>
      </c>
      <c r="G219" s="20" t="n">
        <v>5</v>
      </c>
      <c r="H219" s="18" t="n">
        <f aca="false">INDEX(C_Price,A219)</f>
        <v>24.2</v>
      </c>
      <c r="I219" s="18" t="n">
        <f aca="false">INDEX(C_Jeonse,A219)</f>
        <v>12.584</v>
      </c>
      <c r="J219" s="21" t="n">
        <f aca="false">IF(C219=5,0,IF(C219=1,INDEX(C_Loan,A219),IF(C219=2,INDEX(C_Loan,A219)*LoanShare2,IF(C219=3,0,MIN(INDEX(C_Loan,A219),I219)))))</f>
        <v>4</v>
      </c>
      <c r="K219" s="18" t="n">
        <f aca="false">IF(C219=5,0,INDEX(C_Acq,A219))</f>
        <v>0.7986</v>
      </c>
      <c r="L219" s="18" t="n">
        <f aca="false">IF(C219=5,0,INDEX(C_Fee,A219))</f>
        <v>0.20634</v>
      </c>
      <c r="M219" s="21" t="n">
        <f aca="false">IF(C219=4,MAX(0,I219-J219),0)</f>
        <v>0</v>
      </c>
      <c r="N219" s="21" t="n">
        <f aca="false">IF(C219=5,I219,IF(C219=4,(H219-I219)+K219+L219+M219,H219-J219+K219+L219))</f>
        <v>21.20494</v>
      </c>
      <c r="O219" s="20" t="n">
        <f aca="false">IF(C219=4,RentYears,0)</f>
        <v>0</v>
      </c>
      <c r="P219" s="20" t="n">
        <f aca="false">IF(C219=5,0,MAX(0,G219-O219-NonRes))</f>
        <v>5</v>
      </c>
      <c r="Q219" s="21" t="n">
        <f aca="false">IF(C219=5,0,H219*(1+F219)^G219)</f>
        <v>32.38505897792</v>
      </c>
      <c r="R219" s="21" t="n">
        <f aca="false">IF(C219=5,0,Q219*LOOKUP(Q219,FeeLo,FeeR)*(1+VAT))</f>
        <v>0.249364954129984</v>
      </c>
      <c r="S219" s="21" t="n">
        <f aca="false">IF(J219&gt;0,-CUMIPMT(Rm,LoanYears*12,J219,1,(G219-O219)*12,0),0)</f>
        <v>0.76369723456074</v>
      </c>
      <c r="T219" s="29" t="n">
        <f aca="false">IF(C219=5,0,SUMIFS(Sch_Total,Sch_Idx,A219,Sch_Scen,E219,Sch_Year,"&lt;="&amp;G219))</f>
        <v>0.448797721435661</v>
      </c>
      <c r="U219" s="21" t="n">
        <f aca="false">K219+L219+R219</f>
        <v>1.25430495412998</v>
      </c>
      <c r="V219" s="21" t="n">
        <f aca="false">IF(C219=5,0,Q219-H219-U219)</f>
        <v>6.93075402379002</v>
      </c>
      <c r="W219" s="21" t="n">
        <f aca="false">IF(C219=5,0,MAX(0,IF(P219&gt;=2,IF(Q219&gt;Exempt,V219*(Q219-Exempt)/Q219,0),V219)))</f>
        <v>4.36262381466536</v>
      </c>
      <c r="X219" s="10" t="n">
        <f aca="false">IF(P219&gt;=2,MIN(MaxDed,MIN(0.4,HoldRate*G219)+MIN(0.4,LiveRate*P219)),IF(G219&gt;=3,MIN(0.3,0.02*G219),0))</f>
        <v>0.4</v>
      </c>
      <c r="Y219" s="21" t="n">
        <f aca="false">MAX(0,W219*(1-X219)-InitDed)</f>
        <v>2.59257428879921</v>
      </c>
      <c r="Z219" s="29" t="n">
        <f aca="false">SUMPRODUCT((Y219&gt;CLo)*(Y219-CLo)*CD)*(1+LocalTax)</f>
        <v>0.864356052718072</v>
      </c>
      <c r="AA219" s="21" t="n">
        <f aca="false">K219+T219+Z219</f>
        <v>2.11175377415373</v>
      </c>
      <c r="AB219" s="29" t="n">
        <f aca="false">IF(C219=5,0,(Q219-H219)-K219-L219-R219-S219-T219-Z219)</f>
        <v>4.85390301507555</v>
      </c>
      <c r="AC219" s="21" t="n">
        <f aca="false">IF(C219=5,0,N219*((1+DepRate*(1-DepTax))^G219-1))</f>
        <v>2.83100820002116</v>
      </c>
      <c r="AD219" s="29" t="n">
        <f aca="false">IF(C219=5,0,AB219-AC219+I219*(((1+DepRate*(1-DepTax))^G219-1)-((1+DepRate*(1-DepTax))^O219-1)))</f>
        <v>3.70294706651401</v>
      </c>
      <c r="AE219" s="30" t="n">
        <f aca="false">IF(J219&gt;0,-PMT(Rm,LoanYears*12,J219)*10000,0)</f>
        <v>190.966118186184</v>
      </c>
      <c r="AF219" s="21" t="n">
        <f aca="false">IF(J219&gt;0,-PMT((Rate+Stress)/12,LoanYears*12,J219)*12/DSR,0)</f>
        <v>0.79836299421502</v>
      </c>
      <c r="AG219" s="20" t="n">
        <f aca="false">IF(N219&lt;=CapA,1,0)</f>
        <v>0</v>
      </c>
      <c r="AH219" s="20" t="n">
        <f aca="false">IF(N219&lt;=CapB,1,0)</f>
        <v>0</v>
      </c>
      <c r="AI219" s="20" t="n">
        <f aca="false">IF(N219&lt;=CapC,1,0)</f>
        <v>0</v>
      </c>
      <c r="AJ219" s="21" t="n">
        <f aca="false">IF(AG219=1,AD219,-999)</f>
        <v>-999</v>
      </c>
      <c r="AK219" s="21" t="n">
        <f aca="false">IF(AH219=1,AD219,-999)</f>
        <v>-999</v>
      </c>
      <c r="AL219" s="21" t="n">
        <f aca="false">IF(AI219=1,AD219,-999)</f>
        <v>-999</v>
      </c>
      <c r="AM219" s="21" t="str">
        <f aca="false">C219&amp;"|"&amp;E219&amp;"|"&amp;G219&amp;"|"&amp;TEXT(AJ219,"0.00000")</f>
        <v>1|3|5|-999.00000</v>
      </c>
      <c r="AN219" s="21" t="str">
        <f aca="false">C219&amp;"|"&amp;E219&amp;"|"&amp;G219&amp;"|"&amp;TEXT(AK219,"0.00000")</f>
        <v>1|3|5|-999.00000</v>
      </c>
      <c r="AO219" s="21" t="str">
        <f aca="false">C219&amp;"|"&amp;E219&amp;"|"&amp;G219&amp;"|"&amp;TEXT(AL219,"0.00000")</f>
        <v>1|3|5|-999.00000</v>
      </c>
    </row>
    <row r="220" customFormat="false" ht="15" hidden="false" customHeight="false" outlineLevel="0" collapsed="false">
      <c r="A220" s="20" t="n">
        <v>8</v>
      </c>
      <c r="B220" s="18" t="str">
        <f aca="false">INDEX(C_Name,A220)</f>
        <v>본동 래미안트윈파크 (32평형)</v>
      </c>
      <c r="C220" s="20" t="n">
        <v>1</v>
      </c>
      <c r="D220" s="21" t="str">
        <f aca="false">CHOOSE(C220,"1안 표준형(대출 최대)","2안 절충형(대출 50%)","3안 무대출형","4안 임대차 승계 후 입주","5안 매수 보류(전세 거주)")</f>
        <v>1안 표준형(대출 최대)</v>
      </c>
      <c r="E220" s="20" t="n">
        <v>3</v>
      </c>
      <c r="F220" s="10" t="n">
        <f aca="false">CHOOSE(E220,GrowLo,GrowMid,GrowHi)</f>
        <v>0.06</v>
      </c>
      <c r="G220" s="20" t="n">
        <v>10</v>
      </c>
      <c r="H220" s="18" t="n">
        <f aca="false">INDEX(C_Price,A220)</f>
        <v>24.2</v>
      </c>
      <c r="I220" s="18" t="n">
        <f aca="false">INDEX(C_Jeonse,A220)</f>
        <v>12.584</v>
      </c>
      <c r="J220" s="21" t="n">
        <f aca="false">IF(C220=5,0,IF(C220=1,INDEX(C_Loan,A220),IF(C220=2,INDEX(C_Loan,A220)*LoanShare2,IF(C220=3,0,MIN(INDEX(C_Loan,A220),I220)))))</f>
        <v>4</v>
      </c>
      <c r="K220" s="18" t="n">
        <f aca="false">IF(C220=5,0,INDEX(C_Acq,A220))</f>
        <v>0.7986</v>
      </c>
      <c r="L220" s="18" t="n">
        <f aca="false">IF(C220=5,0,INDEX(C_Fee,A220))</f>
        <v>0.20634</v>
      </c>
      <c r="M220" s="21" t="n">
        <f aca="false">IF(C220=4,MAX(0,I220-J220),0)</f>
        <v>0</v>
      </c>
      <c r="N220" s="21" t="n">
        <f aca="false">IF(C220=5,I220,IF(C220=4,(H220-I220)+K220+L220+M220,H220-J220+K220+L220))</f>
        <v>21.20494</v>
      </c>
      <c r="O220" s="20" t="n">
        <f aca="false">IF(C220=4,RentYears,0)</f>
        <v>0</v>
      </c>
      <c r="P220" s="20" t="n">
        <f aca="false">IF(C220=5,0,MAX(0,G220-O220-NonRes))</f>
        <v>10</v>
      </c>
      <c r="Q220" s="21" t="n">
        <f aca="false">IF(C220=5,0,H220*(1+F220)^G220)</f>
        <v>43.3385142563371</v>
      </c>
      <c r="R220" s="21" t="n">
        <f aca="false">IF(C220=5,0,Q220*LOOKUP(Q220,FeeLo,FeeR)*(1+VAT))</f>
        <v>0.333706559773796</v>
      </c>
      <c r="S220" s="21" t="n">
        <f aca="false">IF(J220&gt;0,-CUMIPMT(Rm,LoanYears*12,J220,1,(G220-O220)*12,0),0)</f>
        <v>1.44295178669745</v>
      </c>
      <c r="T220" s="29" t="n">
        <f aca="false">IF(C220=5,0,SUMIFS(Sch_Total,Sch_Idx,A220,Sch_Scen,E220,Sch_Year,"&lt;="&amp;G220))</f>
        <v>1.21053263529928</v>
      </c>
      <c r="U220" s="21" t="n">
        <f aca="false">K220+L220+R220</f>
        <v>1.3386465597738</v>
      </c>
      <c r="V220" s="21" t="n">
        <f aca="false">IF(C220=5,0,Q220-H220-U220)</f>
        <v>17.7998676965633</v>
      </c>
      <c r="W220" s="21" t="n">
        <f aca="false">IF(C220=5,0,MAX(0,IF(P220&gt;=2,IF(Q220&gt;Exempt,V220*(Q220-Exempt)/Q220,0),V220)))</f>
        <v>12.8712628280305</v>
      </c>
      <c r="X220" s="10" t="n">
        <f aca="false">IF(P220&gt;=2,MIN(MaxDed,MIN(0.4,HoldRate*G220)+MIN(0.4,LiveRate*P220)),IF(G220&gt;=3,MIN(0.3,0.02*G220),0))</f>
        <v>0.8</v>
      </c>
      <c r="Y220" s="21" t="n">
        <f aca="false">MAX(0,W220*(1-X220)-InitDed)</f>
        <v>2.5492525656061</v>
      </c>
      <c r="Z220" s="29" t="n">
        <f aca="false">SUMPRODUCT((Y220&gt;CLo)*(Y220-CLo)*CD)*(1+LocalTax)</f>
        <v>0.846247572423352</v>
      </c>
      <c r="AA220" s="21" t="n">
        <f aca="false">K220+T220+Z220</f>
        <v>2.85538020772263</v>
      </c>
      <c r="AB220" s="29" t="n">
        <f aca="false">IF(C220=5,0,(Q220-H220)-K220-L220-R220-S220-T220-Z220)</f>
        <v>14.3001357021432</v>
      </c>
      <c r="AC220" s="21" t="n">
        <f aca="false">IF(C220=5,0,N220*((1+DepRate*(1-DepTax))^G220-1))</f>
        <v>6.03997584857586</v>
      </c>
      <c r="AD220" s="29" t="n">
        <f aca="false">IF(C220=5,0,AB220-AC220+I220*(((1+DepRate*(1-DepTax))^G220-1)-((1+DepRate*(1-DepTax))^O220-1)))</f>
        <v>11.8445631142452</v>
      </c>
      <c r="AE220" s="30" t="n">
        <f aca="false">IF(J220&gt;0,-PMT(Rm,LoanYears*12,J220)*10000,0)</f>
        <v>190.966118186184</v>
      </c>
      <c r="AF220" s="21" t="n">
        <f aca="false">IF(J220&gt;0,-PMT((Rate+Stress)/12,LoanYears*12,J220)*12/DSR,0)</f>
        <v>0.79836299421502</v>
      </c>
      <c r="AG220" s="20" t="n">
        <f aca="false">IF(N220&lt;=CapA,1,0)</f>
        <v>0</v>
      </c>
      <c r="AH220" s="20" t="n">
        <f aca="false">IF(N220&lt;=CapB,1,0)</f>
        <v>0</v>
      </c>
      <c r="AI220" s="20" t="n">
        <f aca="false">IF(N220&lt;=CapC,1,0)</f>
        <v>0</v>
      </c>
      <c r="AJ220" s="21" t="n">
        <f aca="false">IF(AG220=1,AD220,-999)</f>
        <v>-999</v>
      </c>
      <c r="AK220" s="21" t="n">
        <f aca="false">IF(AH220=1,AD220,-999)</f>
        <v>-999</v>
      </c>
      <c r="AL220" s="21" t="n">
        <f aca="false">IF(AI220=1,AD220,-999)</f>
        <v>-999</v>
      </c>
      <c r="AM220" s="21" t="str">
        <f aca="false">C220&amp;"|"&amp;E220&amp;"|"&amp;G220&amp;"|"&amp;TEXT(AJ220,"0.00000")</f>
        <v>1|3|10|-999.00000</v>
      </c>
      <c r="AN220" s="21" t="str">
        <f aca="false">C220&amp;"|"&amp;E220&amp;"|"&amp;G220&amp;"|"&amp;TEXT(AK220,"0.00000")</f>
        <v>1|3|10|-999.00000</v>
      </c>
      <c r="AO220" s="21" t="str">
        <f aca="false">C220&amp;"|"&amp;E220&amp;"|"&amp;G220&amp;"|"&amp;TEXT(AL220,"0.00000")</f>
        <v>1|3|10|-999.00000</v>
      </c>
    </row>
    <row r="221" customFormat="false" ht="15" hidden="false" customHeight="false" outlineLevel="0" collapsed="false">
      <c r="A221" s="20" t="n">
        <v>8</v>
      </c>
      <c r="B221" s="18" t="str">
        <f aca="false">INDEX(C_Name,A221)</f>
        <v>본동 래미안트윈파크 (32평형)</v>
      </c>
      <c r="C221" s="20" t="n">
        <v>2</v>
      </c>
      <c r="D221" s="21" t="str">
        <f aca="false">CHOOSE(C221,"1안 표준형(대출 최대)","2안 절충형(대출 50%)","3안 무대출형","4안 임대차 승계 후 입주","5안 매수 보류(전세 거주)")</f>
        <v>2안 절충형(대출 50%)</v>
      </c>
      <c r="E221" s="20" t="n">
        <v>1</v>
      </c>
      <c r="F221" s="10" t="n">
        <f aca="false">CHOOSE(E221,GrowLo,GrowMid,GrowHi)</f>
        <v>0.02</v>
      </c>
      <c r="G221" s="20" t="n">
        <v>5</v>
      </c>
      <c r="H221" s="18" t="n">
        <f aca="false">INDEX(C_Price,A221)</f>
        <v>24.2</v>
      </c>
      <c r="I221" s="18" t="n">
        <f aca="false">INDEX(C_Jeonse,A221)</f>
        <v>12.584</v>
      </c>
      <c r="J221" s="21" t="n">
        <f aca="false">IF(C221=5,0,IF(C221=1,INDEX(C_Loan,A221),IF(C221=2,INDEX(C_Loan,A221)*LoanShare2,IF(C221=3,0,MIN(INDEX(C_Loan,A221),I221)))))</f>
        <v>2</v>
      </c>
      <c r="K221" s="18" t="n">
        <f aca="false">IF(C221=5,0,INDEX(C_Acq,A221))</f>
        <v>0.7986</v>
      </c>
      <c r="L221" s="18" t="n">
        <f aca="false">IF(C221=5,0,INDEX(C_Fee,A221))</f>
        <v>0.20634</v>
      </c>
      <c r="M221" s="21" t="n">
        <f aca="false">IF(C221=4,MAX(0,I221-J221),0)</f>
        <v>0</v>
      </c>
      <c r="N221" s="21" t="n">
        <f aca="false">IF(C221=5,I221,IF(C221=4,(H221-I221)+K221+L221+M221,H221-J221+K221+L221))</f>
        <v>23.20494</v>
      </c>
      <c r="O221" s="20" t="n">
        <f aca="false">IF(C221=4,RentYears,0)</f>
        <v>0</v>
      </c>
      <c r="P221" s="20" t="n">
        <f aca="false">IF(C221=5,0,MAX(0,G221-O221-NonRes))</f>
        <v>5</v>
      </c>
      <c r="Q221" s="21" t="n">
        <f aca="false">IF(C221=5,0,H221*(1+F221)^G221)</f>
        <v>26.71875543744</v>
      </c>
      <c r="R221" s="21" t="n">
        <f aca="false">IF(C221=5,0,Q221*LOOKUP(Q221,FeeLo,FeeR)*(1+VAT))</f>
        <v>0.205734416868288</v>
      </c>
      <c r="S221" s="21" t="n">
        <f aca="false">IF(J221&gt;0,-CUMIPMT(Rm,LoanYears*12,J221,1,(G221-O221)*12,0),0)</f>
        <v>0.38184861728037</v>
      </c>
      <c r="T221" s="29" t="n">
        <f aca="false">IF(C221=5,0,SUMIFS(Sch_Total,Sch_Idx,A221,Sch_Scen,E221,Sch_Year,"&lt;="&amp;G221))</f>
        <v>0.385453148303117</v>
      </c>
      <c r="U221" s="21" t="n">
        <f aca="false">K221+L221+R221</f>
        <v>1.21067441686829</v>
      </c>
      <c r="V221" s="21" t="n">
        <f aca="false">IF(C221=5,0,Q221-H221-U221)</f>
        <v>1.30808102057171</v>
      </c>
      <c r="W221" s="21" t="n">
        <f aca="false">IF(C221=5,0,MAX(0,IF(P221&gt;=2,IF(Q221&gt;Exempt,V221*(Q221-Exempt)/Q221,0),V221)))</f>
        <v>0.720592120363996</v>
      </c>
      <c r="X221" s="10" t="n">
        <f aca="false">IF(P221&gt;=2,MIN(MaxDed,MIN(0.4,HoldRate*G221)+MIN(0.4,LiveRate*P221)),IF(G221&gt;=3,MIN(0.3,0.02*G221),0))</f>
        <v>0.4</v>
      </c>
      <c r="Y221" s="21" t="n">
        <f aca="false">MAX(0,W221*(1-X221)-InitDed)</f>
        <v>0.407355272218398</v>
      </c>
      <c r="Z221" s="29" t="n">
        <f aca="false">SUMPRODUCT((Y221&gt;CLo)*(Y221-CLo)*CD)*(1+LocalTax)</f>
        <v>0.0533536199160356</v>
      </c>
      <c r="AA221" s="21" t="n">
        <f aca="false">K221+T221+Z221</f>
        <v>1.23740676821915</v>
      </c>
      <c r="AB221" s="29" t="n">
        <f aca="false">IF(C221=5,0,(Q221-H221)-K221-L221-R221-S221-T221-Z221)</f>
        <v>0.487425635072189</v>
      </c>
      <c r="AC221" s="21" t="n">
        <f aca="false">IF(C221=5,0,N221*((1+DepRate*(1-DepTax))^G221-1))</f>
        <v>3.09802222600012</v>
      </c>
      <c r="AD221" s="29" t="n">
        <f aca="false">IF(C221=5,0,AB221-AC221+I221*(((1+DepRate*(1-DepTax))^G221-1)-((1+DepRate*(1-DepTax))^O221-1)))</f>
        <v>-0.930544339468306</v>
      </c>
      <c r="AE221" s="30" t="n">
        <f aca="false">IF(J221&gt;0,-PMT(Rm,LoanYears*12,J221)*10000,0)</f>
        <v>95.4830590930919</v>
      </c>
      <c r="AF221" s="21" t="n">
        <f aca="false">IF(J221&gt;0,-PMT((Rate+Stress)/12,LoanYears*12,J221)*12/DSR,0)</f>
        <v>0.39918149710751</v>
      </c>
      <c r="AG221" s="20" t="n">
        <f aca="false">IF(N221&lt;=CapA,1,0)</f>
        <v>0</v>
      </c>
      <c r="AH221" s="20" t="n">
        <f aca="false">IF(N221&lt;=CapB,1,0)</f>
        <v>0</v>
      </c>
      <c r="AI221" s="20" t="n">
        <f aca="false">IF(N221&lt;=CapC,1,0)</f>
        <v>0</v>
      </c>
      <c r="AJ221" s="21" t="n">
        <f aca="false">IF(AG221=1,AD221,-999)</f>
        <v>-999</v>
      </c>
      <c r="AK221" s="21" t="n">
        <f aca="false">IF(AH221=1,AD221,-999)</f>
        <v>-999</v>
      </c>
      <c r="AL221" s="21" t="n">
        <f aca="false">IF(AI221=1,AD221,-999)</f>
        <v>-999</v>
      </c>
      <c r="AM221" s="21" t="str">
        <f aca="false">C221&amp;"|"&amp;E221&amp;"|"&amp;G221&amp;"|"&amp;TEXT(AJ221,"0.00000")</f>
        <v>2|1|5|-999.00000</v>
      </c>
      <c r="AN221" s="21" t="str">
        <f aca="false">C221&amp;"|"&amp;E221&amp;"|"&amp;G221&amp;"|"&amp;TEXT(AK221,"0.00000")</f>
        <v>2|1|5|-999.00000</v>
      </c>
      <c r="AO221" s="21" t="str">
        <f aca="false">C221&amp;"|"&amp;E221&amp;"|"&amp;G221&amp;"|"&amp;TEXT(AL221,"0.00000")</f>
        <v>2|1|5|-999.00000</v>
      </c>
    </row>
    <row r="222" customFormat="false" ht="15" hidden="false" customHeight="false" outlineLevel="0" collapsed="false">
      <c r="A222" s="20" t="n">
        <v>8</v>
      </c>
      <c r="B222" s="18" t="str">
        <f aca="false">INDEX(C_Name,A222)</f>
        <v>본동 래미안트윈파크 (32평형)</v>
      </c>
      <c r="C222" s="20" t="n">
        <v>2</v>
      </c>
      <c r="D222" s="21" t="str">
        <f aca="false">CHOOSE(C222,"1안 표준형(대출 최대)","2안 절충형(대출 50%)","3안 무대출형","4안 임대차 승계 후 입주","5안 매수 보류(전세 거주)")</f>
        <v>2안 절충형(대출 50%)</v>
      </c>
      <c r="E222" s="20" t="n">
        <v>1</v>
      </c>
      <c r="F222" s="10" t="n">
        <f aca="false">CHOOSE(E222,GrowLo,GrowMid,GrowHi)</f>
        <v>0.02</v>
      </c>
      <c r="G222" s="20" t="n">
        <v>10</v>
      </c>
      <c r="H222" s="18" t="n">
        <f aca="false">INDEX(C_Price,A222)</f>
        <v>24.2</v>
      </c>
      <c r="I222" s="18" t="n">
        <f aca="false">INDEX(C_Jeonse,A222)</f>
        <v>12.584</v>
      </c>
      <c r="J222" s="21" t="n">
        <f aca="false">IF(C222=5,0,IF(C222=1,INDEX(C_Loan,A222),IF(C222=2,INDEX(C_Loan,A222)*LoanShare2,IF(C222=3,0,MIN(INDEX(C_Loan,A222),I222)))))</f>
        <v>2</v>
      </c>
      <c r="K222" s="18" t="n">
        <f aca="false">IF(C222=5,0,INDEX(C_Acq,A222))</f>
        <v>0.7986</v>
      </c>
      <c r="L222" s="18" t="n">
        <f aca="false">IF(C222=5,0,INDEX(C_Fee,A222))</f>
        <v>0.20634</v>
      </c>
      <c r="M222" s="21" t="n">
        <f aca="false">IF(C222=4,MAX(0,I222-J222),0)</f>
        <v>0</v>
      </c>
      <c r="N222" s="21" t="n">
        <f aca="false">IF(C222=5,I222,IF(C222=4,(H222-I222)+K222+L222+M222,H222-J222+K222+L222))</f>
        <v>23.20494</v>
      </c>
      <c r="O222" s="20" t="n">
        <f aca="false">IF(C222=4,RentYears,0)</f>
        <v>0</v>
      </c>
      <c r="P222" s="20" t="n">
        <f aca="false">IF(C222=5,0,MAX(0,G222-O222-NonRes))</f>
        <v>10</v>
      </c>
      <c r="Q222" s="21" t="n">
        <f aca="false">IF(C222=5,0,H222*(1+F222)^G222)</f>
        <v>29.4996649638731</v>
      </c>
      <c r="R222" s="21" t="n">
        <f aca="false">IF(C222=5,0,Q222*LOOKUP(Q222,FeeLo,FeeR)*(1+VAT))</f>
        <v>0.227147420221823</v>
      </c>
      <c r="S222" s="21" t="n">
        <f aca="false">IF(J222&gt;0,-CUMIPMT(Rm,LoanYears*12,J222,1,(G222-O222)*12,0),0)</f>
        <v>0.721475893348725</v>
      </c>
      <c r="T222" s="29" t="n">
        <f aca="false">IF(C222=5,0,SUMIFS(Sch_Total,Sch_Idx,A222,Sch_Scen,E222,Sch_Year,"&lt;="&amp;G222))</f>
        <v>0.849699625381735</v>
      </c>
      <c r="U222" s="21" t="n">
        <f aca="false">K222+L222+R222</f>
        <v>1.23208742022182</v>
      </c>
      <c r="V222" s="21" t="n">
        <f aca="false">IF(C222=5,0,Q222-H222-U222)</f>
        <v>4.0675775436513</v>
      </c>
      <c r="W222" s="21" t="n">
        <f aca="false">IF(C222=5,0,MAX(0,IF(P222&gt;=2,IF(Q222&gt;Exempt,V222*(Q222-Exempt)/Q222,0),V222)))</f>
        <v>2.41295093743079</v>
      </c>
      <c r="X222" s="10" t="n">
        <f aca="false">IF(P222&gt;=2,MIN(MaxDed,MIN(0.4,HoldRate*G222)+MIN(0.4,LiveRate*P222)),IF(G222&gt;=3,MIN(0.3,0.02*G222),0))</f>
        <v>0.8</v>
      </c>
      <c r="Y222" s="21" t="n">
        <f aca="false">MAX(0,W222*(1-X222)-InitDed)</f>
        <v>0.457590187486157</v>
      </c>
      <c r="Z222" s="29" t="n">
        <f aca="false">SUMPRODUCT((Y222&gt;CLo)*(Y222-CLo)*CD)*(1+LocalTax)</f>
        <v>0.061642380935216</v>
      </c>
      <c r="AA222" s="21" t="n">
        <f aca="false">K222+T222+Z222</f>
        <v>1.70994200631695</v>
      </c>
      <c r="AB222" s="29" t="n">
        <f aca="false">IF(C222=5,0,(Q222-H222)-K222-L222-R222-S222-T222-Z222)</f>
        <v>2.43475964398563</v>
      </c>
      <c r="AC222" s="21" t="n">
        <f aca="false">IF(C222=5,0,N222*((1+DepRate*(1-DepTax))^G222-1))</f>
        <v>6.60965214556853</v>
      </c>
      <c r="AD222" s="29" t="n">
        <f aca="false">IF(C222=5,0,AB222-AC222+I222*(((1+DepRate*(1-DepTax))^G222-1)-((1+DepRate*(1-DepTax))^O222-1)))</f>
        <v>-0.590489240905032</v>
      </c>
      <c r="AE222" s="30" t="n">
        <f aca="false">IF(J222&gt;0,-PMT(Rm,LoanYears*12,J222)*10000,0)</f>
        <v>95.4830590930919</v>
      </c>
      <c r="AF222" s="21" t="n">
        <f aca="false">IF(J222&gt;0,-PMT((Rate+Stress)/12,LoanYears*12,J222)*12/DSR,0)</f>
        <v>0.39918149710751</v>
      </c>
      <c r="AG222" s="20" t="n">
        <f aca="false">IF(N222&lt;=CapA,1,0)</f>
        <v>0</v>
      </c>
      <c r="AH222" s="20" t="n">
        <f aca="false">IF(N222&lt;=CapB,1,0)</f>
        <v>0</v>
      </c>
      <c r="AI222" s="20" t="n">
        <f aca="false">IF(N222&lt;=CapC,1,0)</f>
        <v>0</v>
      </c>
      <c r="AJ222" s="21" t="n">
        <f aca="false">IF(AG222=1,AD222,-999)</f>
        <v>-999</v>
      </c>
      <c r="AK222" s="21" t="n">
        <f aca="false">IF(AH222=1,AD222,-999)</f>
        <v>-999</v>
      </c>
      <c r="AL222" s="21" t="n">
        <f aca="false">IF(AI222=1,AD222,-999)</f>
        <v>-999</v>
      </c>
      <c r="AM222" s="21" t="str">
        <f aca="false">C222&amp;"|"&amp;E222&amp;"|"&amp;G222&amp;"|"&amp;TEXT(AJ222,"0.00000")</f>
        <v>2|1|10|-999.00000</v>
      </c>
      <c r="AN222" s="21" t="str">
        <f aca="false">C222&amp;"|"&amp;E222&amp;"|"&amp;G222&amp;"|"&amp;TEXT(AK222,"0.00000")</f>
        <v>2|1|10|-999.00000</v>
      </c>
      <c r="AO222" s="21" t="str">
        <f aca="false">C222&amp;"|"&amp;E222&amp;"|"&amp;G222&amp;"|"&amp;TEXT(AL222,"0.00000")</f>
        <v>2|1|10|-999.00000</v>
      </c>
    </row>
    <row r="223" customFormat="false" ht="15" hidden="false" customHeight="false" outlineLevel="0" collapsed="false">
      <c r="A223" s="20" t="n">
        <v>8</v>
      </c>
      <c r="B223" s="18" t="str">
        <f aca="false">INDEX(C_Name,A223)</f>
        <v>본동 래미안트윈파크 (32평형)</v>
      </c>
      <c r="C223" s="20" t="n">
        <v>2</v>
      </c>
      <c r="D223" s="21" t="str">
        <f aca="false">CHOOSE(C223,"1안 표준형(대출 최대)","2안 절충형(대출 50%)","3안 무대출형","4안 임대차 승계 후 입주","5안 매수 보류(전세 거주)")</f>
        <v>2안 절충형(대출 50%)</v>
      </c>
      <c r="E223" s="20" t="n">
        <v>2</v>
      </c>
      <c r="F223" s="10" t="n">
        <f aca="false">CHOOSE(E223,GrowLo,GrowMid,GrowHi)</f>
        <v>0.04</v>
      </c>
      <c r="G223" s="20" t="n">
        <v>5</v>
      </c>
      <c r="H223" s="18" t="n">
        <f aca="false">INDEX(C_Price,A223)</f>
        <v>24.2</v>
      </c>
      <c r="I223" s="18" t="n">
        <f aca="false">INDEX(C_Jeonse,A223)</f>
        <v>12.584</v>
      </c>
      <c r="J223" s="21" t="n">
        <f aca="false">IF(C223=5,0,IF(C223=1,INDEX(C_Loan,A223),IF(C223=2,INDEX(C_Loan,A223)*LoanShare2,IF(C223=3,0,MIN(INDEX(C_Loan,A223),I223)))))</f>
        <v>2</v>
      </c>
      <c r="K223" s="18" t="n">
        <f aca="false">IF(C223=5,0,INDEX(C_Acq,A223))</f>
        <v>0.7986</v>
      </c>
      <c r="L223" s="18" t="n">
        <f aca="false">IF(C223=5,0,INDEX(C_Fee,A223))</f>
        <v>0.20634</v>
      </c>
      <c r="M223" s="21" t="n">
        <f aca="false">IF(C223=4,MAX(0,I223-J223),0)</f>
        <v>0</v>
      </c>
      <c r="N223" s="21" t="n">
        <f aca="false">IF(C223=5,I223,IF(C223=4,(H223-I223)+K223+L223+M223,H223-J223+K223+L223))</f>
        <v>23.20494</v>
      </c>
      <c r="O223" s="20" t="n">
        <f aca="false">IF(C223=4,RentYears,0)</f>
        <v>0</v>
      </c>
      <c r="P223" s="20" t="n">
        <f aca="false">IF(C223=5,0,MAX(0,G223-O223-NonRes))</f>
        <v>5</v>
      </c>
      <c r="Q223" s="21" t="n">
        <f aca="false">IF(C223=5,0,H223*(1+F223)^G223)</f>
        <v>29.44300023808</v>
      </c>
      <c r="R223" s="21" t="n">
        <f aca="false">IF(C223=5,0,Q223*LOOKUP(Q223,FeeLo,FeeR)*(1+VAT))</f>
        <v>0.226711101833216</v>
      </c>
      <c r="S223" s="21" t="n">
        <f aca="false">IF(J223&gt;0,-CUMIPMT(Rm,LoanYears*12,J223,1,(G223-O223)*12,0),0)</f>
        <v>0.38184861728037</v>
      </c>
      <c r="T223" s="29" t="n">
        <f aca="false">IF(C223=5,0,SUMIFS(Sch_Total,Sch_Idx,A223,Sch_Scen,E223,Sch_Year,"&lt;="&amp;G223))</f>
        <v>0.416504645976269</v>
      </c>
      <c r="U223" s="21" t="n">
        <f aca="false">K223+L223+R223</f>
        <v>1.23165110183322</v>
      </c>
      <c r="V223" s="21" t="n">
        <f aca="false">IF(C223=5,0,Q223-H223-U223)</f>
        <v>4.01134913624679</v>
      </c>
      <c r="W223" s="21" t="n">
        <f aca="false">IF(C223=5,0,MAX(0,IF(P223&gt;=2,IF(Q223&gt;Exempt,V223*(Q223-Exempt)/Q223,0),V223)))</f>
        <v>2.37645495950781</v>
      </c>
      <c r="X223" s="10" t="n">
        <f aca="false">IF(P223&gt;=2,MIN(MaxDed,MIN(0.4,HoldRate*G223)+MIN(0.4,LiveRate*P223)),IF(G223&gt;=3,MIN(0.3,0.02*G223),0))</f>
        <v>0.4</v>
      </c>
      <c r="Y223" s="21" t="n">
        <f aca="false">MAX(0,W223*(1-X223)-InitDed)</f>
        <v>1.40087297570468</v>
      </c>
      <c r="Z223" s="29" t="n">
        <f aca="false">SUMPRODUCT((Y223&gt;CLo)*(Y223-CLo)*CD)*(1+LocalTax)</f>
        <v>0.369496095646303</v>
      </c>
      <c r="AA223" s="21" t="n">
        <f aca="false">K223+T223+Z223</f>
        <v>1.58460074162257</v>
      </c>
      <c r="AB223" s="29" t="n">
        <f aca="false">IF(C223=5,0,(Q223-H223)-K223-L223-R223-S223-T223-Z223)</f>
        <v>2.84349977734385</v>
      </c>
      <c r="AC223" s="21" t="n">
        <f aca="false">IF(C223=5,0,N223*((1+DepRate*(1-DepTax))^G223-1))</f>
        <v>3.09802222600012</v>
      </c>
      <c r="AD223" s="29" t="n">
        <f aca="false">IF(C223=5,0,AB223-AC223+I223*(((1+DepRate*(1-DepTax))^G223-1)-((1+DepRate*(1-DepTax))^O223-1)))</f>
        <v>1.42552980280335</v>
      </c>
      <c r="AE223" s="30" t="n">
        <f aca="false">IF(J223&gt;0,-PMT(Rm,LoanYears*12,J223)*10000,0)</f>
        <v>95.4830590930919</v>
      </c>
      <c r="AF223" s="21" t="n">
        <f aca="false">IF(J223&gt;0,-PMT((Rate+Stress)/12,LoanYears*12,J223)*12/DSR,0)</f>
        <v>0.39918149710751</v>
      </c>
      <c r="AG223" s="20" t="n">
        <f aca="false">IF(N223&lt;=CapA,1,0)</f>
        <v>0</v>
      </c>
      <c r="AH223" s="20" t="n">
        <f aca="false">IF(N223&lt;=CapB,1,0)</f>
        <v>0</v>
      </c>
      <c r="AI223" s="20" t="n">
        <f aca="false">IF(N223&lt;=CapC,1,0)</f>
        <v>0</v>
      </c>
      <c r="AJ223" s="21" t="n">
        <f aca="false">IF(AG223=1,AD223,-999)</f>
        <v>-999</v>
      </c>
      <c r="AK223" s="21" t="n">
        <f aca="false">IF(AH223=1,AD223,-999)</f>
        <v>-999</v>
      </c>
      <c r="AL223" s="21" t="n">
        <f aca="false">IF(AI223=1,AD223,-999)</f>
        <v>-999</v>
      </c>
      <c r="AM223" s="21" t="str">
        <f aca="false">C223&amp;"|"&amp;E223&amp;"|"&amp;G223&amp;"|"&amp;TEXT(AJ223,"0.00000")</f>
        <v>2|2|5|-999.00000</v>
      </c>
      <c r="AN223" s="21" t="str">
        <f aca="false">C223&amp;"|"&amp;E223&amp;"|"&amp;G223&amp;"|"&amp;TEXT(AK223,"0.00000")</f>
        <v>2|2|5|-999.00000</v>
      </c>
      <c r="AO223" s="21" t="str">
        <f aca="false">C223&amp;"|"&amp;E223&amp;"|"&amp;G223&amp;"|"&amp;TEXT(AL223,"0.00000")</f>
        <v>2|2|5|-999.00000</v>
      </c>
    </row>
    <row r="224" customFormat="false" ht="15" hidden="false" customHeight="false" outlineLevel="0" collapsed="false">
      <c r="A224" s="20" t="n">
        <v>8</v>
      </c>
      <c r="B224" s="18" t="str">
        <f aca="false">INDEX(C_Name,A224)</f>
        <v>본동 래미안트윈파크 (32평형)</v>
      </c>
      <c r="C224" s="20" t="n">
        <v>2</v>
      </c>
      <c r="D224" s="21" t="str">
        <f aca="false">CHOOSE(C224,"1안 표준형(대출 최대)","2안 절충형(대출 50%)","3안 무대출형","4안 임대차 승계 후 입주","5안 매수 보류(전세 거주)")</f>
        <v>2안 절충형(대출 50%)</v>
      </c>
      <c r="E224" s="20" t="n">
        <v>2</v>
      </c>
      <c r="F224" s="10" t="n">
        <f aca="false">CHOOSE(E224,GrowLo,GrowMid,GrowHi)</f>
        <v>0.04</v>
      </c>
      <c r="G224" s="20" t="n">
        <v>10</v>
      </c>
      <c r="H224" s="18" t="n">
        <f aca="false">INDEX(C_Price,A224)</f>
        <v>24.2</v>
      </c>
      <c r="I224" s="18" t="n">
        <f aca="false">INDEX(C_Jeonse,A224)</f>
        <v>12.584</v>
      </c>
      <c r="J224" s="21" t="n">
        <f aca="false">IF(C224=5,0,IF(C224=1,INDEX(C_Loan,A224),IF(C224=2,INDEX(C_Loan,A224)*LoanShare2,IF(C224=3,0,MIN(INDEX(C_Loan,A224),I224)))))</f>
        <v>2</v>
      </c>
      <c r="K224" s="18" t="n">
        <f aca="false">IF(C224=5,0,INDEX(C_Acq,A224))</f>
        <v>0.7986</v>
      </c>
      <c r="L224" s="18" t="n">
        <f aca="false">IF(C224=5,0,INDEX(C_Fee,A224))</f>
        <v>0.20634</v>
      </c>
      <c r="M224" s="21" t="n">
        <f aca="false">IF(C224=4,MAX(0,I224-J224),0)</f>
        <v>0</v>
      </c>
      <c r="N224" s="21" t="n">
        <f aca="false">IF(C224=5,I224,IF(C224=4,(H224-I224)+K224+L224+M224,H224-J224+K224+L224))</f>
        <v>23.20494</v>
      </c>
      <c r="O224" s="20" t="n">
        <f aca="false">IF(C224=4,RentYears,0)</f>
        <v>0</v>
      </c>
      <c r="P224" s="20" t="n">
        <f aca="false">IF(C224=5,0,MAX(0,G224-O224-NonRes))</f>
        <v>10</v>
      </c>
      <c r="Q224" s="21" t="n">
        <f aca="false">IF(C224=5,0,H224*(1+F224)^G224)</f>
        <v>35.8219116950239</v>
      </c>
      <c r="R224" s="21" t="n">
        <f aca="false">IF(C224=5,0,Q224*LOOKUP(Q224,FeeLo,FeeR)*(1+VAT))</f>
        <v>0.275828720051684</v>
      </c>
      <c r="S224" s="21" t="n">
        <f aca="false">IF(J224&gt;0,-CUMIPMT(Rm,LoanYears*12,J224,1,(G224-O224)*12,0),0)</f>
        <v>0.721475893348725</v>
      </c>
      <c r="T224" s="29" t="n">
        <f aca="false">IF(C224=5,0,SUMIFS(Sch_Total,Sch_Idx,A224,Sch_Scen,E224,Sch_Year,"&lt;="&amp;G224))</f>
        <v>1.00987862179362</v>
      </c>
      <c r="U224" s="21" t="n">
        <f aca="false">K224+L224+R224</f>
        <v>1.28076872005168</v>
      </c>
      <c r="V224" s="21" t="n">
        <f aca="false">IF(C224=5,0,Q224-H224-U224)</f>
        <v>10.3411429749723</v>
      </c>
      <c r="W224" s="21" t="n">
        <f aca="false">IF(C224=5,0,MAX(0,IF(P224&gt;=2,IF(Q224&gt;Exempt,V224*(Q224-Exempt)/Q224,0),V224)))</f>
        <v>6.87695835087512</v>
      </c>
      <c r="X224" s="10" t="n">
        <f aca="false">IF(P224&gt;=2,MIN(MaxDed,MIN(0.4,HoldRate*G224)+MIN(0.4,LiveRate*P224)),IF(G224&gt;=3,MIN(0.3,0.02*G224),0))</f>
        <v>0.8</v>
      </c>
      <c r="Y224" s="21" t="n">
        <f aca="false">MAX(0,W224*(1-X224)-InitDed)</f>
        <v>1.35039167017502</v>
      </c>
      <c r="Z224" s="29" t="n">
        <f aca="false">SUMPRODUCT((Y224&gt;CLo)*(Y224-CLo)*CD)*(1+LocalTax)</f>
        <v>0.350060793017384</v>
      </c>
      <c r="AA224" s="21" t="n">
        <f aca="false">K224+T224+Z224</f>
        <v>2.15853941481101</v>
      </c>
      <c r="AB224" s="29" t="n">
        <f aca="false">IF(C224=5,0,(Q224-H224)-K224-L224-R224-S224-T224-Z224)</f>
        <v>8.25972766681252</v>
      </c>
      <c r="AC224" s="21" t="n">
        <f aca="false">IF(C224=5,0,N224*((1+DepRate*(1-DepTax))^G224-1))</f>
        <v>6.60965214556853</v>
      </c>
      <c r="AD224" s="29" t="n">
        <f aca="false">IF(C224=5,0,AB224-AC224+I224*(((1+DepRate*(1-DepTax))^G224-1)-((1+DepRate*(1-DepTax))^O224-1)))</f>
        <v>5.23447878192186</v>
      </c>
      <c r="AE224" s="30" t="n">
        <f aca="false">IF(J224&gt;0,-PMT(Rm,LoanYears*12,J224)*10000,0)</f>
        <v>95.4830590930919</v>
      </c>
      <c r="AF224" s="21" t="n">
        <f aca="false">IF(J224&gt;0,-PMT((Rate+Stress)/12,LoanYears*12,J224)*12/DSR,0)</f>
        <v>0.39918149710751</v>
      </c>
      <c r="AG224" s="20" t="n">
        <f aca="false">IF(N224&lt;=CapA,1,0)</f>
        <v>0</v>
      </c>
      <c r="AH224" s="20" t="n">
        <f aca="false">IF(N224&lt;=CapB,1,0)</f>
        <v>0</v>
      </c>
      <c r="AI224" s="20" t="n">
        <f aca="false">IF(N224&lt;=CapC,1,0)</f>
        <v>0</v>
      </c>
      <c r="AJ224" s="21" t="n">
        <f aca="false">IF(AG224=1,AD224,-999)</f>
        <v>-999</v>
      </c>
      <c r="AK224" s="21" t="n">
        <f aca="false">IF(AH224=1,AD224,-999)</f>
        <v>-999</v>
      </c>
      <c r="AL224" s="21" t="n">
        <f aca="false">IF(AI224=1,AD224,-999)</f>
        <v>-999</v>
      </c>
      <c r="AM224" s="21" t="str">
        <f aca="false">C224&amp;"|"&amp;E224&amp;"|"&amp;G224&amp;"|"&amp;TEXT(AJ224,"0.00000")</f>
        <v>2|2|10|-999.00000</v>
      </c>
      <c r="AN224" s="21" t="str">
        <f aca="false">C224&amp;"|"&amp;E224&amp;"|"&amp;G224&amp;"|"&amp;TEXT(AK224,"0.00000")</f>
        <v>2|2|10|-999.00000</v>
      </c>
      <c r="AO224" s="21" t="str">
        <f aca="false">C224&amp;"|"&amp;E224&amp;"|"&amp;G224&amp;"|"&amp;TEXT(AL224,"0.00000")</f>
        <v>2|2|10|-999.00000</v>
      </c>
    </row>
    <row r="225" customFormat="false" ht="15" hidden="false" customHeight="false" outlineLevel="0" collapsed="false">
      <c r="A225" s="20" t="n">
        <v>8</v>
      </c>
      <c r="B225" s="18" t="str">
        <f aca="false">INDEX(C_Name,A225)</f>
        <v>본동 래미안트윈파크 (32평형)</v>
      </c>
      <c r="C225" s="20" t="n">
        <v>2</v>
      </c>
      <c r="D225" s="21" t="str">
        <f aca="false">CHOOSE(C225,"1안 표준형(대출 최대)","2안 절충형(대출 50%)","3안 무대출형","4안 임대차 승계 후 입주","5안 매수 보류(전세 거주)")</f>
        <v>2안 절충형(대출 50%)</v>
      </c>
      <c r="E225" s="20" t="n">
        <v>3</v>
      </c>
      <c r="F225" s="10" t="n">
        <f aca="false">CHOOSE(E225,GrowLo,GrowMid,GrowHi)</f>
        <v>0.06</v>
      </c>
      <c r="G225" s="20" t="n">
        <v>5</v>
      </c>
      <c r="H225" s="18" t="n">
        <f aca="false">INDEX(C_Price,A225)</f>
        <v>24.2</v>
      </c>
      <c r="I225" s="18" t="n">
        <f aca="false">INDEX(C_Jeonse,A225)</f>
        <v>12.584</v>
      </c>
      <c r="J225" s="21" t="n">
        <f aca="false">IF(C225=5,0,IF(C225=1,INDEX(C_Loan,A225),IF(C225=2,INDEX(C_Loan,A225)*LoanShare2,IF(C225=3,0,MIN(INDEX(C_Loan,A225),I225)))))</f>
        <v>2</v>
      </c>
      <c r="K225" s="18" t="n">
        <f aca="false">IF(C225=5,0,INDEX(C_Acq,A225))</f>
        <v>0.7986</v>
      </c>
      <c r="L225" s="18" t="n">
        <f aca="false">IF(C225=5,0,INDEX(C_Fee,A225))</f>
        <v>0.20634</v>
      </c>
      <c r="M225" s="21" t="n">
        <f aca="false">IF(C225=4,MAX(0,I225-J225),0)</f>
        <v>0</v>
      </c>
      <c r="N225" s="21" t="n">
        <f aca="false">IF(C225=5,I225,IF(C225=4,(H225-I225)+K225+L225+M225,H225-J225+K225+L225))</f>
        <v>23.20494</v>
      </c>
      <c r="O225" s="20" t="n">
        <f aca="false">IF(C225=4,RentYears,0)</f>
        <v>0</v>
      </c>
      <c r="P225" s="20" t="n">
        <f aca="false">IF(C225=5,0,MAX(0,G225-O225-NonRes))</f>
        <v>5</v>
      </c>
      <c r="Q225" s="21" t="n">
        <f aca="false">IF(C225=5,0,H225*(1+F225)^G225)</f>
        <v>32.38505897792</v>
      </c>
      <c r="R225" s="21" t="n">
        <f aca="false">IF(C225=5,0,Q225*LOOKUP(Q225,FeeLo,FeeR)*(1+VAT))</f>
        <v>0.249364954129984</v>
      </c>
      <c r="S225" s="21" t="n">
        <f aca="false">IF(J225&gt;0,-CUMIPMT(Rm,LoanYears*12,J225,1,(G225-O225)*12,0),0)</f>
        <v>0.38184861728037</v>
      </c>
      <c r="T225" s="29" t="n">
        <f aca="false">IF(C225=5,0,SUMIFS(Sch_Total,Sch_Idx,A225,Sch_Scen,E225,Sch_Year,"&lt;="&amp;G225))</f>
        <v>0.448797721435661</v>
      </c>
      <c r="U225" s="21" t="n">
        <f aca="false">K225+L225+R225</f>
        <v>1.25430495412998</v>
      </c>
      <c r="V225" s="21" t="n">
        <f aca="false">IF(C225=5,0,Q225-H225-U225)</f>
        <v>6.93075402379002</v>
      </c>
      <c r="W225" s="21" t="n">
        <f aca="false">IF(C225=5,0,MAX(0,IF(P225&gt;=2,IF(Q225&gt;Exempt,V225*(Q225-Exempt)/Q225,0),V225)))</f>
        <v>4.36262381466536</v>
      </c>
      <c r="X225" s="10" t="n">
        <f aca="false">IF(P225&gt;=2,MIN(MaxDed,MIN(0.4,HoldRate*G225)+MIN(0.4,LiveRate*P225)),IF(G225&gt;=3,MIN(0.3,0.02*G225),0))</f>
        <v>0.4</v>
      </c>
      <c r="Y225" s="21" t="n">
        <f aca="false">MAX(0,W225*(1-X225)-InitDed)</f>
        <v>2.59257428879921</v>
      </c>
      <c r="Z225" s="29" t="n">
        <f aca="false">SUMPRODUCT((Y225&gt;CLo)*(Y225-CLo)*CD)*(1+LocalTax)</f>
        <v>0.864356052718072</v>
      </c>
      <c r="AA225" s="21" t="n">
        <f aca="false">K225+T225+Z225</f>
        <v>2.11175377415373</v>
      </c>
      <c r="AB225" s="29" t="n">
        <f aca="false">IF(C225=5,0,(Q225-H225)-K225-L225-R225-S225-T225-Z225)</f>
        <v>5.23575163235592</v>
      </c>
      <c r="AC225" s="21" t="n">
        <f aca="false">IF(C225=5,0,N225*((1+DepRate*(1-DepTax))^G225-1))</f>
        <v>3.09802222600012</v>
      </c>
      <c r="AD225" s="29" t="n">
        <f aca="false">IF(C225=5,0,AB225-AC225+I225*(((1+DepRate*(1-DepTax))^G225-1)-((1+DepRate*(1-DepTax))^O225-1)))</f>
        <v>3.81778165781542</v>
      </c>
      <c r="AE225" s="30" t="n">
        <f aca="false">IF(J225&gt;0,-PMT(Rm,LoanYears*12,J225)*10000,0)</f>
        <v>95.4830590930919</v>
      </c>
      <c r="AF225" s="21" t="n">
        <f aca="false">IF(J225&gt;0,-PMT((Rate+Stress)/12,LoanYears*12,J225)*12/DSR,0)</f>
        <v>0.39918149710751</v>
      </c>
      <c r="AG225" s="20" t="n">
        <f aca="false">IF(N225&lt;=CapA,1,0)</f>
        <v>0</v>
      </c>
      <c r="AH225" s="20" t="n">
        <f aca="false">IF(N225&lt;=CapB,1,0)</f>
        <v>0</v>
      </c>
      <c r="AI225" s="20" t="n">
        <f aca="false">IF(N225&lt;=CapC,1,0)</f>
        <v>0</v>
      </c>
      <c r="AJ225" s="21" t="n">
        <f aca="false">IF(AG225=1,AD225,-999)</f>
        <v>-999</v>
      </c>
      <c r="AK225" s="21" t="n">
        <f aca="false">IF(AH225=1,AD225,-999)</f>
        <v>-999</v>
      </c>
      <c r="AL225" s="21" t="n">
        <f aca="false">IF(AI225=1,AD225,-999)</f>
        <v>-999</v>
      </c>
      <c r="AM225" s="21" t="str">
        <f aca="false">C225&amp;"|"&amp;E225&amp;"|"&amp;G225&amp;"|"&amp;TEXT(AJ225,"0.00000")</f>
        <v>2|3|5|-999.00000</v>
      </c>
      <c r="AN225" s="21" t="str">
        <f aca="false">C225&amp;"|"&amp;E225&amp;"|"&amp;G225&amp;"|"&amp;TEXT(AK225,"0.00000")</f>
        <v>2|3|5|-999.00000</v>
      </c>
      <c r="AO225" s="21" t="str">
        <f aca="false">C225&amp;"|"&amp;E225&amp;"|"&amp;G225&amp;"|"&amp;TEXT(AL225,"0.00000")</f>
        <v>2|3|5|-999.00000</v>
      </c>
    </row>
    <row r="226" customFormat="false" ht="15" hidden="false" customHeight="false" outlineLevel="0" collapsed="false">
      <c r="A226" s="20" t="n">
        <v>8</v>
      </c>
      <c r="B226" s="18" t="str">
        <f aca="false">INDEX(C_Name,A226)</f>
        <v>본동 래미안트윈파크 (32평형)</v>
      </c>
      <c r="C226" s="20" t="n">
        <v>2</v>
      </c>
      <c r="D226" s="21" t="str">
        <f aca="false">CHOOSE(C226,"1안 표준형(대출 최대)","2안 절충형(대출 50%)","3안 무대출형","4안 임대차 승계 후 입주","5안 매수 보류(전세 거주)")</f>
        <v>2안 절충형(대출 50%)</v>
      </c>
      <c r="E226" s="20" t="n">
        <v>3</v>
      </c>
      <c r="F226" s="10" t="n">
        <f aca="false">CHOOSE(E226,GrowLo,GrowMid,GrowHi)</f>
        <v>0.06</v>
      </c>
      <c r="G226" s="20" t="n">
        <v>10</v>
      </c>
      <c r="H226" s="18" t="n">
        <f aca="false">INDEX(C_Price,A226)</f>
        <v>24.2</v>
      </c>
      <c r="I226" s="18" t="n">
        <f aca="false">INDEX(C_Jeonse,A226)</f>
        <v>12.584</v>
      </c>
      <c r="J226" s="21" t="n">
        <f aca="false">IF(C226=5,0,IF(C226=1,INDEX(C_Loan,A226),IF(C226=2,INDEX(C_Loan,A226)*LoanShare2,IF(C226=3,0,MIN(INDEX(C_Loan,A226),I226)))))</f>
        <v>2</v>
      </c>
      <c r="K226" s="18" t="n">
        <f aca="false">IF(C226=5,0,INDEX(C_Acq,A226))</f>
        <v>0.7986</v>
      </c>
      <c r="L226" s="18" t="n">
        <f aca="false">IF(C226=5,0,INDEX(C_Fee,A226))</f>
        <v>0.20634</v>
      </c>
      <c r="M226" s="21" t="n">
        <f aca="false">IF(C226=4,MAX(0,I226-J226),0)</f>
        <v>0</v>
      </c>
      <c r="N226" s="21" t="n">
        <f aca="false">IF(C226=5,I226,IF(C226=4,(H226-I226)+K226+L226+M226,H226-J226+K226+L226))</f>
        <v>23.20494</v>
      </c>
      <c r="O226" s="20" t="n">
        <f aca="false">IF(C226=4,RentYears,0)</f>
        <v>0</v>
      </c>
      <c r="P226" s="20" t="n">
        <f aca="false">IF(C226=5,0,MAX(0,G226-O226-NonRes))</f>
        <v>10</v>
      </c>
      <c r="Q226" s="21" t="n">
        <f aca="false">IF(C226=5,0,H226*(1+F226)^G226)</f>
        <v>43.3385142563371</v>
      </c>
      <c r="R226" s="21" t="n">
        <f aca="false">IF(C226=5,0,Q226*LOOKUP(Q226,FeeLo,FeeR)*(1+VAT))</f>
        <v>0.333706559773796</v>
      </c>
      <c r="S226" s="21" t="n">
        <f aca="false">IF(J226&gt;0,-CUMIPMT(Rm,LoanYears*12,J226,1,(G226-O226)*12,0),0)</f>
        <v>0.721475893348725</v>
      </c>
      <c r="T226" s="29" t="n">
        <f aca="false">IF(C226=5,0,SUMIFS(Sch_Total,Sch_Idx,A226,Sch_Scen,E226,Sch_Year,"&lt;="&amp;G226))</f>
        <v>1.21053263529928</v>
      </c>
      <c r="U226" s="21" t="n">
        <f aca="false">K226+L226+R226</f>
        <v>1.3386465597738</v>
      </c>
      <c r="V226" s="21" t="n">
        <f aca="false">IF(C226=5,0,Q226-H226-U226)</f>
        <v>17.7998676965633</v>
      </c>
      <c r="W226" s="21" t="n">
        <f aca="false">IF(C226=5,0,MAX(0,IF(P226&gt;=2,IF(Q226&gt;Exempt,V226*(Q226-Exempt)/Q226,0),V226)))</f>
        <v>12.8712628280305</v>
      </c>
      <c r="X226" s="10" t="n">
        <f aca="false">IF(P226&gt;=2,MIN(MaxDed,MIN(0.4,HoldRate*G226)+MIN(0.4,LiveRate*P226)),IF(G226&gt;=3,MIN(0.3,0.02*G226),0))</f>
        <v>0.8</v>
      </c>
      <c r="Y226" s="21" t="n">
        <f aca="false">MAX(0,W226*(1-X226)-InitDed)</f>
        <v>2.5492525656061</v>
      </c>
      <c r="Z226" s="29" t="n">
        <f aca="false">SUMPRODUCT((Y226&gt;CLo)*(Y226-CLo)*CD)*(1+LocalTax)</f>
        <v>0.846247572423352</v>
      </c>
      <c r="AA226" s="21" t="n">
        <f aca="false">K226+T226+Z226</f>
        <v>2.85538020772263</v>
      </c>
      <c r="AB226" s="29" t="n">
        <f aca="false">IF(C226=5,0,(Q226-H226)-K226-L226-R226-S226-T226-Z226)</f>
        <v>15.0216115954919</v>
      </c>
      <c r="AC226" s="21" t="n">
        <f aca="false">IF(C226=5,0,N226*((1+DepRate*(1-DepTax))^G226-1))</f>
        <v>6.60965214556853</v>
      </c>
      <c r="AD226" s="29" t="n">
        <f aca="false">IF(C226=5,0,AB226-AC226+I226*(((1+DepRate*(1-DepTax))^G226-1)-((1+DepRate*(1-DepTax))^O226-1)))</f>
        <v>11.9963627106013</v>
      </c>
      <c r="AE226" s="30" t="n">
        <f aca="false">IF(J226&gt;0,-PMT(Rm,LoanYears*12,J226)*10000,0)</f>
        <v>95.4830590930919</v>
      </c>
      <c r="AF226" s="21" t="n">
        <f aca="false">IF(J226&gt;0,-PMT((Rate+Stress)/12,LoanYears*12,J226)*12/DSR,0)</f>
        <v>0.39918149710751</v>
      </c>
      <c r="AG226" s="20" t="n">
        <f aca="false">IF(N226&lt;=CapA,1,0)</f>
        <v>0</v>
      </c>
      <c r="AH226" s="20" t="n">
        <f aca="false">IF(N226&lt;=CapB,1,0)</f>
        <v>0</v>
      </c>
      <c r="AI226" s="20" t="n">
        <f aca="false">IF(N226&lt;=CapC,1,0)</f>
        <v>0</v>
      </c>
      <c r="AJ226" s="21" t="n">
        <f aca="false">IF(AG226=1,AD226,-999)</f>
        <v>-999</v>
      </c>
      <c r="AK226" s="21" t="n">
        <f aca="false">IF(AH226=1,AD226,-999)</f>
        <v>-999</v>
      </c>
      <c r="AL226" s="21" t="n">
        <f aca="false">IF(AI226=1,AD226,-999)</f>
        <v>-999</v>
      </c>
      <c r="AM226" s="21" t="str">
        <f aca="false">C226&amp;"|"&amp;E226&amp;"|"&amp;G226&amp;"|"&amp;TEXT(AJ226,"0.00000")</f>
        <v>2|3|10|-999.00000</v>
      </c>
      <c r="AN226" s="21" t="str">
        <f aca="false">C226&amp;"|"&amp;E226&amp;"|"&amp;G226&amp;"|"&amp;TEXT(AK226,"0.00000")</f>
        <v>2|3|10|-999.00000</v>
      </c>
      <c r="AO226" s="21" t="str">
        <f aca="false">C226&amp;"|"&amp;E226&amp;"|"&amp;G226&amp;"|"&amp;TEXT(AL226,"0.00000")</f>
        <v>2|3|10|-999.00000</v>
      </c>
    </row>
    <row r="227" customFormat="false" ht="15" hidden="false" customHeight="false" outlineLevel="0" collapsed="false">
      <c r="A227" s="20" t="n">
        <v>8</v>
      </c>
      <c r="B227" s="18" t="str">
        <f aca="false">INDEX(C_Name,A227)</f>
        <v>본동 래미안트윈파크 (32평형)</v>
      </c>
      <c r="C227" s="20" t="n">
        <v>3</v>
      </c>
      <c r="D227" s="21" t="str">
        <f aca="false">CHOOSE(C227,"1안 표준형(대출 최대)","2안 절충형(대출 50%)","3안 무대출형","4안 임대차 승계 후 입주","5안 매수 보류(전세 거주)")</f>
        <v>3안 무대출형</v>
      </c>
      <c r="E227" s="20" t="n">
        <v>1</v>
      </c>
      <c r="F227" s="10" t="n">
        <f aca="false">CHOOSE(E227,GrowLo,GrowMid,GrowHi)</f>
        <v>0.02</v>
      </c>
      <c r="G227" s="20" t="n">
        <v>5</v>
      </c>
      <c r="H227" s="18" t="n">
        <f aca="false">INDEX(C_Price,A227)</f>
        <v>24.2</v>
      </c>
      <c r="I227" s="18" t="n">
        <f aca="false">INDEX(C_Jeonse,A227)</f>
        <v>12.584</v>
      </c>
      <c r="J227" s="21" t="n">
        <f aca="false">IF(C227=5,0,IF(C227=1,INDEX(C_Loan,A227),IF(C227=2,INDEX(C_Loan,A227)*LoanShare2,IF(C227=3,0,MIN(INDEX(C_Loan,A227),I227)))))</f>
        <v>0</v>
      </c>
      <c r="K227" s="18" t="n">
        <f aca="false">IF(C227=5,0,INDEX(C_Acq,A227))</f>
        <v>0.7986</v>
      </c>
      <c r="L227" s="18" t="n">
        <f aca="false">IF(C227=5,0,INDEX(C_Fee,A227))</f>
        <v>0.20634</v>
      </c>
      <c r="M227" s="21" t="n">
        <f aca="false">IF(C227=4,MAX(0,I227-J227),0)</f>
        <v>0</v>
      </c>
      <c r="N227" s="21" t="n">
        <f aca="false">IF(C227=5,I227,IF(C227=4,(H227-I227)+K227+L227+M227,H227-J227+K227+L227))</f>
        <v>25.20494</v>
      </c>
      <c r="O227" s="20" t="n">
        <f aca="false">IF(C227=4,RentYears,0)</f>
        <v>0</v>
      </c>
      <c r="P227" s="20" t="n">
        <f aca="false">IF(C227=5,0,MAX(0,G227-O227-NonRes))</f>
        <v>5</v>
      </c>
      <c r="Q227" s="21" t="n">
        <f aca="false">IF(C227=5,0,H227*(1+F227)^G227)</f>
        <v>26.71875543744</v>
      </c>
      <c r="R227" s="21" t="n">
        <f aca="false">IF(C227=5,0,Q227*LOOKUP(Q227,FeeLo,FeeR)*(1+VAT))</f>
        <v>0.205734416868288</v>
      </c>
      <c r="S227" s="21" t="n">
        <f aca="false">IF(J227&gt;0,-CUMIPMT(Rm,LoanYears*12,J227,1,(G227-O227)*12,0),0)</f>
        <v>0</v>
      </c>
      <c r="T227" s="29" t="n">
        <f aca="false">IF(C227=5,0,SUMIFS(Sch_Total,Sch_Idx,A227,Sch_Scen,E227,Sch_Year,"&lt;="&amp;G227))</f>
        <v>0.385453148303117</v>
      </c>
      <c r="U227" s="21" t="n">
        <f aca="false">K227+L227+R227</f>
        <v>1.21067441686829</v>
      </c>
      <c r="V227" s="21" t="n">
        <f aca="false">IF(C227=5,0,Q227-H227-U227)</f>
        <v>1.30808102057171</v>
      </c>
      <c r="W227" s="21" t="n">
        <f aca="false">IF(C227=5,0,MAX(0,IF(P227&gt;=2,IF(Q227&gt;Exempt,V227*(Q227-Exempt)/Q227,0),V227)))</f>
        <v>0.720592120363996</v>
      </c>
      <c r="X227" s="10" t="n">
        <f aca="false">IF(P227&gt;=2,MIN(MaxDed,MIN(0.4,HoldRate*G227)+MIN(0.4,LiveRate*P227)),IF(G227&gt;=3,MIN(0.3,0.02*G227),0))</f>
        <v>0.4</v>
      </c>
      <c r="Y227" s="21" t="n">
        <f aca="false">MAX(0,W227*(1-X227)-InitDed)</f>
        <v>0.407355272218398</v>
      </c>
      <c r="Z227" s="29" t="n">
        <f aca="false">SUMPRODUCT((Y227&gt;CLo)*(Y227-CLo)*CD)*(1+LocalTax)</f>
        <v>0.0533536199160356</v>
      </c>
      <c r="AA227" s="21" t="n">
        <f aca="false">K227+T227+Z227</f>
        <v>1.23740676821915</v>
      </c>
      <c r="AB227" s="29" t="n">
        <f aca="false">IF(C227=5,0,(Q227-H227)-K227-L227-R227-S227-T227-Z227)</f>
        <v>0.869274252352559</v>
      </c>
      <c r="AC227" s="21" t="n">
        <f aca="false">IF(C227=5,0,N227*((1+DepRate*(1-DepTax))^G227-1))</f>
        <v>3.36503625197908</v>
      </c>
      <c r="AD227" s="29" t="n">
        <f aca="false">IF(C227=5,0,AB227-AC227+I227*(((1+DepRate*(1-DepTax))^G227-1)-((1+DepRate*(1-DepTax))^O227-1)))</f>
        <v>-0.815709748166897</v>
      </c>
      <c r="AE227" s="30" t="n">
        <f aca="false">IF(J227&gt;0,-PMT(Rm,LoanYears*12,J227)*10000,0)</f>
        <v>0</v>
      </c>
      <c r="AF227" s="21" t="n">
        <f aca="false">IF(J227&gt;0,-PMT((Rate+Stress)/12,LoanYears*12,J227)*12/DSR,0)</f>
        <v>0</v>
      </c>
      <c r="AG227" s="20" t="n">
        <f aca="false">IF(N227&lt;=CapA,1,0)</f>
        <v>0</v>
      </c>
      <c r="AH227" s="20" t="n">
        <f aca="false">IF(N227&lt;=CapB,1,0)</f>
        <v>0</v>
      </c>
      <c r="AI227" s="20" t="n">
        <f aca="false">IF(N227&lt;=CapC,1,0)</f>
        <v>0</v>
      </c>
      <c r="AJ227" s="21" t="n">
        <f aca="false">IF(AG227=1,AD227,-999)</f>
        <v>-999</v>
      </c>
      <c r="AK227" s="21" t="n">
        <f aca="false">IF(AH227=1,AD227,-999)</f>
        <v>-999</v>
      </c>
      <c r="AL227" s="21" t="n">
        <f aca="false">IF(AI227=1,AD227,-999)</f>
        <v>-999</v>
      </c>
      <c r="AM227" s="21" t="str">
        <f aca="false">C227&amp;"|"&amp;E227&amp;"|"&amp;G227&amp;"|"&amp;TEXT(AJ227,"0.00000")</f>
        <v>3|1|5|-999.00000</v>
      </c>
      <c r="AN227" s="21" t="str">
        <f aca="false">C227&amp;"|"&amp;E227&amp;"|"&amp;G227&amp;"|"&amp;TEXT(AK227,"0.00000")</f>
        <v>3|1|5|-999.00000</v>
      </c>
      <c r="AO227" s="21" t="str">
        <f aca="false">C227&amp;"|"&amp;E227&amp;"|"&amp;G227&amp;"|"&amp;TEXT(AL227,"0.00000")</f>
        <v>3|1|5|-999.00000</v>
      </c>
    </row>
    <row r="228" customFormat="false" ht="15" hidden="false" customHeight="false" outlineLevel="0" collapsed="false">
      <c r="A228" s="20" t="n">
        <v>8</v>
      </c>
      <c r="B228" s="18" t="str">
        <f aca="false">INDEX(C_Name,A228)</f>
        <v>본동 래미안트윈파크 (32평형)</v>
      </c>
      <c r="C228" s="20" t="n">
        <v>3</v>
      </c>
      <c r="D228" s="21" t="str">
        <f aca="false">CHOOSE(C228,"1안 표준형(대출 최대)","2안 절충형(대출 50%)","3안 무대출형","4안 임대차 승계 후 입주","5안 매수 보류(전세 거주)")</f>
        <v>3안 무대출형</v>
      </c>
      <c r="E228" s="20" t="n">
        <v>1</v>
      </c>
      <c r="F228" s="10" t="n">
        <f aca="false">CHOOSE(E228,GrowLo,GrowMid,GrowHi)</f>
        <v>0.02</v>
      </c>
      <c r="G228" s="20" t="n">
        <v>10</v>
      </c>
      <c r="H228" s="18" t="n">
        <f aca="false">INDEX(C_Price,A228)</f>
        <v>24.2</v>
      </c>
      <c r="I228" s="18" t="n">
        <f aca="false">INDEX(C_Jeonse,A228)</f>
        <v>12.584</v>
      </c>
      <c r="J228" s="21" t="n">
        <f aca="false">IF(C228=5,0,IF(C228=1,INDEX(C_Loan,A228),IF(C228=2,INDEX(C_Loan,A228)*LoanShare2,IF(C228=3,0,MIN(INDEX(C_Loan,A228),I228)))))</f>
        <v>0</v>
      </c>
      <c r="K228" s="18" t="n">
        <f aca="false">IF(C228=5,0,INDEX(C_Acq,A228))</f>
        <v>0.7986</v>
      </c>
      <c r="L228" s="18" t="n">
        <f aca="false">IF(C228=5,0,INDEX(C_Fee,A228))</f>
        <v>0.20634</v>
      </c>
      <c r="M228" s="21" t="n">
        <f aca="false">IF(C228=4,MAX(0,I228-J228),0)</f>
        <v>0</v>
      </c>
      <c r="N228" s="21" t="n">
        <f aca="false">IF(C228=5,I228,IF(C228=4,(H228-I228)+K228+L228+M228,H228-J228+K228+L228))</f>
        <v>25.20494</v>
      </c>
      <c r="O228" s="20" t="n">
        <f aca="false">IF(C228=4,RentYears,0)</f>
        <v>0</v>
      </c>
      <c r="P228" s="20" t="n">
        <f aca="false">IF(C228=5,0,MAX(0,G228-O228-NonRes))</f>
        <v>10</v>
      </c>
      <c r="Q228" s="21" t="n">
        <f aca="false">IF(C228=5,0,H228*(1+F228)^G228)</f>
        <v>29.4996649638731</v>
      </c>
      <c r="R228" s="21" t="n">
        <f aca="false">IF(C228=5,0,Q228*LOOKUP(Q228,FeeLo,FeeR)*(1+VAT))</f>
        <v>0.227147420221823</v>
      </c>
      <c r="S228" s="21" t="n">
        <f aca="false">IF(J228&gt;0,-CUMIPMT(Rm,LoanYears*12,J228,1,(G228-O228)*12,0),0)</f>
        <v>0</v>
      </c>
      <c r="T228" s="29" t="n">
        <f aca="false">IF(C228=5,0,SUMIFS(Sch_Total,Sch_Idx,A228,Sch_Scen,E228,Sch_Year,"&lt;="&amp;G228))</f>
        <v>0.849699625381735</v>
      </c>
      <c r="U228" s="21" t="n">
        <f aca="false">K228+L228+R228</f>
        <v>1.23208742022182</v>
      </c>
      <c r="V228" s="21" t="n">
        <f aca="false">IF(C228=5,0,Q228-H228-U228)</f>
        <v>4.0675775436513</v>
      </c>
      <c r="W228" s="21" t="n">
        <f aca="false">IF(C228=5,0,MAX(0,IF(P228&gt;=2,IF(Q228&gt;Exempt,V228*(Q228-Exempt)/Q228,0),V228)))</f>
        <v>2.41295093743079</v>
      </c>
      <c r="X228" s="10" t="n">
        <f aca="false">IF(P228&gt;=2,MIN(MaxDed,MIN(0.4,HoldRate*G228)+MIN(0.4,LiveRate*P228)),IF(G228&gt;=3,MIN(0.3,0.02*G228),0))</f>
        <v>0.8</v>
      </c>
      <c r="Y228" s="21" t="n">
        <f aca="false">MAX(0,W228*(1-X228)-InitDed)</f>
        <v>0.457590187486157</v>
      </c>
      <c r="Z228" s="29" t="n">
        <f aca="false">SUMPRODUCT((Y228&gt;CLo)*(Y228-CLo)*CD)*(1+LocalTax)</f>
        <v>0.061642380935216</v>
      </c>
      <c r="AA228" s="21" t="n">
        <f aca="false">K228+T228+Z228</f>
        <v>1.70994200631695</v>
      </c>
      <c r="AB228" s="29" t="n">
        <f aca="false">IF(C228=5,0,(Q228-H228)-K228-L228-R228-S228-T228-Z228)</f>
        <v>3.15623553733435</v>
      </c>
      <c r="AC228" s="21" t="n">
        <f aca="false">IF(C228=5,0,N228*((1+DepRate*(1-DepTax))^G228-1))</f>
        <v>7.1793284425612</v>
      </c>
      <c r="AD228" s="29" t="n">
        <f aca="false">IF(C228=5,0,AB228-AC228+I228*(((1+DepRate*(1-DepTax))^G228-1)-((1+DepRate*(1-DepTax))^O228-1)))</f>
        <v>-0.438689644548975</v>
      </c>
      <c r="AE228" s="30" t="n">
        <f aca="false">IF(J228&gt;0,-PMT(Rm,LoanYears*12,J228)*10000,0)</f>
        <v>0</v>
      </c>
      <c r="AF228" s="21" t="n">
        <f aca="false">IF(J228&gt;0,-PMT((Rate+Stress)/12,LoanYears*12,J228)*12/DSR,0)</f>
        <v>0</v>
      </c>
      <c r="AG228" s="20" t="n">
        <f aca="false">IF(N228&lt;=CapA,1,0)</f>
        <v>0</v>
      </c>
      <c r="AH228" s="20" t="n">
        <f aca="false">IF(N228&lt;=CapB,1,0)</f>
        <v>0</v>
      </c>
      <c r="AI228" s="20" t="n">
        <f aca="false">IF(N228&lt;=CapC,1,0)</f>
        <v>0</v>
      </c>
      <c r="AJ228" s="21" t="n">
        <f aca="false">IF(AG228=1,AD228,-999)</f>
        <v>-999</v>
      </c>
      <c r="AK228" s="21" t="n">
        <f aca="false">IF(AH228=1,AD228,-999)</f>
        <v>-999</v>
      </c>
      <c r="AL228" s="21" t="n">
        <f aca="false">IF(AI228=1,AD228,-999)</f>
        <v>-999</v>
      </c>
      <c r="AM228" s="21" t="str">
        <f aca="false">C228&amp;"|"&amp;E228&amp;"|"&amp;G228&amp;"|"&amp;TEXT(AJ228,"0.00000")</f>
        <v>3|1|10|-999.00000</v>
      </c>
      <c r="AN228" s="21" t="str">
        <f aca="false">C228&amp;"|"&amp;E228&amp;"|"&amp;G228&amp;"|"&amp;TEXT(AK228,"0.00000")</f>
        <v>3|1|10|-999.00000</v>
      </c>
      <c r="AO228" s="21" t="str">
        <f aca="false">C228&amp;"|"&amp;E228&amp;"|"&amp;G228&amp;"|"&amp;TEXT(AL228,"0.00000")</f>
        <v>3|1|10|-999.00000</v>
      </c>
    </row>
    <row r="229" customFormat="false" ht="15" hidden="false" customHeight="false" outlineLevel="0" collapsed="false">
      <c r="A229" s="20" t="n">
        <v>8</v>
      </c>
      <c r="B229" s="18" t="str">
        <f aca="false">INDEX(C_Name,A229)</f>
        <v>본동 래미안트윈파크 (32평형)</v>
      </c>
      <c r="C229" s="20" t="n">
        <v>3</v>
      </c>
      <c r="D229" s="21" t="str">
        <f aca="false">CHOOSE(C229,"1안 표준형(대출 최대)","2안 절충형(대출 50%)","3안 무대출형","4안 임대차 승계 후 입주","5안 매수 보류(전세 거주)")</f>
        <v>3안 무대출형</v>
      </c>
      <c r="E229" s="20" t="n">
        <v>2</v>
      </c>
      <c r="F229" s="10" t="n">
        <f aca="false">CHOOSE(E229,GrowLo,GrowMid,GrowHi)</f>
        <v>0.04</v>
      </c>
      <c r="G229" s="20" t="n">
        <v>5</v>
      </c>
      <c r="H229" s="18" t="n">
        <f aca="false">INDEX(C_Price,A229)</f>
        <v>24.2</v>
      </c>
      <c r="I229" s="18" t="n">
        <f aca="false">INDEX(C_Jeonse,A229)</f>
        <v>12.584</v>
      </c>
      <c r="J229" s="21" t="n">
        <f aca="false">IF(C229=5,0,IF(C229=1,INDEX(C_Loan,A229),IF(C229=2,INDEX(C_Loan,A229)*LoanShare2,IF(C229=3,0,MIN(INDEX(C_Loan,A229),I229)))))</f>
        <v>0</v>
      </c>
      <c r="K229" s="18" t="n">
        <f aca="false">IF(C229=5,0,INDEX(C_Acq,A229))</f>
        <v>0.7986</v>
      </c>
      <c r="L229" s="18" t="n">
        <f aca="false">IF(C229=5,0,INDEX(C_Fee,A229))</f>
        <v>0.20634</v>
      </c>
      <c r="M229" s="21" t="n">
        <f aca="false">IF(C229=4,MAX(0,I229-J229),0)</f>
        <v>0</v>
      </c>
      <c r="N229" s="21" t="n">
        <f aca="false">IF(C229=5,I229,IF(C229=4,(H229-I229)+K229+L229+M229,H229-J229+K229+L229))</f>
        <v>25.20494</v>
      </c>
      <c r="O229" s="20" t="n">
        <f aca="false">IF(C229=4,RentYears,0)</f>
        <v>0</v>
      </c>
      <c r="P229" s="20" t="n">
        <f aca="false">IF(C229=5,0,MAX(0,G229-O229-NonRes))</f>
        <v>5</v>
      </c>
      <c r="Q229" s="21" t="n">
        <f aca="false">IF(C229=5,0,H229*(1+F229)^G229)</f>
        <v>29.44300023808</v>
      </c>
      <c r="R229" s="21" t="n">
        <f aca="false">IF(C229=5,0,Q229*LOOKUP(Q229,FeeLo,FeeR)*(1+VAT))</f>
        <v>0.226711101833216</v>
      </c>
      <c r="S229" s="21" t="n">
        <f aca="false">IF(J229&gt;0,-CUMIPMT(Rm,LoanYears*12,J229,1,(G229-O229)*12,0),0)</f>
        <v>0</v>
      </c>
      <c r="T229" s="29" t="n">
        <f aca="false">IF(C229=5,0,SUMIFS(Sch_Total,Sch_Idx,A229,Sch_Scen,E229,Sch_Year,"&lt;="&amp;G229))</f>
        <v>0.416504645976269</v>
      </c>
      <c r="U229" s="21" t="n">
        <f aca="false">K229+L229+R229</f>
        <v>1.23165110183322</v>
      </c>
      <c r="V229" s="21" t="n">
        <f aca="false">IF(C229=5,0,Q229-H229-U229)</f>
        <v>4.01134913624679</v>
      </c>
      <c r="W229" s="21" t="n">
        <f aca="false">IF(C229=5,0,MAX(0,IF(P229&gt;=2,IF(Q229&gt;Exempt,V229*(Q229-Exempt)/Q229,0),V229)))</f>
        <v>2.37645495950781</v>
      </c>
      <c r="X229" s="10" t="n">
        <f aca="false">IF(P229&gt;=2,MIN(MaxDed,MIN(0.4,HoldRate*G229)+MIN(0.4,LiveRate*P229)),IF(G229&gt;=3,MIN(0.3,0.02*G229),0))</f>
        <v>0.4</v>
      </c>
      <c r="Y229" s="21" t="n">
        <f aca="false">MAX(0,W229*(1-X229)-InitDed)</f>
        <v>1.40087297570468</v>
      </c>
      <c r="Z229" s="29" t="n">
        <f aca="false">SUMPRODUCT((Y229&gt;CLo)*(Y229-CLo)*CD)*(1+LocalTax)</f>
        <v>0.369496095646303</v>
      </c>
      <c r="AA229" s="21" t="n">
        <f aca="false">K229+T229+Z229</f>
        <v>1.58460074162257</v>
      </c>
      <c r="AB229" s="29" t="n">
        <f aca="false">IF(C229=5,0,(Q229-H229)-K229-L229-R229-S229-T229-Z229)</f>
        <v>3.22534839462422</v>
      </c>
      <c r="AC229" s="21" t="n">
        <f aca="false">IF(C229=5,0,N229*((1+DepRate*(1-DepTax))^G229-1))</f>
        <v>3.36503625197908</v>
      </c>
      <c r="AD229" s="29" t="n">
        <f aca="false">IF(C229=5,0,AB229-AC229+I229*(((1+DepRate*(1-DepTax))^G229-1)-((1+DepRate*(1-DepTax))^O229-1)))</f>
        <v>1.54036439410476</v>
      </c>
      <c r="AE229" s="30" t="n">
        <f aca="false">IF(J229&gt;0,-PMT(Rm,LoanYears*12,J229)*10000,0)</f>
        <v>0</v>
      </c>
      <c r="AF229" s="21" t="n">
        <f aca="false">IF(J229&gt;0,-PMT((Rate+Stress)/12,LoanYears*12,J229)*12/DSR,0)</f>
        <v>0</v>
      </c>
      <c r="AG229" s="20" t="n">
        <f aca="false">IF(N229&lt;=CapA,1,0)</f>
        <v>0</v>
      </c>
      <c r="AH229" s="20" t="n">
        <f aca="false">IF(N229&lt;=CapB,1,0)</f>
        <v>0</v>
      </c>
      <c r="AI229" s="20" t="n">
        <f aca="false">IF(N229&lt;=CapC,1,0)</f>
        <v>0</v>
      </c>
      <c r="AJ229" s="21" t="n">
        <f aca="false">IF(AG229=1,AD229,-999)</f>
        <v>-999</v>
      </c>
      <c r="AK229" s="21" t="n">
        <f aca="false">IF(AH229=1,AD229,-999)</f>
        <v>-999</v>
      </c>
      <c r="AL229" s="21" t="n">
        <f aca="false">IF(AI229=1,AD229,-999)</f>
        <v>-999</v>
      </c>
      <c r="AM229" s="21" t="str">
        <f aca="false">C229&amp;"|"&amp;E229&amp;"|"&amp;G229&amp;"|"&amp;TEXT(AJ229,"0.00000")</f>
        <v>3|2|5|-999.00000</v>
      </c>
      <c r="AN229" s="21" t="str">
        <f aca="false">C229&amp;"|"&amp;E229&amp;"|"&amp;G229&amp;"|"&amp;TEXT(AK229,"0.00000")</f>
        <v>3|2|5|-999.00000</v>
      </c>
      <c r="AO229" s="21" t="str">
        <f aca="false">C229&amp;"|"&amp;E229&amp;"|"&amp;G229&amp;"|"&amp;TEXT(AL229,"0.00000")</f>
        <v>3|2|5|-999.00000</v>
      </c>
    </row>
    <row r="230" customFormat="false" ht="15" hidden="false" customHeight="false" outlineLevel="0" collapsed="false">
      <c r="A230" s="20" t="n">
        <v>8</v>
      </c>
      <c r="B230" s="18" t="str">
        <f aca="false">INDEX(C_Name,A230)</f>
        <v>본동 래미안트윈파크 (32평형)</v>
      </c>
      <c r="C230" s="20" t="n">
        <v>3</v>
      </c>
      <c r="D230" s="21" t="str">
        <f aca="false">CHOOSE(C230,"1안 표준형(대출 최대)","2안 절충형(대출 50%)","3안 무대출형","4안 임대차 승계 후 입주","5안 매수 보류(전세 거주)")</f>
        <v>3안 무대출형</v>
      </c>
      <c r="E230" s="20" t="n">
        <v>2</v>
      </c>
      <c r="F230" s="10" t="n">
        <f aca="false">CHOOSE(E230,GrowLo,GrowMid,GrowHi)</f>
        <v>0.04</v>
      </c>
      <c r="G230" s="20" t="n">
        <v>10</v>
      </c>
      <c r="H230" s="18" t="n">
        <f aca="false">INDEX(C_Price,A230)</f>
        <v>24.2</v>
      </c>
      <c r="I230" s="18" t="n">
        <f aca="false">INDEX(C_Jeonse,A230)</f>
        <v>12.584</v>
      </c>
      <c r="J230" s="21" t="n">
        <f aca="false">IF(C230=5,0,IF(C230=1,INDEX(C_Loan,A230),IF(C230=2,INDEX(C_Loan,A230)*LoanShare2,IF(C230=3,0,MIN(INDEX(C_Loan,A230),I230)))))</f>
        <v>0</v>
      </c>
      <c r="K230" s="18" t="n">
        <f aca="false">IF(C230=5,0,INDEX(C_Acq,A230))</f>
        <v>0.7986</v>
      </c>
      <c r="L230" s="18" t="n">
        <f aca="false">IF(C230=5,0,INDEX(C_Fee,A230))</f>
        <v>0.20634</v>
      </c>
      <c r="M230" s="21" t="n">
        <f aca="false">IF(C230=4,MAX(0,I230-J230),0)</f>
        <v>0</v>
      </c>
      <c r="N230" s="21" t="n">
        <f aca="false">IF(C230=5,I230,IF(C230=4,(H230-I230)+K230+L230+M230,H230-J230+K230+L230))</f>
        <v>25.20494</v>
      </c>
      <c r="O230" s="20" t="n">
        <f aca="false">IF(C230=4,RentYears,0)</f>
        <v>0</v>
      </c>
      <c r="P230" s="20" t="n">
        <f aca="false">IF(C230=5,0,MAX(0,G230-O230-NonRes))</f>
        <v>10</v>
      </c>
      <c r="Q230" s="21" t="n">
        <f aca="false">IF(C230=5,0,H230*(1+F230)^G230)</f>
        <v>35.8219116950239</v>
      </c>
      <c r="R230" s="21" t="n">
        <f aca="false">IF(C230=5,0,Q230*LOOKUP(Q230,FeeLo,FeeR)*(1+VAT))</f>
        <v>0.275828720051684</v>
      </c>
      <c r="S230" s="21" t="n">
        <f aca="false">IF(J230&gt;0,-CUMIPMT(Rm,LoanYears*12,J230,1,(G230-O230)*12,0),0)</f>
        <v>0</v>
      </c>
      <c r="T230" s="29" t="n">
        <f aca="false">IF(C230=5,0,SUMIFS(Sch_Total,Sch_Idx,A230,Sch_Scen,E230,Sch_Year,"&lt;="&amp;G230))</f>
        <v>1.00987862179362</v>
      </c>
      <c r="U230" s="21" t="n">
        <f aca="false">K230+L230+R230</f>
        <v>1.28076872005168</v>
      </c>
      <c r="V230" s="21" t="n">
        <f aca="false">IF(C230=5,0,Q230-H230-U230)</f>
        <v>10.3411429749723</v>
      </c>
      <c r="W230" s="21" t="n">
        <f aca="false">IF(C230=5,0,MAX(0,IF(P230&gt;=2,IF(Q230&gt;Exempt,V230*(Q230-Exempt)/Q230,0),V230)))</f>
        <v>6.87695835087512</v>
      </c>
      <c r="X230" s="10" t="n">
        <f aca="false">IF(P230&gt;=2,MIN(MaxDed,MIN(0.4,HoldRate*G230)+MIN(0.4,LiveRate*P230)),IF(G230&gt;=3,MIN(0.3,0.02*G230),0))</f>
        <v>0.8</v>
      </c>
      <c r="Y230" s="21" t="n">
        <f aca="false">MAX(0,W230*(1-X230)-InitDed)</f>
        <v>1.35039167017502</v>
      </c>
      <c r="Z230" s="29" t="n">
        <f aca="false">SUMPRODUCT((Y230&gt;CLo)*(Y230-CLo)*CD)*(1+LocalTax)</f>
        <v>0.350060793017384</v>
      </c>
      <c r="AA230" s="21" t="n">
        <f aca="false">K230+T230+Z230</f>
        <v>2.15853941481101</v>
      </c>
      <c r="AB230" s="29" t="n">
        <f aca="false">IF(C230=5,0,(Q230-H230)-K230-L230-R230-S230-T230-Z230)</f>
        <v>8.98120356016124</v>
      </c>
      <c r="AC230" s="21" t="n">
        <f aca="false">IF(C230=5,0,N230*((1+DepRate*(1-DepTax))^G230-1))</f>
        <v>7.1793284425612</v>
      </c>
      <c r="AD230" s="29" t="n">
        <f aca="false">IF(C230=5,0,AB230-AC230+I230*(((1+DepRate*(1-DepTax))^G230-1)-((1+DepRate*(1-DepTax))^O230-1)))</f>
        <v>5.38627837827791</v>
      </c>
      <c r="AE230" s="30" t="n">
        <f aca="false">IF(J230&gt;0,-PMT(Rm,LoanYears*12,J230)*10000,0)</f>
        <v>0</v>
      </c>
      <c r="AF230" s="21" t="n">
        <f aca="false">IF(J230&gt;0,-PMT((Rate+Stress)/12,LoanYears*12,J230)*12/DSR,0)</f>
        <v>0</v>
      </c>
      <c r="AG230" s="20" t="n">
        <f aca="false">IF(N230&lt;=CapA,1,0)</f>
        <v>0</v>
      </c>
      <c r="AH230" s="20" t="n">
        <f aca="false">IF(N230&lt;=CapB,1,0)</f>
        <v>0</v>
      </c>
      <c r="AI230" s="20" t="n">
        <f aca="false">IF(N230&lt;=CapC,1,0)</f>
        <v>0</v>
      </c>
      <c r="AJ230" s="21" t="n">
        <f aca="false">IF(AG230=1,AD230,-999)</f>
        <v>-999</v>
      </c>
      <c r="AK230" s="21" t="n">
        <f aca="false">IF(AH230=1,AD230,-999)</f>
        <v>-999</v>
      </c>
      <c r="AL230" s="21" t="n">
        <f aca="false">IF(AI230=1,AD230,-999)</f>
        <v>-999</v>
      </c>
      <c r="AM230" s="21" t="str">
        <f aca="false">C230&amp;"|"&amp;E230&amp;"|"&amp;G230&amp;"|"&amp;TEXT(AJ230,"0.00000")</f>
        <v>3|2|10|-999.00000</v>
      </c>
      <c r="AN230" s="21" t="str">
        <f aca="false">C230&amp;"|"&amp;E230&amp;"|"&amp;G230&amp;"|"&amp;TEXT(AK230,"0.00000")</f>
        <v>3|2|10|-999.00000</v>
      </c>
      <c r="AO230" s="21" t="str">
        <f aca="false">C230&amp;"|"&amp;E230&amp;"|"&amp;G230&amp;"|"&amp;TEXT(AL230,"0.00000")</f>
        <v>3|2|10|-999.00000</v>
      </c>
    </row>
    <row r="231" customFormat="false" ht="15" hidden="false" customHeight="false" outlineLevel="0" collapsed="false">
      <c r="A231" s="20" t="n">
        <v>8</v>
      </c>
      <c r="B231" s="18" t="str">
        <f aca="false">INDEX(C_Name,A231)</f>
        <v>본동 래미안트윈파크 (32평형)</v>
      </c>
      <c r="C231" s="20" t="n">
        <v>3</v>
      </c>
      <c r="D231" s="21" t="str">
        <f aca="false">CHOOSE(C231,"1안 표준형(대출 최대)","2안 절충형(대출 50%)","3안 무대출형","4안 임대차 승계 후 입주","5안 매수 보류(전세 거주)")</f>
        <v>3안 무대출형</v>
      </c>
      <c r="E231" s="20" t="n">
        <v>3</v>
      </c>
      <c r="F231" s="10" t="n">
        <f aca="false">CHOOSE(E231,GrowLo,GrowMid,GrowHi)</f>
        <v>0.06</v>
      </c>
      <c r="G231" s="20" t="n">
        <v>5</v>
      </c>
      <c r="H231" s="18" t="n">
        <f aca="false">INDEX(C_Price,A231)</f>
        <v>24.2</v>
      </c>
      <c r="I231" s="18" t="n">
        <f aca="false">INDEX(C_Jeonse,A231)</f>
        <v>12.584</v>
      </c>
      <c r="J231" s="21" t="n">
        <f aca="false">IF(C231=5,0,IF(C231=1,INDEX(C_Loan,A231),IF(C231=2,INDEX(C_Loan,A231)*LoanShare2,IF(C231=3,0,MIN(INDEX(C_Loan,A231),I231)))))</f>
        <v>0</v>
      </c>
      <c r="K231" s="18" t="n">
        <f aca="false">IF(C231=5,0,INDEX(C_Acq,A231))</f>
        <v>0.7986</v>
      </c>
      <c r="L231" s="18" t="n">
        <f aca="false">IF(C231=5,0,INDEX(C_Fee,A231))</f>
        <v>0.20634</v>
      </c>
      <c r="M231" s="21" t="n">
        <f aca="false">IF(C231=4,MAX(0,I231-J231),0)</f>
        <v>0</v>
      </c>
      <c r="N231" s="21" t="n">
        <f aca="false">IF(C231=5,I231,IF(C231=4,(H231-I231)+K231+L231+M231,H231-J231+K231+L231))</f>
        <v>25.20494</v>
      </c>
      <c r="O231" s="20" t="n">
        <f aca="false">IF(C231=4,RentYears,0)</f>
        <v>0</v>
      </c>
      <c r="P231" s="20" t="n">
        <f aca="false">IF(C231=5,0,MAX(0,G231-O231-NonRes))</f>
        <v>5</v>
      </c>
      <c r="Q231" s="21" t="n">
        <f aca="false">IF(C231=5,0,H231*(1+F231)^G231)</f>
        <v>32.38505897792</v>
      </c>
      <c r="R231" s="21" t="n">
        <f aca="false">IF(C231=5,0,Q231*LOOKUP(Q231,FeeLo,FeeR)*(1+VAT))</f>
        <v>0.249364954129984</v>
      </c>
      <c r="S231" s="21" t="n">
        <f aca="false">IF(J231&gt;0,-CUMIPMT(Rm,LoanYears*12,J231,1,(G231-O231)*12,0),0)</f>
        <v>0</v>
      </c>
      <c r="T231" s="29" t="n">
        <f aca="false">IF(C231=5,0,SUMIFS(Sch_Total,Sch_Idx,A231,Sch_Scen,E231,Sch_Year,"&lt;="&amp;G231))</f>
        <v>0.448797721435661</v>
      </c>
      <c r="U231" s="21" t="n">
        <f aca="false">K231+L231+R231</f>
        <v>1.25430495412998</v>
      </c>
      <c r="V231" s="21" t="n">
        <f aca="false">IF(C231=5,0,Q231-H231-U231)</f>
        <v>6.93075402379002</v>
      </c>
      <c r="W231" s="21" t="n">
        <f aca="false">IF(C231=5,0,MAX(0,IF(P231&gt;=2,IF(Q231&gt;Exempt,V231*(Q231-Exempt)/Q231,0),V231)))</f>
        <v>4.36262381466536</v>
      </c>
      <c r="X231" s="10" t="n">
        <f aca="false">IF(P231&gt;=2,MIN(MaxDed,MIN(0.4,HoldRate*G231)+MIN(0.4,LiveRate*P231)),IF(G231&gt;=3,MIN(0.3,0.02*G231),0))</f>
        <v>0.4</v>
      </c>
      <c r="Y231" s="21" t="n">
        <f aca="false">MAX(0,W231*(1-X231)-InitDed)</f>
        <v>2.59257428879921</v>
      </c>
      <c r="Z231" s="29" t="n">
        <f aca="false">SUMPRODUCT((Y231&gt;CLo)*(Y231-CLo)*CD)*(1+LocalTax)</f>
        <v>0.864356052718072</v>
      </c>
      <c r="AA231" s="21" t="n">
        <f aca="false">K231+T231+Z231</f>
        <v>2.11175377415373</v>
      </c>
      <c r="AB231" s="29" t="n">
        <f aca="false">IF(C231=5,0,(Q231-H231)-K231-L231-R231-S231-T231-Z231)</f>
        <v>5.61760024963629</v>
      </c>
      <c r="AC231" s="21" t="n">
        <f aca="false">IF(C231=5,0,N231*((1+DepRate*(1-DepTax))^G231-1))</f>
        <v>3.36503625197908</v>
      </c>
      <c r="AD231" s="29" t="n">
        <f aca="false">IF(C231=5,0,AB231-AC231+I231*(((1+DepRate*(1-DepTax))^G231-1)-((1+DepRate*(1-DepTax))^O231-1)))</f>
        <v>3.93261624911683</v>
      </c>
      <c r="AE231" s="30" t="n">
        <f aca="false">IF(J231&gt;0,-PMT(Rm,LoanYears*12,J231)*10000,0)</f>
        <v>0</v>
      </c>
      <c r="AF231" s="21" t="n">
        <f aca="false">IF(J231&gt;0,-PMT((Rate+Stress)/12,LoanYears*12,J231)*12/DSR,0)</f>
        <v>0</v>
      </c>
      <c r="AG231" s="20" t="n">
        <f aca="false">IF(N231&lt;=CapA,1,0)</f>
        <v>0</v>
      </c>
      <c r="AH231" s="20" t="n">
        <f aca="false">IF(N231&lt;=CapB,1,0)</f>
        <v>0</v>
      </c>
      <c r="AI231" s="20" t="n">
        <f aca="false">IF(N231&lt;=CapC,1,0)</f>
        <v>0</v>
      </c>
      <c r="AJ231" s="21" t="n">
        <f aca="false">IF(AG231=1,AD231,-999)</f>
        <v>-999</v>
      </c>
      <c r="AK231" s="21" t="n">
        <f aca="false">IF(AH231=1,AD231,-999)</f>
        <v>-999</v>
      </c>
      <c r="AL231" s="21" t="n">
        <f aca="false">IF(AI231=1,AD231,-999)</f>
        <v>-999</v>
      </c>
      <c r="AM231" s="21" t="str">
        <f aca="false">C231&amp;"|"&amp;E231&amp;"|"&amp;G231&amp;"|"&amp;TEXT(AJ231,"0.00000")</f>
        <v>3|3|5|-999.00000</v>
      </c>
      <c r="AN231" s="21" t="str">
        <f aca="false">C231&amp;"|"&amp;E231&amp;"|"&amp;G231&amp;"|"&amp;TEXT(AK231,"0.00000")</f>
        <v>3|3|5|-999.00000</v>
      </c>
      <c r="AO231" s="21" t="str">
        <f aca="false">C231&amp;"|"&amp;E231&amp;"|"&amp;G231&amp;"|"&amp;TEXT(AL231,"0.00000")</f>
        <v>3|3|5|-999.00000</v>
      </c>
    </row>
    <row r="232" customFormat="false" ht="15" hidden="false" customHeight="false" outlineLevel="0" collapsed="false">
      <c r="A232" s="20" t="n">
        <v>8</v>
      </c>
      <c r="B232" s="18" t="str">
        <f aca="false">INDEX(C_Name,A232)</f>
        <v>본동 래미안트윈파크 (32평형)</v>
      </c>
      <c r="C232" s="20" t="n">
        <v>3</v>
      </c>
      <c r="D232" s="21" t="str">
        <f aca="false">CHOOSE(C232,"1안 표준형(대출 최대)","2안 절충형(대출 50%)","3안 무대출형","4안 임대차 승계 후 입주","5안 매수 보류(전세 거주)")</f>
        <v>3안 무대출형</v>
      </c>
      <c r="E232" s="20" t="n">
        <v>3</v>
      </c>
      <c r="F232" s="10" t="n">
        <f aca="false">CHOOSE(E232,GrowLo,GrowMid,GrowHi)</f>
        <v>0.06</v>
      </c>
      <c r="G232" s="20" t="n">
        <v>10</v>
      </c>
      <c r="H232" s="18" t="n">
        <f aca="false">INDEX(C_Price,A232)</f>
        <v>24.2</v>
      </c>
      <c r="I232" s="18" t="n">
        <f aca="false">INDEX(C_Jeonse,A232)</f>
        <v>12.584</v>
      </c>
      <c r="J232" s="21" t="n">
        <f aca="false">IF(C232=5,0,IF(C232=1,INDEX(C_Loan,A232),IF(C232=2,INDEX(C_Loan,A232)*LoanShare2,IF(C232=3,0,MIN(INDEX(C_Loan,A232),I232)))))</f>
        <v>0</v>
      </c>
      <c r="K232" s="18" t="n">
        <f aca="false">IF(C232=5,0,INDEX(C_Acq,A232))</f>
        <v>0.7986</v>
      </c>
      <c r="L232" s="18" t="n">
        <f aca="false">IF(C232=5,0,INDEX(C_Fee,A232))</f>
        <v>0.20634</v>
      </c>
      <c r="M232" s="21" t="n">
        <f aca="false">IF(C232=4,MAX(0,I232-J232),0)</f>
        <v>0</v>
      </c>
      <c r="N232" s="21" t="n">
        <f aca="false">IF(C232=5,I232,IF(C232=4,(H232-I232)+K232+L232+M232,H232-J232+K232+L232))</f>
        <v>25.20494</v>
      </c>
      <c r="O232" s="20" t="n">
        <f aca="false">IF(C232=4,RentYears,0)</f>
        <v>0</v>
      </c>
      <c r="P232" s="20" t="n">
        <f aca="false">IF(C232=5,0,MAX(0,G232-O232-NonRes))</f>
        <v>10</v>
      </c>
      <c r="Q232" s="21" t="n">
        <f aca="false">IF(C232=5,0,H232*(1+F232)^G232)</f>
        <v>43.3385142563371</v>
      </c>
      <c r="R232" s="21" t="n">
        <f aca="false">IF(C232=5,0,Q232*LOOKUP(Q232,FeeLo,FeeR)*(1+VAT))</f>
        <v>0.333706559773796</v>
      </c>
      <c r="S232" s="21" t="n">
        <f aca="false">IF(J232&gt;0,-CUMIPMT(Rm,LoanYears*12,J232,1,(G232-O232)*12,0),0)</f>
        <v>0</v>
      </c>
      <c r="T232" s="29" t="n">
        <f aca="false">IF(C232=5,0,SUMIFS(Sch_Total,Sch_Idx,A232,Sch_Scen,E232,Sch_Year,"&lt;="&amp;G232))</f>
        <v>1.21053263529928</v>
      </c>
      <c r="U232" s="21" t="n">
        <f aca="false">K232+L232+R232</f>
        <v>1.3386465597738</v>
      </c>
      <c r="V232" s="21" t="n">
        <f aca="false">IF(C232=5,0,Q232-H232-U232)</f>
        <v>17.7998676965633</v>
      </c>
      <c r="W232" s="21" t="n">
        <f aca="false">IF(C232=5,0,MAX(0,IF(P232&gt;=2,IF(Q232&gt;Exempt,V232*(Q232-Exempt)/Q232,0),V232)))</f>
        <v>12.8712628280305</v>
      </c>
      <c r="X232" s="10" t="n">
        <f aca="false">IF(P232&gt;=2,MIN(MaxDed,MIN(0.4,HoldRate*G232)+MIN(0.4,LiveRate*P232)),IF(G232&gt;=3,MIN(0.3,0.02*G232),0))</f>
        <v>0.8</v>
      </c>
      <c r="Y232" s="21" t="n">
        <f aca="false">MAX(0,W232*(1-X232)-InitDed)</f>
        <v>2.5492525656061</v>
      </c>
      <c r="Z232" s="29" t="n">
        <f aca="false">SUMPRODUCT((Y232&gt;CLo)*(Y232-CLo)*CD)*(1+LocalTax)</f>
        <v>0.846247572423352</v>
      </c>
      <c r="AA232" s="21" t="n">
        <f aca="false">K232+T232+Z232</f>
        <v>2.85538020772263</v>
      </c>
      <c r="AB232" s="29" t="n">
        <f aca="false">IF(C232=5,0,(Q232-H232)-K232-L232-R232-S232-T232-Z232)</f>
        <v>15.7430874888407</v>
      </c>
      <c r="AC232" s="21" t="n">
        <f aca="false">IF(C232=5,0,N232*((1+DepRate*(1-DepTax))^G232-1))</f>
        <v>7.1793284425612</v>
      </c>
      <c r="AD232" s="29" t="n">
        <f aca="false">IF(C232=5,0,AB232-AC232+I232*(((1+DepRate*(1-DepTax))^G232-1)-((1+DepRate*(1-DepTax))^O232-1)))</f>
        <v>12.1481623069573</v>
      </c>
      <c r="AE232" s="30" t="n">
        <f aca="false">IF(J232&gt;0,-PMT(Rm,LoanYears*12,J232)*10000,0)</f>
        <v>0</v>
      </c>
      <c r="AF232" s="21" t="n">
        <f aca="false">IF(J232&gt;0,-PMT((Rate+Stress)/12,LoanYears*12,J232)*12/DSR,0)</f>
        <v>0</v>
      </c>
      <c r="AG232" s="20" t="n">
        <f aca="false">IF(N232&lt;=CapA,1,0)</f>
        <v>0</v>
      </c>
      <c r="AH232" s="20" t="n">
        <f aca="false">IF(N232&lt;=CapB,1,0)</f>
        <v>0</v>
      </c>
      <c r="AI232" s="20" t="n">
        <f aca="false">IF(N232&lt;=CapC,1,0)</f>
        <v>0</v>
      </c>
      <c r="AJ232" s="21" t="n">
        <f aca="false">IF(AG232=1,AD232,-999)</f>
        <v>-999</v>
      </c>
      <c r="AK232" s="21" t="n">
        <f aca="false">IF(AH232=1,AD232,-999)</f>
        <v>-999</v>
      </c>
      <c r="AL232" s="21" t="n">
        <f aca="false">IF(AI232=1,AD232,-999)</f>
        <v>-999</v>
      </c>
      <c r="AM232" s="21" t="str">
        <f aca="false">C232&amp;"|"&amp;E232&amp;"|"&amp;G232&amp;"|"&amp;TEXT(AJ232,"0.00000")</f>
        <v>3|3|10|-999.00000</v>
      </c>
      <c r="AN232" s="21" t="str">
        <f aca="false">C232&amp;"|"&amp;E232&amp;"|"&amp;G232&amp;"|"&amp;TEXT(AK232,"0.00000")</f>
        <v>3|3|10|-999.00000</v>
      </c>
      <c r="AO232" s="21" t="str">
        <f aca="false">C232&amp;"|"&amp;E232&amp;"|"&amp;G232&amp;"|"&amp;TEXT(AL232,"0.00000")</f>
        <v>3|3|10|-999.00000</v>
      </c>
    </row>
    <row r="233" customFormat="false" ht="15" hidden="false" customHeight="false" outlineLevel="0" collapsed="false">
      <c r="A233" s="20" t="n">
        <v>8</v>
      </c>
      <c r="B233" s="18" t="str">
        <f aca="false">INDEX(C_Name,A233)</f>
        <v>본동 래미안트윈파크 (32평형)</v>
      </c>
      <c r="C233" s="20" t="n">
        <v>4</v>
      </c>
      <c r="D233" s="21" t="str">
        <f aca="false">CHOOSE(C233,"1안 표준형(대출 최대)","2안 절충형(대출 50%)","3안 무대출형","4안 임대차 승계 후 입주","5안 매수 보류(전세 거주)")</f>
        <v>4안 임대차 승계 후 입주</v>
      </c>
      <c r="E233" s="20" t="n">
        <v>1</v>
      </c>
      <c r="F233" s="10" t="n">
        <f aca="false">CHOOSE(E233,GrowLo,GrowMid,GrowHi)</f>
        <v>0.02</v>
      </c>
      <c r="G233" s="20" t="n">
        <v>5</v>
      </c>
      <c r="H233" s="18" t="n">
        <f aca="false">INDEX(C_Price,A233)</f>
        <v>24.2</v>
      </c>
      <c r="I233" s="18" t="n">
        <f aca="false">INDEX(C_Jeonse,A233)</f>
        <v>12.584</v>
      </c>
      <c r="J233" s="21" t="n">
        <f aca="false">IF(C233=5,0,IF(C233=1,INDEX(C_Loan,A233),IF(C233=2,INDEX(C_Loan,A233)*LoanShare2,IF(C233=3,0,MIN(INDEX(C_Loan,A233),I233)))))</f>
        <v>4</v>
      </c>
      <c r="K233" s="18" t="n">
        <f aca="false">IF(C233=5,0,INDEX(C_Acq,A233))</f>
        <v>0.7986</v>
      </c>
      <c r="L233" s="18" t="n">
        <f aca="false">IF(C233=5,0,INDEX(C_Fee,A233))</f>
        <v>0.20634</v>
      </c>
      <c r="M233" s="21" t="n">
        <f aca="false">IF(C233=4,MAX(0,I233-J233),0)</f>
        <v>8.584</v>
      </c>
      <c r="N233" s="21" t="n">
        <f aca="false">IF(C233=5,I233,IF(C233=4,(H233-I233)+K233+L233+M233,H233-J233+K233+L233))</f>
        <v>21.20494</v>
      </c>
      <c r="O233" s="20" t="n">
        <f aca="false">IF(C233=4,RentYears,0)</f>
        <v>2</v>
      </c>
      <c r="P233" s="20" t="n">
        <f aca="false">IF(C233=5,0,MAX(0,G233-O233-NonRes))</f>
        <v>3</v>
      </c>
      <c r="Q233" s="21" t="n">
        <f aca="false">IF(C233=5,0,H233*(1+F233)^G233)</f>
        <v>26.71875543744</v>
      </c>
      <c r="R233" s="21" t="n">
        <f aca="false">IF(C233=5,0,Q233*LOOKUP(Q233,FeeLo,FeeR)*(1+VAT))</f>
        <v>0.205734416868288</v>
      </c>
      <c r="S233" s="21" t="n">
        <f aca="false">IF(J233&gt;0,-CUMIPMT(Rm,LoanYears*12,J233,1,(G233-O233)*12,0),0)</f>
        <v>0.467427048612969</v>
      </c>
      <c r="T233" s="29" t="n">
        <f aca="false">IF(C233=5,0,SUMIFS(Sch_Total,Sch_Idx,A233,Sch_Scen,E233,Sch_Year,"&lt;="&amp;G233))</f>
        <v>0.385453148303117</v>
      </c>
      <c r="U233" s="21" t="n">
        <f aca="false">K233+L233+R233</f>
        <v>1.21067441686829</v>
      </c>
      <c r="V233" s="21" t="n">
        <f aca="false">IF(C233=5,0,Q233-H233-U233)</f>
        <v>1.30808102057171</v>
      </c>
      <c r="W233" s="21" t="n">
        <f aca="false">IF(C233=5,0,MAX(0,IF(P233&gt;=2,IF(Q233&gt;Exempt,V233*(Q233-Exempt)/Q233,0),V233)))</f>
        <v>0.720592120363996</v>
      </c>
      <c r="X233" s="10" t="n">
        <f aca="false">IF(P233&gt;=2,MIN(MaxDed,MIN(0.4,HoldRate*G233)+MIN(0.4,LiveRate*P233)),IF(G233&gt;=3,MIN(0.3,0.02*G233),0))</f>
        <v>0.32</v>
      </c>
      <c r="Y233" s="21" t="n">
        <f aca="false">MAX(0,W233*(1-X233)-InitDed)</f>
        <v>0.465002641847517</v>
      </c>
      <c r="Z233" s="29" t="n">
        <f aca="false">SUMPRODUCT((Y233&gt;CLo)*(Y233-CLo)*CD)*(1+LocalTax)</f>
        <v>0.0628654359048403</v>
      </c>
      <c r="AA233" s="21" t="n">
        <f aca="false">K233+T233+Z233</f>
        <v>1.24691858420796</v>
      </c>
      <c r="AB233" s="29" t="n">
        <f aca="false">IF(C233=5,0,(Q233-H233)-K233-L233-R233-S233-T233-Z233)</f>
        <v>0.392335387750786</v>
      </c>
      <c r="AC233" s="21" t="n">
        <f aca="false">IF(C233=5,0,N233*((1+DepRate*(1-DepTax))^G233-1))</f>
        <v>2.83100820002116</v>
      </c>
      <c r="AD233" s="29" t="n">
        <f aca="false">IF(C233=5,0,AB233-AC233+I233*(((1+DepRate*(1-DepTax))^G233-1)-((1+DepRate*(1-DepTax))^O233-1)))</f>
        <v>-1.40549031394035</v>
      </c>
      <c r="AE233" s="30" t="n">
        <f aca="false">IF(J233&gt;0,-PMT(Rm,LoanYears*12,J233)*10000,0)</f>
        <v>190.966118186184</v>
      </c>
      <c r="AF233" s="21" t="n">
        <f aca="false">IF(J233&gt;0,-PMT((Rate+Stress)/12,LoanYears*12,J233)*12/DSR,0)</f>
        <v>0.79836299421502</v>
      </c>
      <c r="AG233" s="20" t="n">
        <f aca="false">IF(N233&lt;=CapA,1,0)</f>
        <v>0</v>
      </c>
      <c r="AH233" s="20" t="n">
        <f aca="false">IF(N233&lt;=CapB,1,0)</f>
        <v>0</v>
      </c>
      <c r="AI233" s="20" t="n">
        <f aca="false">IF(N233&lt;=CapC,1,0)</f>
        <v>0</v>
      </c>
      <c r="AJ233" s="21" t="n">
        <f aca="false">IF(AG233=1,AD233,-999)</f>
        <v>-999</v>
      </c>
      <c r="AK233" s="21" t="n">
        <f aca="false">IF(AH233=1,AD233,-999)</f>
        <v>-999</v>
      </c>
      <c r="AL233" s="21" t="n">
        <f aca="false">IF(AI233=1,AD233,-999)</f>
        <v>-999</v>
      </c>
      <c r="AM233" s="21" t="str">
        <f aca="false">C233&amp;"|"&amp;E233&amp;"|"&amp;G233&amp;"|"&amp;TEXT(AJ233,"0.00000")</f>
        <v>4|1|5|-999.00000</v>
      </c>
      <c r="AN233" s="21" t="str">
        <f aca="false">C233&amp;"|"&amp;E233&amp;"|"&amp;G233&amp;"|"&amp;TEXT(AK233,"0.00000")</f>
        <v>4|1|5|-999.00000</v>
      </c>
      <c r="AO233" s="21" t="str">
        <f aca="false">C233&amp;"|"&amp;E233&amp;"|"&amp;G233&amp;"|"&amp;TEXT(AL233,"0.00000")</f>
        <v>4|1|5|-999.00000</v>
      </c>
    </row>
    <row r="234" customFormat="false" ht="15" hidden="false" customHeight="false" outlineLevel="0" collapsed="false">
      <c r="A234" s="20" t="n">
        <v>8</v>
      </c>
      <c r="B234" s="18" t="str">
        <f aca="false">INDEX(C_Name,A234)</f>
        <v>본동 래미안트윈파크 (32평형)</v>
      </c>
      <c r="C234" s="20" t="n">
        <v>4</v>
      </c>
      <c r="D234" s="21" t="str">
        <f aca="false">CHOOSE(C234,"1안 표준형(대출 최대)","2안 절충형(대출 50%)","3안 무대출형","4안 임대차 승계 후 입주","5안 매수 보류(전세 거주)")</f>
        <v>4안 임대차 승계 후 입주</v>
      </c>
      <c r="E234" s="20" t="n">
        <v>1</v>
      </c>
      <c r="F234" s="10" t="n">
        <f aca="false">CHOOSE(E234,GrowLo,GrowMid,GrowHi)</f>
        <v>0.02</v>
      </c>
      <c r="G234" s="20" t="n">
        <v>10</v>
      </c>
      <c r="H234" s="18" t="n">
        <f aca="false">INDEX(C_Price,A234)</f>
        <v>24.2</v>
      </c>
      <c r="I234" s="18" t="n">
        <f aca="false">INDEX(C_Jeonse,A234)</f>
        <v>12.584</v>
      </c>
      <c r="J234" s="21" t="n">
        <f aca="false">IF(C234=5,0,IF(C234=1,INDEX(C_Loan,A234),IF(C234=2,INDEX(C_Loan,A234)*LoanShare2,IF(C234=3,0,MIN(INDEX(C_Loan,A234),I234)))))</f>
        <v>4</v>
      </c>
      <c r="K234" s="18" t="n">
        <f aca="false">IF(C234=5,0,INDEX(C_Acq,A234))</f>
        <v>0.7986</v>
      </c>
      <c r="L234" s="18" t="n">
        <f aca="false">IF(C234=5,0,INDEX(C_Fee,A234))</f>
        <v>0.20634</v>
      </c>
      <c r="M234" s="21" t="n">
        <f aca="false">IF(C234=4,MAX(0,I234-J234),0)</f>
        <v>8.584</v>
      </c>
      <c r="N234" s="21" t="n">
        <f aca="false">IF(C234=5,I234,IF(C234=4,(H234-I234)+K234+L234+M234,H234-J234+K234+L234))</f>
        <v>21.20494</v>
      </c>
      <c r="O234" s="20" t="n">
        <f aca="false">IF(C234=4,RentYears,0)</f>
        <v>2</v>
      </c>
      <c r="P234" s="20" t="n">
        <f aca="false">IF(C234=5,0,MAX(0,G234-O234-NonRes))</f>
        <v>8</v>
      </c>
      <c r="Q234" s="21" t="n">
        <f aca="false">IF(C234=5,0,H234*(1+F234)^G234)</f>
        <v>29.4996649638731</v>
      </c>
      <c r="R234" s="21" t="n">
        <f aca="false">IF(C234=5,0,Q234*LOOKUP(Q234,FeeLo,FeeR)*(1+VAT))</f>
        <v>0.227147420221823</v>
      </c>
      <c r="S234" s="21" t="n">
        <f aca="false">IF(J234&gt;0,-CUMIPMT(Rm,LoanYears*12,J234,1,(G234-O234)*12,0),0)</f>
        <v>1.18249376679461</v>
      </c>
      <c r="T234" s="29" t="n">
        <f aca="false">IF(C234=5,0,SUMIFS(Sch_Total,Sch_Idx,A234,Sch_Scen,E234,Sch_Year,"&lt;="&amp;G234))</f>
        <v>0.849699625381735</v>
      </c>
      <c r="U234" s="21" t="n">
        <f aca="false">K234+L234+R234</f>
        <v>1.23208742022182</v>
      </c>
      <c r="V234" s="21" t="n">
        <f aca="false">IF(C234=5,0,Q234-H234-U234)</f>
        <v>4.0675775436513</v>
      </c>
      <c r="W234" s="21" t="n">
        <f aca="false">IF(C234=5,0,MAX(0,IF(P234&gt;=2,IF(Q234&gt;Exempt,V234*(Q234-Exempt)/Q234,0),V234)))</f>
        <v>2.41295093743079</v>
      </c>
      <c r="X234" s="10" t="n">
        <f aca="false">IF(P234&gt;=2,MIN(MaxDed,MIN(0.4,HoldRate*G234)+MIN(0.4,LiveRate*P234)),IF(G234&gt;=3,MIN(0.3,0.02*G234),0))</f>
        <v>0.72</v>
      </c>
      <c r="Y234" s="21" t="n">
        <f aca="false">MAX(0,W234*(1-X234)-InitDed)</f>
        <v>0.650626262480621</v>
      </c>
      <c r="Z234" s="29" t="n">
        <f aca="false">SUMPRODUCT((Y234&gt;CLo)*(Y234-CLo)*CD)*(1+LocalTax)</f>
        <v>0.108405333294884</v>
      </c>
      <c r="AA234" s="21" t="n">
        <f aca="false">K234+T234+Z234</f>
        <v>1.75670495867662</v>
      </c>
      <c r="AB234" s="29" t="n">
        <f aca="false">IF(C234=5,0,(Q234-H234)-K234-L234-R234-S234-T234-Z234)</f>
        <v>1.92697881818007</v>
      </c>
      <c r="AC234" s="21" t="n">
        <f aca="false">IF(C234=5,0,N234*((1+DepRate*(1-DepTax))^G234-1))</f>
        <v>6.03997584857586</v>
      </c>
      <c r="AD234" s="29" t="n">
        <f aca="false">IF(C234=5,0,AB234-AC234+I234*(((1+DepRate*(1-DepTax))^G234-1)-((1+DepRate*(1-DepTax))^O234-1)))</f>
        <v>-1.17546352284751</v>
      </c>
      <c r="AE234" s="30" t="n">
        <f aca="false">IF(J234&gt;0,-PMT(Rm,LoanYears*12,J234)*10000,0)</f>
        <v>190.966118186184</v>
      </c>
      <c r="AF234" s="21" t="n">
        <f aca="false">IF(J234&gt;0,-PMT((Rate+Stress)/12,LoanYears*12,J234)*12/DSR,0)</f>
        <v>0.79836299421502</v>
      </c>
      <c r="AG234" s="20" t="n">
        <f aca="false">IF(N234&lt;=CapA,1,0)</f>
        <v>0</v>
      </c>
      <c r="AH234" s="20" t="n">
        <f aca="false">IF(N234&lt;=CapB,1,0)</f>
        <v>0</v>
      </c>
      <c r="AI234" s="20" t="n">
        <f aca="false">IF(N234&lt;=CapC,1,0)</f>
        <v>0</v>
      </c>
      <c r="AJ234" s="21" t="n">
        <f aca="false">IF(AG234=1,AD234,-999)</f>
        <v>-999</v>
      </c>
      <c r="AK234" s="21" t="n">
        <f aca="false">IF(AH234=1,AD234,-999)</f>
        <v>-999</v>
      </c>
      <c r="AL234" s="21" t="n">
        <f aca="false">IF(AI234=1,AD234,-999)</f>
        <v>-999</v>
      </c>
      <c r="AM234" s="21" t="str">
        <f aca="false">C234&amp;"|"&amp;E234&amp;"|"&amp;G234&amp;"|"&amp;TEXT(AJ234,"0.00000")</f>
        <v>4|1|10|-999.00000</v>
      </c>
      <c r="AN234" s="21" t="str">
        <f aca="false">C234&amp;"|"&amp;E234&amp;"|"&amp;G234&amp;"|"&amp;TEXT(AK234,"0.00000")</f>
        <v>4|1|10|-999.00000</v>
      </c>
      <c r="AO234" s="21" t="str">
        <f aca="false">C234&amp;"|"&amp;E234&amp;"|"&amp;G234&amp;"|"&amp;TEXT(AL234,"0.00000")</f>
        <v>4|1|10|-999.00000</v>
      </c>
    </row>
    <row r="235" customFormat="false" ht="15" hidden="false" customHeight="false" outlineLevel="0" collapsed="false">
      <c r="A235" s="20" t="n">
        <v>8</v>
      </c>
      <c r="B235" s="18" t="str">
        <f aca="false">INDEX(C_Name,A235)</f>
        <v>본동 래미안트윈파크 (32평형)</v>
      </c>
      <c r="C235" s="20" t="n">
        <v>4</v>
      </c>
      <c r="D235" s="21" t="str">
        <f aca="false">CHOOSE(C235,"1안 표준형(대출 최대)","2안 절충형(대출 50%)","3안 무대출형","4안 임대차 승계 후 입주","5안 매수 보류(전세 거주)")</f>
        <v>4안 임대차 승계 후 입주</v>
      </c>
      <c r="E235" s="20" t="n">
        <v>2</v>
      </c>
      <c r="F235" s="10" t="n">
        <f aca="false">CHOOSE(E235,GrowLo,GrowMid,GrowHi)</f>
        <v>0.04</v>
      </c>
      <c r="G235" s="20" t="n">
        <v>5</v>
      </c>
      <c r="H235" s="18" t="n">
        <f aca="false">INDEX(C_Price,A235)</f>
        <v>24.2</v>
      </c>
      <c r="I235" s="18" t="n">
        <f aca="false">INDEX(C_Jeonse,A235)</f>
        <v>12.584</v>
      </c>
      <c r="J235" s="21" t="n">
        <f aca="false">IF(C235=5,0,IF(C235=1,INDEX(C_Loan,A235),IF(C235=2,INDEX(C_Loan,A235)*LoanShare2,IF(C235=3,0,MIN(INDEX(C_Loan,A235),I235)))))</f>
        <v>4</v>
      </c>
      <c r="K235" s="18" t="n">
        <f aca="false">IF(C235=5,0,INDEX(C_Acq,A235))</f>
        <v>0.7986</v>
      </c>
      <c r="L235" s="18" t="n">
        <f aca="false">IF(C235=5,0,INDEX(C_Fee,A235))</f>
        <v>0.20634</v>
      </c>
      <c r="M235" s="21" t="n">
        <f aca="false">IF(C235=4,MAX(0,I235-J235),0)</f>
        <v>8.584</v>
      </c>
      <c r="N235" s="21" t="n">
        <f aca="false">IF(C235=5,I235,IF(C235=4,(H235-I235)+K235+L235+M235,H235-J235+K235+L235))</f>
        <v>21.20494</v>
      </c>
      <c r="O235" s="20" t="n">
        <f aca="false">IF(C235=4,RentYears,0)</f>
        <v>2</v>
      </c>
      <c r="P235" s="20" t="n">
        <f aca="false">IF(C235=5,0,MAX(0,G235-O235-NonRes))</f>
        <v>3</v>
      </c>
      <c r="Q235" s="21" t="n">
        <f aca="false">IF(C235=5,0,H235*(1+F235)^G235)</f>
        <v>29.44300023808</v>
      </c>
      <c r="R235" s="21" t="n">
        <f aca="false">IF(C235=5,0,Q235*LOOKUP(Q235,FeeLo,FeeR)*(1+VAT))</f>
        <v>0.226711101833216</v>
      </c>
      <c r="S235" s="21" t="n">
        <f aca="false">IF(J235&gt;0,-CUMIPMT(Rm,LoanYears*12,J235,1,(G235-O235)*12,0),0)</f>
        <v>0.467427048612969</v>
      </c>
      <c r="T235" s="29" t="n">
        <f aca="false">IF(C235=5,0,SUMIFS(Sch_Total,Sch_Idx,A235,Sch_Scen,E235,Sch_Year,"&lt;="&amp;G235))</f>
        <v>0.416504645976269</v>
      </c>
      <c r="U235" s="21" t="n">
        <f aca="false">K235+L235+R235</f>
        <v>1.23165110183322</v>
      </c>
      <c r="V235" s="21" t="n">
        <f aca="false">IF(C235=5,0,Q235-H235-U235)</f>
        <v>4.01134913624679</v>
      </c>
      <c r="W235" s="21" t="n">
        <f aca="false">IF(C235=5,0,MAX(0,IF(P235&gt;=2,IF(Q235&gt;Exempt,V235*(Q235-Exempt)/Q235,0),V235)))</f>
        <v>2.37645495950781</v>
      </c>
      <c r="X235" s="10" t="n">
        <f aca="false">IF(P235&gt;=2,MIN(MaxDed,MIN(0.4,HoldRate*G235)+MIN(0.4,LiveRate*P235)),IF(G235&gt;=3,MIN(0.3,0.02*G235),0))</f>
        <v>0.32</v>
      </c>
      <c r="Y235" s="21" t="n">
        <f aca="false">MAX(0,W235*(1-X235)-InitDed)</f>
        <v>1.59098937246531</v>
      </c>
      <c r="Z235" s="29" t="n">
        <f aca="false">SUMPRODUCT((Y235&gt;CLo)*(Y235-CLo)*CD)*(1+LocalTax)</f>
        <v>0.445693557690499</v>
      </c>
      <c r="AA235" s="21" t="n">
        <f aca="false">K235+T235+Z235</f>
        <v>1.66079820366677</v>
      </c>
      <c r="AB235" s="29" t="n">
        <f aca="false">IF(C235=5,0,(Q235-H235)-K235-L235-R235-S235-T235-Z235)</f>
        <v>2.68172388396705</v>
      </c>
      <c r="AC235" s="21" t="n">
        <f aca="false">IF(C235=5,0,N235*((1+DepRate*(1-DepTax))^G235-1))</f>
        <v>2.83100820002116</v>
      </c>
      <c r="AD235" s="29" t="n">
        <f aca="false">IF(C235=5,0,AB235-AC235+I235*(((1+DepRate*(1-DepTax))^G235-1)-((1+DepRate*(1-DepTax))^O235-1)))</f>
        <v>0.883898182275919</v>
      </c>
      <c r="AE235" s="30" t="n">
        <f aca="false">IF(J235&gt;0,-PMT(Rm,LoanYears*12,J235)*10000,0)</f>
        <v>190.966118186184</v>
      </c>
      <c r="AF235" s="21" t="n">
        <f aca="false">IF(J235&gt;0,-PMT((Rate+Stress)/12,LoanYears*12,J235)*12/DSR,0)</f>
        <v>0.79836299421502</v>
      </c>
      <c r="AG235" s="20" t="n">
        <f aca="false">IF(N235&lt;=CapA,1,0)</f>
        <v>0</v>
      </c>
      <c r="AH235" s="20" t="n">
        <f aca="false">IF(N235&lt;=CapB,1,0)</f>
        <v>0</v>
      </c>
      <c r="AI235" s="20" t="n">
        <f aca="false">IF(N235&lt;=CapC,1,0)</f>
        <v>0</v>
      </c>
      <c r="AJ235" s="21" t="n">
        <f aca="false">IF(AG235=1,AD235,-999)</f>
        <v>-999</v>
      </c>
      <c r="AK235" s="21" t="n">
        <f aca="false">IF(AH235=1,AD235,-999)</f>
        <v>-999</v>
      </c>
      <c r="AL235" s="21" t="n">
        <f aca="false">IF(AI235=1,AD235,-999)</f>
        <v>-999</v>
      </c>
      <c r="AM235" s="21" t="str">
        <f aca="false">C235&amp;"|"&amp;E235&amp;"|"&amp;G235&amp;"|"&amp;TEXT(AJ235,"0.00000")</f>
        <v>4|2|5|-999.00000</v>
      </c>
      <c r="AN235" s="21" t="str">
        <f aca="false">C235&amp;"|"&amp;E235&amp;"|"&amp;G235&amp;"|"&amp;TEXT(AK235,"0.00000")</f>
        <v>4|2|5|-999.00000</v>
      </c>
      <c r="AO235" s="21" t="str">
        <f aca="false">C235&amp;"|"&amp;E235&amp;"|"&amp;G235&amp;"|"&amp;TEXT(AL235,"0.00000")</f>
        <v>4|2|5|-999.00000</v>
      </c>
    </row>
    <row r="236" customFormat="false" ht="15" hidden="false" customHeight="false" outlineLevel="0" collapsed="false">
      <c r="A236" s="20" t="n">
        <v>8</v>
      </c>
      <c r="B236" s="18" t="str">
        <f aca="false">INDEX(C_Name,A236)</f>
        <v>본동 래미안트윈파크 (32평형)</v>
      </c>
      <c r="C236" s="20" t="n">
        <v>4</v>
      </c>
      <c r="D236" s="21" t="str">
        <f aca="false">CHOOSE(C236,"1안 표준형(대출 최대)","2안 절충형(대출 50%)","3안 무대출형","4안 임대차 승계 후 입주","5안 매수 보류(전세 거주)")</f>
        <v>4안 임대차 승계 후 입주</v>
      </c>
      <c r="E236" s="20" t="n">
        <v>2</v>
      </c>
      <c r="F236" s="10" t="n">
        <f aca="false">CHOOSE(E236,GrowLo,GrowMid,GrowHi)</f>
        <v>0.04</v>
      </c>
      <c r="G236" s="20" t="n">
        <v>10</v>
      </c>
      <c r="H236" s="18" t="n">
        <f aca="false">INDEX(C_Price,A236)</f>
        <v>24.2</v>
      </c>
      <c r="I236" s="18" t="n">
        <f aca="false">INDEX(C_Jeonse,A236)</f>
        <v>12.584</v>
      </c>
      <c r="J236" s="21" t="n">
        <f aca="false">IF(C236=5,0,IF(C236=1,INDEX(C_Loan,A236),IF(C236=2,INDEX(C_Loan,A236)*LoanShare2,IF(C236=3,0,MIN(INDEX(C_Loan,A236),I236)))))</f>
        <v>4</v>
      </c>
      <c r="K236" s="18" t="n">
        <f aca="false">IF(C236=5,0,INDEX(C_Acq,A236))</f>
        <v>0.7986</v>
      </c>
      <c r="L236" s="18" t="n">
        <f aca="false">IF(C236=5,0,INDEX(C_Fee,A236))</f>
        <v>0.20634</v>
      </c>
      <c r="M236" s="21" t="n">
        <f aca="false">IF(C236=4,MAX(0,I236-J236),0)</f>
        <v>8.584</v>
      </c>
      <c r="N236" s="21" t="n">
        <f aca="false">IF(C236=5,I236,IF(C236=4,(H236-I236)+K236+L236+M236,H236-J236+K236+L236))</f>
        <v>21.20494</v>
      </c>
      <c r="O236" s="20" t="n">
        <f aca="false">IF(C236=4,RentYears,0)</f>
        <v>2</v>
      </c>
      <c r="P236" s="20" t="n">
        <f aca="false">IF(C236=5,0,MAX(0,G236-O236-NonRes))</f>
        <v>8</v>
      </c>
      <c r="Q236" s="21" t="n">
        <f aca="false">IF(C236=5,0,H236*(1+F236)^G236)</f>
        <v>35.8219116950239</v>
      </c>
      <c r="R236" s="21" t="n">
        <f aca="false">IF(C236=5,0,Q236*LOOKUP(Q236,FeeLo,FeeR)*(1+VAT))</f>
        <v>0.275828720051684</v>
      </c>
      <c r="S236" s="21" t="n">
        <f aca="false">IF(J236&gt;0,-CUMIPMT(Rm,LoanYears*12,J236,1,(G236-O236)*12,0),0)</f>
        <v>1.18249376679461</v>
      </c>
      <c r="T236" s="29" t="n">
        <f aca="false">IF(C236=5,0,SUMIFS(Sch_Total,Sch_Idx,A236,Sch_Scen,E236,Sch_Year,"&lt;="&amp;G236))</f>
        <v>1.00987862179362</v>
      </c>
      <c r="U236" s="21" t="n">
        <f aca="false">K236+L236+R236</f>
        <v>1.28076872005168</v>
      </c>
      <c r="V236" s="21" t="n">
        <f aca="false">IF(C236=5,0,Q236-H236-U236)</f>
        <v>10.3411429749723</v>
      </c>
      <c r="W236" s="21" t="n">
        <f aca="false">IF(C236=5,0,MAX(0,IF(P236&gt;=2,IF(Q236&gt;Exempt,V236*(Q236-Exempt)/Q236,0),V236)))</f>
        <v>6.87695835087512</v>
      </c>
      <c r="X236" s="10" t="n">
        <f aca="false">IF(P236&gt;=2,MIN(MaxDed,MIN(0.4,HoldRate*G236)+MIN(0.4,LiveRate*P236)),IF(G236&gt;=3,MIN(0.3,0.02*G236),0))</f>
        <v>0.72</v>
      </c>
      <c r="Y236" s="21" t="n">
        <f aca="false">MAX(0,W236*(1-X236)-InitDed)</f>
        <v>1.90054833824503</v>
      </c>
      <c r="Z236" s="29" t="n">
        <f aca="false">SUMPRODUCT((Y236&gt;CLo)*(Y236-CLo)*CD)*(1+LocalTax)</f>
        <v>0.575089205386425</v>
      </c>
      <c r="AA236" s="21" t="n">
        <f aca="false">K236+T236+Z236</f>
        <v>2.38356782718005</v>
      </c>
      <c r="AB236" s="29" t="n">
        <f aca="false">IF(C236=5,0,(Q236-H236)-K236-L236-R236-S236-T236-Z236)</f>
        <v>7.57368138099759</v>
      </c>
      <c r="AC236" s="21" t="n">
        <f aca="false">IF(C236=5,0,N236*((1+DepRate*(1-DepTax))^G236-1))</f>
        <v>6.03997584857586</v>
      </c>
      <c r="AD236" s="29" t="n">
        <f aca="false">IF(C236=5,0,AB236-AC236+I236*(((1+DepRate*(1-DepTax))^G236-1)-((1+DepRate*(1-DepTax))^O236-1)))</f>
        <v>4.47123903997</v>
      </c>
      <c r="AE236" s="30" t="n">
        <f aca="false">IF(J236&gt;0,-PMT(Rm,LoanYears*12,J236)*10000,0)</f>
        <v>190.966118186184</v>
      </c>
      <c r="AF236" s="21" t="n">
        <f aca="false">IF(J236&gt;0,-PMT((Rate+Stress)/12,LoanYears*12,J236)*12/DSR,0)</f>
        <v>0.79836299421502</v>
      </c>
      <c r="AG236" s="20" t="n">
        <f aca="false">IF(N236&lt;=CapA,1,0)</f>
        <v>0</v>
      </c>
      <c r="AH236" s="20" t="n">
        <f aca="false">IF(N236&lt;=CapB,1,0)</f>
        <v>0</v>
      </c>
      <c r="AI236" s="20" t="n">
        <f aca="false">IF(N236&lt;=CapC,1,0)</f>
        <v>0</v>
      </c>
      <c r="AJ236" s="21" t="n">
        <f aca="false">IF(AG236=1,AD236,-999)</f>
        <v>-999</v>
      </c>
      <c r="AK236" s="21" t="n">
        <f aca="false">IF(AH236=1,AD236,-999)</f>
        <v>-999</v>
      </c>
      <c r="AL236" s="21" t="n">
        <f aca="false">IF(AI236=1,AD236,-999)</f>
        <v>-999</v>
      </c>
      <c r="AM236" s="21" t="str">
        <f aca="false">C236&amp;"|"&amp;E236&amp;"|"&amp;G236&amp;"|"&amp;TEXT(AJ236,"0.00000")</f>
        <v>4|2|10|-999.00000</v>
      </c>
      <c r="AN236" s="21" t="str">
        <f aca="false">C236&amp;"|"&amp;E236&amp;"|"&amp;G236&amp;"|"&amp;TEXT(AK236,"0.00000")</f>
        <v>4|2|10|-999.00000</v>
      </c>
      <c r="AO236" s="21" t="str">
        <f aca="false">C236&amp;"|"&amp;E236&amp;"|"&amp;G236&amp;"|"&amp;TEXT(AL236,"0.00000")</f>
        <v>4|2|10|-999.00000</v>
      </c>
    </row>
    <row r="237" customFormat="false" ht="15" hidden="false" customHeight="false" outlineLevel="0" collapsed="false">
      <c r="A237" s="20" t="n">
        <v>8</v>
      </c>
      <c r="B237" s="18" t="str">
        <f aca="false">INDEX(C_Name,A237)</f>
        <v>본동 래미안트윈파크 (32평형)</v>
      </c>
      <c r="C237" s="20" t="n">
        <v>4</v>
      </c>
      <c r="D237" s="21" t="str">
        <f aca="false">CHOOSE(C237,"1안 표준형(대출 최대)","2안 절충형(대출 50%)","3안 무대출형","4안 임대차 승계 후 입주","5안 매수 보류(전세 거주)")</f>
        <v>4안 임대차 승계 후 입주</v>
      </c>
      <c r="E237" s="20" t="n">
        <v>3</v>
      </c>
      <c r="F237" s="10" t="n">
        <f aca="false">CHOOSE(E237,GrowLo,GrowMid,GrowHi)</f>
        <v>0.06</v>
      </c>
      <c r="G237" s="20" t="n">
        <v>5</v>
      </c>
      <c r="H237" s="18" t="n">
        <f aca="false">INDEX(C_Price,A237)</f>
        <v>24.2</v>
      </c>
      <c r="I237" s="18" t="n">
        <f aca="false">INDEX(C_Jeonse,A237)</f>
        <v>12.584</v>
      </c>
      <c r="J237" s="21" t="n">
        <f aca="false">IF(C237=5,0,IF(C237=1,INDEX(C_Loan,A237),IF(C237=2,INDEX(C_Loan,A237)*LoanShare2,IF(C237=3,0,MIN(INDEX(C_Loan,A237),I237)))))</f>
        <v>4</v>
      </c>
      <c r="K237" s="18" t="n">
        <f aca="false">IF(C237=5,0,INDEX(C_Acq,A237))</f>
        <v>0.7986</v>
      </c>
      <c r="L237" s="18" t="n">
        <f aca="false">IF(C237=5,0,INDEX(C_Fee,A237))</f>
        <v>0.20634</v>
      </c>
      <c r="M237" s="21" t="n">
        <f aca="false">IF(C237=4,MAX(0,I237-J237),0)</f>
        <v>8.584</v>
      </c>
      <c r="N237" s="21" t="n">
        <f aca="false">IF(C237=5,I237,IF(C237=4,(H237-I237)+K237+L237+M237,H237-J237+K237+L237))</f>
        <v>21.20494</v>
      </c>
      <c r="O237" s="20" t="n">
        <f aca="false">IF(C237=4,RentYears,0)</f>
        <v>2</v>
      </c>
      <c r="P237" s="20" t="n">
        <f aca="false">IF(C237=5,0,MAX(0,G237-O237-NonRes))</f>
        <v>3</v>
      </c>
      <c r="Q237" s="21" t="n">
        <f aca="false">IF(C237=5,0,H237*(1+F237)^G237)</f>
        <v>32.38505897792</v>
      </c>
      <c r="R237" s="21" t="n">
        <f aca="false">IF(C237=5,0,Q237*LOOKUP(Q237,FeeLo,FeeR)*(1+VAT))</f>
        <v>0.249364954129984</v>
      </c>
      <c r="S237" s="21" t="n">
        <f aca="false">IF(J237&gt;0,-CUMIPMT(Rm,LoanYears*12,J237,1,(G237-O237)*12,0),0)</f>
        <v>0.467427048612969</v>
      </c>
      <c r="T237" s="29" t="n">
        <f aca="false">IF(C237=5,0,SUMIFS(Sch_Total,Sch_Idx,A237,Sch_Scen,E237,Sch_Year,"&lt;="&amp;G237))</f>
        <v>0.448797721435661</v>
      </c>
      <c r="U237" s="21" t="n">
        <f aca="false">K237+L237+R237</f>
        <v>1.25430495412998</v>
      </c>
      <c r="V237" s="21" t="n">
        <f aca="false">IF(C237=5,0,Q237-H237-U237)</f>
        <v>6.93075402379002</v>
      </c>
      <c r="W237" s="21" t="n">
        <f aca="false">IF(C237=5,0,MAX(0,IF(P237&gt;=2,IF(Q237&gt;Exempt,V237*(Q237-Exempt)/Q237,0),V237)))</f>
        <v>4.36262381466536</v>
      </c>
      <c r="X237" s="10" t="n">
        <f aca="false">IF(P237&gt;=2,MIN(MaxDed,MIN(0.4,HoldRate*G237)+MIN(0.4,LiveRate*P237)),IF(G237&gt;=3,MIN(0.3,0.02*G237),0))</f>
        <v>0.32</v>
      </c>
      <c r="Y237" s="21" t="n">
        <f aca="false">MAX(0,W237*(1-X237)-InitDed)</f>
        <v>2.94158419397244</v>
      </c>
      <c r="Z237" s="29" t="n">
        <f aca="false">SUMPRODUCT((Y237&gt;CLo)*(Y237-CLo)*CD)*(1+LocalTax)</f>
        <v>1.01024219308048</v>
      </c>
      <c r="AA237" s="21" t="n">
        <f aca="false">K237+T237+Z237</f>
        <v>2.25763991451614</v>
      </c>
      <c r="AB237" s="29" t="n">
        <f aca="false">IF(C237=5,0,(Q237-H237)-K237-L237-R237-S237-T237-Z237)</f>
        <v>5.00428706066091</v>
      </c>
      <c r="AC237" s="21" t="n">
        <f aca="false">IF(C237=5,0,N237*((1+DepRate*(1-DepTax))^G237-1))</f>
        <v>2.83100820002116</v>
      </c>
      <c r="AD237" s="29" t="n">
        <f aca="false">IF(C237=5,0,AB237-AC237+I237*(((1+DepRate*(1-DepTax))^G237-1)-((1+DepRate*(1-DepTax))^O237-1)))</f>
        <v>3.20646135896978</v>
      </c>
      <c r="AE237" s="30" t="n">
        <f aca="false">IF(J237&gt;0,-PMT(Rm,LoanYears*12,J237)*10000,0)</f>
        <v>190.966118186184</v>
      </c>
      <c r="AF237" s="21" t="n">
        <f aca="false">IF(J237&gt;0,-PMT((Rate+Stress)/12,LoanYears*12,J237)*12/DSR,0)</f>
        <v>0.79836299421502</v>
      </c>
      <c r="AG237" s="20" t="n">
        <f aca="false">IF(N237&lt;=CapA,1,0)</f>
        <v>0</v>
      </c>
      <c r="AH237" s="20" t="n">
        <f aca="false">IF(N237&lt;=CapB,1,0)</f>
        <v>0</v>
      </c>
      <c r="AI237" s="20" t="n">
        <f aca="false">IF(N237&lt;=CapC,1,0)</f>
        <v>0</v>
      </c>
      <c r="AJ237" s="21" t="n">
        <f aca="false">IF(AG237=1,AD237,-999)</f>
        <v>-999</v>
      </c>
      <c r="AK237" s="21" t="n">
        <f aca="false">IF(AH237=1,AD237,-999)</f>
        <v>-999</v>
      </c>
      <c r="AL237" s="21" t="n">
        <f aca="false">IF(AI237=1,AD237,-999)</f>
        <v>-999</v>
      </c>
      <c r="AM237" s="21" t="str">
        <f aca="false">C237&amp;"|"&amp;E237&amp;"|"&amp;G237&amp;"|"&amp;TEXT(AJ237,"0.00000")</f>
        <v>4|3|5|-999.00000</v>
      </c>
      <c r="AN237" s="21" t="str">
        <f aca="false">C237&amp;"|"&amp;E237&amp;"|"&amp;G237&amp;"|"&amp;TEXT(AK237,"0.00000")</f>
        <v>4|3|5|-999.00000</v>
      </c>
      <c r="AO237" s="21" t="str">
        <f aca="false">C237&amp;"|"&amp;E237&amp;"|"&amp;G237&amp;"|"&amp;TEXT(AL237,"0.00000")</f>
        <v>4|3|5|-999.00000</v>
      </c>
    </row>
    <row r="238" customFormat="false" ht="15" hidden="false" customHeight="false" outlineLevel="0" collapsed="false">
      <c r="A238" s="20" t="n">
        <v>8</v>
      </c>
      <c r="B238" s="18" t="str">
        <f aca="false">INDEX(C_Name,A238)</f>
        <v>본동 래미안트윈파크 (32평형)</v>
      </c>
      <c r="C238" s="20" t="n">
        <v>4</v>
      </c>
      <c r="D238" s="21" t="str">
        <f aca="false">CHOOSE(C238,"1안 표준형(대출 최대)","2안 절충형(대출 50%)","3안 무대출형","4안 임대차 승계 후 입주","5안 매수 보류(전세 거주)")</f>
        <v>4안 임대차 승계 후 입주</v>
      </c>
      <c r="E238" s="20" t="n">
        <v>3</v>
      </c>
      <c r="F238" s="10" t="n">
        <f aca="false">CHOOSE(E238,GrowLo,GrowMid,GrowHi)</f>
        <v>0.06</v>
      </c>
      <c r="G238" s="20" t="n">
        <v>10</v>
      </c>
      <c r="H238" s="18" t="n">
        <f aca="false">INDEX(C_Price,A238)</f>
        <v>24.2</v>
      </c>
      <c r="I238" s="18" t="n">
        <f aca="false">INDEX(C_Jeonse,A238)</f>
        <v>12.584</v>
      </c>
      <c r="J238" s="21" t="n">
        <f aca="false">IF(C238=5,0,IF(C238=1,INDEX(C_Loan,A238),IF(C238=2,INDEX(C_Loan,A238)*LoanShare2,IF(C238=3,0,MIN(INDEX(C_Loan,A238),I238)))))</f>
        <v>4</v>
      </c>
      <c r="K238" s="18" t="n">
        <f aca="false">IF(C238=5,0,INDEX(C_Acq,A238))</f>
        <v>0.7986</v>
      </c>
      <c r="L238" s="18" t="n">
        <f aca="false">IF(C238=5,0,INDEX(C_Fee,A238))</f>
        <v>0.20634</v>
      </c>
      <c r="M238" s="21" t="n">
        <f aca="false">IF(C238=4,MAX(0,I238-J238),0)</f>
        <v>8.584</v>
      </c>
      <c r="N238" s="21" t="n">
        <f aca="false">IF(C238=5,I238,IF(C238=4,(H238-I238)+K238+L238+M238,H238-J238+K238+L238))</f>
        <v>21.20494</v>
      </c>
      <c r="O238" s="20" t="n">
        <f aca="false">IF(C238=4,RentYears,0)</f>
        <v>2</v>
      </c>
      <c r="P238" s="20" t="n">
        <f aca="false">IF(C238=5,0,MAX(0,G238-O238-NonRes))</f>
        <v>8</v>
      </c>
      <c r="Q238" s="21" t="n">
        <f aca="false">IF(C238=5,0,H238*(1+F238)^G238)</f>
        <v>43.3385142563371</v>
      </c>
      <c r="R238" s="21" t="n">
        <f aca="false">IF(C238=5,0,Q238*LOOKUP(Q238,FeeLo,FeeR)*(1+VAT))</f>
        <v>0.333706559773796</v>
      </c>
      <c r="S238" s="21" t="n">
        <f aca="false">IF(J238&gt;0,-CUMIPMT(Rm,LoanYears*12,J238,1,(G238-O238)*12,0),0)</f>
        <v>1.18249376679461</v>
      </c>
      <c r="T238" s="29" t="n">
        <f aca="false">IF(C238=5,0,SUMIFS(Sch_Total,Sch_Idx,A238,Sch_Scen,E238,Sch_Year,"&lt;="&amp;G238))</f>
        <v>1.21053263529928</v>
      </c>
      <c r="U238" s="21" t="n">
        <f aca="false">K238+L238+R238</f>
        <v>1.3386465597738</v>
      </c>
      <c r="V238" s="21" t="n">
        <f aca="false">IF(C238=5,0,Q238-H238-U238)</f>
        <v>17.7998676965633</v>
      </c>
      <c r="W238" s="21" t="n">
        <f aca="false">IF(C238=5,0,MAX(0,IF(P238&gt;=2,IF(Q238&gt;Exempt,V238*(Q238-Exempt)/Q238,0),V238)))</f>
        <v>12.8712628280305</v>
      </c>
      <c r="X238" s="10" t="n">
        <f aca="false">IF(P238&gt;=2,MIN(MaxDed,MIN(0.4,HoldRate*G238)+MIN(0.4,LiveRate*P238)),IF(G238&gt;=3,MIN(0.3,0.02*G238),0))</f>
        <v>0.72</v>
      </c>
      <c r="Y238" s="21" t="n">
        <f aca="false">MAX(0,W238*(1-X238)-InitDed)</f>
        <v>3.57895359184855</v>
      </c>
      <c r="Z238" s="29" t="n">
        <f aca="false">SUMPRODUCT((Y238&gt;CLo)*(Y238-CLo)*CD)*(1+LocalTax)</f>
        <v>1.28939958041336</v>
      </c>
      <c r="AA238" s="21" t="n">
        <f aca="false">K238+T238+Z238</f>
        <v>3.29853221571264</v>
      </c>
      <c r="AB238" s="29" t="n">
        <f aca="false">IF(C238=5,0,(Q238-H238)-K238-L238-R238-S238-T238-Z238)</f>
        <v>14.117441714056</v>
      </c>
      <c r="AC238" s="21" t="n">
        <f aca="false">IF(C238=5,0,N238*((1+DepRate*(1-DepTax))^G238-1))</f>
        <v>6.03997584857586</v>
      </c>
      <c r="AD238" s="29" t="n">
        <f aca="false">IF(C238=5,0,AB238-AC238+I238*(((1+DepRate*(1-DepTax))^G238-1)-((1+DepRate*(1-DepTax))^O238-1)))</f>
        <v>11.0149993730284</v>
      </c>
      <c r="AE238" s="30" t="n">
        <f aca="false">IF(J238&gt;0,-PMT(Rm,LoanYears*12,J238)*10000,0)</f>
        <v>190.966118186184</v>
      </c>
      <c r="AF238" s="21" t="n">
        <f aca="false">IF(J238&gt;0,-PMT((Rate+Stress)/12,LoanYears*12,J238)*12/DSR,0)</f>
        <v>0.79836299421502</v>
      </c>
      <c r="AG238" s="20" t="n">
        <f aca="false">IF(N238&lt;=CapA,1,0)</f>
        <v>0</v>
      </c>
      <c r="AH238" s="20" t="n">
        <f aca="false">IF(N238&lt;=CapB,1,0)</f>
        <v>0</v>
      </c>
      <c r="AI238" s="20" t="n">
        <f aca="false">IF(N238&lt;=CapC,1,0)</f>
        <v>0</v>
      </c>
      <c r="AJ238" s="21" t="n">
        <f aca="false">IF(AG238=1,AD238,-999)</f>
        <v>-999</v>
      </c>
      <c r="AK238" s="21" t="n">
        <f aca="false">IF(AH238=1,AD238,-999)</f>
        <v>-999</v>
      </c>
      <c r="AL238" s="21" t="n">
        <f aca="false">IF(AI238=1,AD238,-999)</f>
        <v>-999</v>
      </c>
      <c r="AM238" s="21" t="str">
        <f aca="false">C238&amp;"|"&amp;E238&amp;"|"&amp;G238&amp;"|"&amp;TEXT(AJ238,"0.00000")</f>
        <v>4|3|10|-999.00000</v>
      </c>
      <c r="AN238" s="21" t="str">
        <f aca="false">C238&amp;"|"&amp;E238&amp;"|"&amp;G238&amp;"|"&amp;TEXT(AK238,"0.00000")</f>
        <v>4|3|10|-999.00000</v>
      </c>
      <c r="AO238" s="21" t="str">
        <f aca="false">C238&amp;"|"&amp;E238&amp;"|"&amp;G238&amp;"|"&amp;TEXT(AL238,"0.00000")</f>
        <v>4|3|10|-999.00000</v>
      </c>
    </row>
    <row r="239" customFormat="false" ht="15" hidden="false" customHeight="false" outlineLevel="0" collapsed="false">
      <c r="A239" s="20" t="n">
        <v>8</v>
      </c>
      <c r="B239" s="18" t="str">
        <f aca="false">INDEX(C_Name,A239)</f>
        <v>본동 래미안트윈파크 (32평형)</v>
      </c>
      <c r="C239" s="20" t="n">
        <v>5</v>
      </c>
      <c r="D239" s="21" t="str">
        <f aca="false">CHOOSE(C239,"1안 표준형(대출 최대)","2안 절충형(대출 50%)","3안 무대출형","4안 임대차 승계 후 입주","5안 매수 보류(전세 거주)")</f>
        <v>5안 매수 보류(전세 거주)</v>
      </c>
      <c r="E239" s="20" t="n">
        <v>1</v>
      </c>
      <c r="F239" s="10" t="n">
        <f aca="false">CHOOSE(E239,GrowLo,GrowMid,GrowHi)</f>
        <v>0.02</v>
      </c>
      <c r="G239" s="20" t="n">
        <v>5</v>
      </c>
      <c r="H239" s="18" t="n">
        <f aca="false">INDEX(C_Price,A239)</f>
        <v>24.2</v>
      </c>
      <c r="I239" s="18" t="n">
        <f aca="false">INDEX(C_Jeonse,A239)</f>
        <v>12.584</v>
      </c>
      <c r="J239" s="21" t="n">
        <f aca="false">IF(C239=5,0,IF(C239=1,INDEX(C_Loan,A239),IF(C239=2,INDEX(C_Loan,A239)*LoanShare2,IF(C239=3,0,MIN(INDEX(C_Loan,A239),I239)))))</f>
        <v>0</v>
      </c>
      <c r="K239" s="18" t="n">
        <f aca="false">IF(C239=5,0,INDEX(C_Acq,A239))</f>
        <v>0</v>
      </c>
      <c r="L239" s="18" t="n">
        <f aca="false">IF(C239=5,0,INDEX(C_Fee,A239))</f>
        <v>0</v>
      </c>
      <c r="M239" s="21" t="n">
        <f aca="false">IF(C239=4,MAX(0,I239-J239),0)</f>
        <v>0</v>
      </c>
      <c r="N239" s="21" t="n">
        <f aca="false">IF(C239=5,I239,IF(C239=4,(H239-I239)+K239+L239+M239,H239-J239+K239+L239))</f>
        <v>12.584</v>
      </c>
      <c r="O239" s="20" t="n">
        <f aca="false">IF(C239=4,RentYears,0)</f>
        <v>0</v>
      </c>
      <c r="P239" s="20" t="n">
        <f aca="false">IF(C239=5,0,MAX(0,G239-O239-NonRes))</f>
        <v>0</v>
      </c>
      <c r="Q239" s="21" t="n">
        <f aca="false">IF(C239=5,0,H239*(1+F239)^G239)</f>
        <v>0</v>
      </c>
      <c r="R239" s="21" t="n">
        <f aca="false">IF(C239=5,0,Q239*LOOKUP(Q239,FeeLo,FeeR)*(1+VAT))</f>
        <v>0</v>
      </c>
      <c r="S239" s="21" t="n">
        <f aca="false">IF(J239&gt;0,-CUMIPMT(Rm,LoanYears*12,J239,1,(G239-O239)*12,0),0)</f>
        <v>0</v>
      </c>
      <c r="T239" s="29" t="n">
        <f aca="false">IF(C239=5,0,SUMIFS(Sch_Total,Sch_Idx,A239,Sch_Scen,E239,Sch_Year,"&lt;="&amp;G239))</f>
        <v>0</v>
      </c>
      <c r="U239" s="21" t="n">
        <f aca="false">K239+L239+R239</f>
        <v>0</v>
      </c>
      <c r="V239" s="21" t="n">
        <f aca="false">IF(C239=5,0,Q239-H239-U239)</f>
        <v>0</v>
      </c>
      <c r="W239" s="21" t="n">
        <f aca="false">IF(C239=5,0,MAX(0,IF(P239&gt;=2,IF(Q239&gt;Exempt,V239*(Q239-Exempt)/Q239,0),V239)))</f>
        <v>0</v>
      </c>
      <c r="X239" s="10" t="n">
        <f aca="false">IF(P239&gt;=2,MIN(MaxDed,MIN(0.4,HoldRate*G239)+MIN(0.4,LiveRate*P239)),IF(G239&gt;=3,MIN(0.3,0.02*G239),0))</f>
        <v>0.1</v>
      </c>
      <c r="Y239" s="21" t="n">
        <f aca="false">MAX(0,W239*(1-X239)-InitDed)</f>
        <v>0</v>
      </c>
      <c r="Z239" s="29" t="n">
        <f aca="false">SUMPRODUCT((Y239&gt;CLo)*(Y239-CLo)*CD)*(1+LocalTax)</f>
        <v>0</v>
      </c>
      <c r="AA239" s="21" t="n">
        <f aca="false">K239+T239+Z239</f>
        <v>0</v>
      </c>
      <c r="AB239" s="29" t="n">
        <f aca="false">IF(C239=5,0,(Q239-H239)-K239-L239-R239-S239-T239-Z239)</f>
        <v>0</v>
      </c>
      <c r="AC239" s="21" t="n">
        <f aca="false">IF(C239=5,0,N239*((1+DepRate*(1-DepTax))^G239-1))</f>
        <v>0</v>
      </c>
      <c r="AD239" s="29" t="n">
        <f aca="false">IF(C239=5,0,AB239-AC239+I239*(((1+DepRate*(1-DepTax))^G239-1)-((1+DepRate*(1-DepTax))^O239-1)))</f>
        <v>0</v>
      </c>
      <c r="AE239" s="30" t="n">
        <f aca="false">IF(J239&gt;0,-PMT(Rm,LoanYears*12,J239)*10000,0)</f>
        <v>0</v>
      </c>
      <c r="AF239" s="21" t="n">
        <f aca="false">IF(J239&gt;0,-PMT((Rate+Stress)/12,LoanYears*12,J239)*12/DSR,0)</f>
        <v>0</v>
      </c>
      <c r="AG239" s="20" t="n">
        <f aca="false">IF(N239&lt;=CapA,1,0)</f>
        <v>0</v>
      </c>
      <c r="AH239" s="20" t="n">
        <f aca="false">IF(N239&lt;=CapB,1,0)</f>
        <v>1</v>
      </c>
      <c r="AI239" s="20" t="n">
        <f aca="false">IF(N239&lt;=CapC,1,0)</f>
        <v>1</v>
      </c>
      <c r="AJ239" s="21" t="n">
        <f aca="false">IF(AG239=1,AD239,-999)</f>
        <v>-999</v>
      </c>
      <c r="AK239" s="21" t="n">
        <f aca="false">IF(AH239=1,AD239,-999)</f>
        <v>0</v>
      </c>
      <c r="AL239" s="21" t="n">
        <f aca="false">IF(AI239=1,AD239,-999)</f>
        <v>0</v>
      </c>
      <c r="AM239" s="21" t="str">
        <f aca="false">C239&amp;"|"&amp;E239&amp;"|"&amp;G239&amp;"|"&amp;TEXT(AJ239,"0.00000")</f>
        <v>5|1|5|-999.00000</v>
      </c>
      <c r="AN239" s="21" t="str">
        <f aca="false">C239&amp;"|"&amp;E239&amp;"|"&amp;G239&amp;"|"&amp;TEXT(AK239,"0.00000")</f>
        <v>5|1|5|0.00000</v>
      </c>
      <c r="AO239" s="21" t="str">
        <f aca="false">C239&amp;"|"&amp;E239&amp;"|"&amp;G239&amp;"|"&amp;TEXT(AL239,"0.00000")</f>
        <v>5|1|5|0.00000</v>
      </c>
    </row>
    <row r="240" customFormat="false" ht="15" hidden="false" customHeight="false" outlineLevel="0" collapsed="false">
      <c r="A240" s="20" t="n">
        <v>8</v>
      </c>
      <c r="B240" s="18" t="str">
        <f aca="false">INDEX(C_Name,A240)</f>
        <v>본동 래미안트윈파크 (32평형)</v>
      </c>
      <c r="C240" s="20" t="n">
        <v>5</v>
      </c>
      <c r="D240" s="21" t="str">
        <f aca="false">CHOOSE(C240,"1안 표준형(대출 최대)","2안 절충형(대출 50%)","3안 무대출형","4안 임대차 승계 후 입주","5안 매수 보류(전세 거주)")</f>
        <v>5안 매수 보류(전세 거주)</v>
      </c>
      <c r="E240" s="20" t="n">
        <v>1</v>
      </c>
      <c r="F240" s="10" t="n">
        <f aca="false">CHOOSE(E240,GrowLo,GrowMid,GrowHi)</f>
        <v>0.02</v>
      </c>
      <c r="G240" s="20" t="n">
        <v>10</v>
      </c>
      <c r="H240" s="18" t="n">
        <f aca="false">INDEX(C_Price,A240)</f>
        <v>24.2</v>
      </c>
      <c r="I240" s="18" t="n">
        <f aca="false">INDEX(C_Jeonse,A240)</f>
        <v>12.584</v>
      </c>
      <c r="J240" s="21" t="n">
        <f aca="false">IF(C240=5,0,IF(C240=1,INDEX(C_Loan,A240),IF(C240=2,INDEX(C_Loan,A240)*LoanShare2,IF(C240=3,0,MIN(INDEX(C_Loan,A240),I240)))))</f>
        <v>0</v>
      </c>
      <c r="K240" s="18" t="n">
        <f aca="false">IF(C240=5,0,INDEX(C_Acq,A240))</f>
        <v>0</v>
      </c>
      <c r="L240" s="18" t="n">
        <f aca="false">IF(C240=5,0,INDEX(C_Fee,A240))</f>
        <v>0</v>
      </c>
      <c r="M240" s="21" t="n">
        <f aca="false">IF(C240=4,MAX(0,I240-J240),0)</f>
        <v>0</v>
      </c>
      <c r="N240" s="21" t="n">
        <f aca="false">IF(C240=5,I240,IF(C240=4,(H240-I240)+K240+L240+M240,H240-J240+K240+L240))</f>
        <v>12.584</v>
      </c>
      <c r="O240" s="20" t="n">
        <f aca="false">IF(C240=4,RentYears,0)</f>
        <v>0</v>
      </c>
      <c r="P240" s="20" t="n">
        <f aca="false">IF(C240=5,0,MAX(0,G240-O240-NonRes))</f>
        <v>0</v>
      </c>
      <c r="Q240" s="21" t="n">
        <f aca="false">IF(C240=5,0,H240*(1+F240)^G240)</f>
        <v>0</v>
      </c>
      <c r="R240" s="21" t="n">
        <f aca="false">IF(C240=5,0,Q240*LOOKUP(Q240,FeeLo,FeeR)*(1+VAT))</f>
        <v>0</v>
      </c>
      <c r="S240" s="21" t="n">
        <f aca="false">IF(J240&gt;0,-CUMIPMT(Rm,LoanYears*12,J240,1,(G240-O240)*12,0),0)</f>
        <v>0</v>
      </c>
      <c r="T240" s="29" t="n">
        <f aca="false">IF(C240=5,0,SUMIFS(Sch_Total,Sch_Idx,A240,Sch_Scen,E240,Sch_Year,"&lt;="&amp;G240))</f>
        <v>0</v>
      </c>
      <c r="U240" s="21" t="n">
        <f aca="false">K240+L240+R240</f>
        <v>0</v>
      </c>
      <c r="V240" s="21" t="n">
        <f aca="false">IF(C240=5,0,Q240-H240-U240)</f>
        <v>0</v>
      </c>
      <c r="W240" s="21" t="n">
        <f aca="false">IF(C240=5,0,MAX(0,IF(P240&gt;=2,IF(Q240&gt;Exempt,V240*(Q240-Exempt)/Q240,0),V240)))</f>
        <v>0</v>
      </c>
      <c r="X240" s="10" t="n">
        <f aca="false">IF(P240&gt;=2,MIN(MaxDed,MIN(0.4,HoldRate*G240)+MIN(0.4,LiveRate*P240)),IF(G240&gt;=3,MIN(0.3,0.02*G240),0))</f>
        <v>0.2</v>
      </c>
      <c r="Y240" s="21" t="n">
        <f aca="false">MAX(0,W240*(1-X240)-InitDed)</f>
        <v>0</v>
      </c>
      <c r="Z240" s="29" t="n">
        <f aca="false">SUMPRODUCT((Y240&gt;CLo)*(Y240-CLo)*CD)*(1+LocalTax)</f>
        <v>0</v>
      </c>
      <c r="AA240" s="21" t="n">
        <f aca="false">K240+T240+Z240</f>
        <v>0</v>
      </c>
      <c r="AB240" s="29" t="n">
        <f aca="false">IF(C240=5,0,(Q240-H240)-K240-L240-R240-S240-T240-Z240)</f>
        <v>0</v>
      </c>
      <c r="AC240" s="21" t="n">
        <f aca="false">IF(C240=5,0,N240*((1+DepRate*(1-DepTax))^G240-1))</f>
        <v>0</v>
      </c>
      <c r="AD240" s="29" t="n">
        <f aca="false">IF(C240=5,0,AB240-AC240+I240*(((1+DepRate*(1-DepTax))^G240-1)-((1+DepRate*(1-DepTax))^O240-1)))</f>
        <v>0</v>
      </c>
      <c r="AE240" s="30" t="n">
        <f aca="false">IF(J240&gt;0,-PMT(Rm,LoanYears*12,J240)*10000,0)</f>
        <v>0</v>
      </c>
      <c r="AF240" s="21" t="n">
        <f aca="false">IF(J240&gt;0,-PMT((Rate+Stress)/12,LoanYears*12,J240)*12/DSR,0)</f>
        <v>0</v>
      </c>
      <c r="AG240" s="20" t="n">
        <f aca="false">IF(N240&lt;=CapA,1,0)</f>
        <v>0</v>
      </c>
      <c r="AH240" s="20" t="n">
        <f aca="false">IF(N240&lt;=CapB,1,0)</f>
        <v>1</v>
      </c>
      <c r="AI240" s="20" t="n">
        <f aca="false">IF(N240&lt;=CapC,1,0)</f>
        <v>1</v>
      </c>
      <c r="AJ240" s="21" t="n">
        <f aca="false">IF(AG240=1,AD240,-999)</f>
        <v>-999</v>
      </c>
      <c r="AK240" s="21" t="n">
        <f aca="false">IF(AH240=1,AD240,-999)</f>
        <v>0</v>
      </c>
      <c r="AL240" s="21" t="n">
        <f aca="false">IF(AI240=1,AD240,-999)</f>
        <v>0</v>
      </c>
      <c r="AM240" s="21" t="str">
        <f aca="false">C240&amp;"|"&amp;E240&amp;"|"&amp;G240&amp;"|"&amp;TEXT(AJ240,"0.00000")</f>
        <v>5|1|10|-999.00000</v>
      </c>
      <c r="AN240" s="21" t="str">
        <f aca="false">C240&amp;"|"&amp;E240&amp;"|"&amp;G240&amp;"|"&amp;TEXT(AK240,"0.00000")</f>
        <v>5|1|10|0.00000</v>
      </c>
      <c r="AO240" s="21" t="str">
        <f aca="false">C240&amp;"|"&amp;E240&amp;"|"&amp;G240&amp;"|"&amp;TEXT(AL240,"0.00000")</f>
        <v>5|1|10|0.00000</v>
      </c>
    </row>
    <row r="241" customFormat="false" ht="15" hidden="false" customHeight="false" outlineLevel="0" collapsed="false">
      <c r="A241" s="20" t="n">
        <v>8</v>
      </c>
      <c r="B241" s="18" t="str">
        <f aca="false">INDEX(C_Name,A241)</f>
        <v>본동 래미안트윈파크 (32평형)</v>
      </c>
      <c r="C241" s="20" t="n">
        <v>5</v>
      </c>
      <c r="D241" s="21" t="str">
        <f aca="false">CHOOSE(C241,"1안 표준형(대출 최대)","2안 절충형(대출 50%)","3안 무대출형","4안 임대차 승계 후 입주","5안 매수 보류(전세 거주)")</f>
        <v>5안 매수 보류(전세 거주)</v>
      </c>
      <c r="E241" s="20" t="n">
        <v>2</v>
      </c>
      <c r="F241" s="10" t="n">
        <f aca="false">CHOOSE(E241,GrowLo,GrowMid,GrowHi)</f>
        <v>0.04</v>
      </c>
      <c r="G241" s="20" t="n">
        <v>5</v>
      </c>
      <c r="H241" s="18" t="n">
        <f aca="false">INDEX(C_Price,A241)</f>
        <v>24.2</v>
      </c>
      <c r="I241" s="18" t="n">
        <f aca="false">INDEX(C_Jeonse,A241)</f>
        <v>12.584</v>
      </c>
      <c r="J241" s="21" t="n">
        <f aca="false">IF(C241=5,0,IF(C241=1,INDEX(C_Loan,A241),IF(C241=2,INDEX(C_Loan,A241)*LoanShare2,IF(C241=3,0,MIN(INDEX(C_Loan,A241),I241)))))</f>
        <v>0</v>
      </c>
      <c r="K241" s="18" t="n">
        <f aca="false">IF(C241=5,0,INDEX(C_Acq,A241))</f>
        <v>0</v>
      </c>
      <c r="L241" s="18" t="n">
        <f aca="false">IF(C241=5,0,INDEX(C_Fee,A241))</f>
        <v>0</v>
      </c>
      <c r="M241" s="21" t="n">
        <f aca="false">IF(C241=4,MAX(0,I241-J241),0)</f>
        <v>0</v>
      </c>
      <c r="N241" s="21" t="n">
        <f aca="false">IF(C241=5,I241,IF(C241=4,(H241-I241)+K241+L241+M241,H241-J241+K241+L241))</f>
        <v>12.584</v>
      </c>
      <c r="O241" s="20" t="n">
        <f aca="false">IF(C241=4,RentYears,0)</f>
        <v>0</v>
      </c>
      <c r="P241" s="20" t="n">
        <f aca="false">IF(C241=5,0,MAX(0,G241-O241-NonRes))</f>
        <v>0</v>
      </c>
      <c r="Q241" s="21" t="n">
        <f aca="false">IF(C241=5,0,H241*(1+F241)^G241)</f>
        <v>0</v>
      </c>
      <c r="R241" s="21" t="n">
        <f aca="false">IF(C241=5,0,Q241*LOOKUP(Q241,FeeLo,FeeR)*(1+VAT))</f>
        <v>0</v>
      </c>
      <c r="S241" s="21" t="n">
        <f aca="false">IF(J241&gt;0,-CUMIPMT(Rm,LoanYears*12,J241,1,(G241-O241)*12,0),0)</f>
        <v>0</v>
      </c>
      <c r="T241" s="29" t="n">
        <f aca="false">IF(C241=5,0,SUMIFS(Sch_Total,Sch_Idx,A241,Sch_Scen,E241,Sch_Year,"&lt;="&amp;G241))</f>
        <v>0</v>
      </c>
      <c r="U241" s="21" t="n">
        <f aca="false">K241+L241+R241</f>
        <v>0</v>
      </c>
      <c r="V241" s="21" t="n">
        <f aca="false">IF(C241=5,0,Q241-H241-U241)</f>
        <v>0</v>
      </c>
      <c r="W241" s="21" t="n">
        <f aca="false">IF(C241=5,0,MAX(0,IF(P241&gt;=2,IF(Q241&gt;Exempt,V241*(Q241-Exempt)/Q241,0),V241)))</f>
        <v>0</v>
      </c>
      <c r="X241" s="10" t="n">
        <f aca="false">IF(P241&gt;=2,MIN(MaxDed,MIN(0.4,HoldRate*G241)+MIN(0.4,LiveRate*P241)),IF(G241&gt;=3,MIN(0.3,0.02*G241),0))</f>
        <v>0.1</v>
      </c>
      <c r="Y241" s="21" t="n">
        <f aca="false">MAX(0,W241*(1-X241)-InitDed)</f>
        <v>0</v>
      </c>
      <c r="Z241" s="29" t="n">
        <f aca="false">SUMPRODUCT((Y241&gt;CLo)*(Y241-CLo)*CD)*(1+LocalTax)</f>
        <v>0</v>
      </c>
      <c r="AA241" s="21" t="n">
        <f aca="false">K241+T241+Z241</f>
        <v>0</v>
      </c>
      <c r="AB241" s="29" t="n">
        <f aca="false">IF(C241=5,0,(Q241-H241)-K241-L241-R241-S241-T241-Z241)</f>
        <v>0</v>
      </c>
      <c r="AC241" s="21" t="n">
        <f aca="false">IF(C241=5,0,N241*((1+DepRate*(1-DepTax))^G241-1))</f>
        <v>0</v>
      </c>
      <c r="AD241" s="29" t="n">
        <f aca="false">IF(C241=5,0,AB241-AC241+I241*(((1+DepRate*(1-DepTax))^G241-1)-((1+DepRate*(1-DepTax))^O241-1)))</f>
        <v>0</v>
      </c>
      <c r="AE241" s="30" t="n">
        <f aca="false">IF(J241&gt;0,-PMT(Rm,LoanYears*12,J241)*10000,0)</f>
        <v>0</v>
      </c>
      <c r="AF241" s="21" t="n">
        <f aca="false">IF(J241&gt;0,-PMT((Rate+Stress)/12,LoanYears*12,J241)*12/DSR,0)</f>
        <v>0</v>
      </c>
      <c r="AG241" s="20" t="n">
        <f aca="false">IF(N241&lt;=CapA,1,0)</f>
        <v>0</v>
      </c>
      <c r="AH241" s="20" t="n">
        <f aca="false">IF(N241&lt;=CapB,1,0)</f>
        <v>1</v>
      </c>
      <c r="AI241" s="20" t="n">
        <f aca="false">IF(N241&lt;=CapC,1,0)</f>
        <v>1</v>
      </c>
      <c r="AJ241" s="21" t="n">
        <f aca="false">IF(AG241=1,AD241,-999)</f>
        <v>-999</v>
      </c>
      <c r="AK241" s="21" t="n">
        <f aca="false">IF(AH241=1,AD241,-999)</f>
        <v>0</v>
      </c>
      <c r="AL241" s="21" t="n">
        <f aca="false">IF(AI241=1,AD241,-999)</f>
        <v>0</v>
      </c>
      <c r="AM241" s="21" t="str">
        <f aca="false">C241&amp;"|"&amp;E241&amp;"|"&amp;G241&amp;"|"&amp;TEXT(AJ241,"0.00000")</f>
        <v>5|2|5|-999.00000</v>
      </c>
      <c r="AN241" s="21" t="str">
        <f aca="false">C241&amp;"|"&amp;E241&amp;"|"&amp;G241&amp;"|"&amp;TEXT(AK241,"0.00000")</f>
        <v>5|2|5|0.00000</v>
      </c>
      <c r="AO241" s="21" t="str">
        <f aca="false">C241&amp;"|"&amp;E241&amp;"|"&amp;G241&amp;"|"&amp;TEXT(AL241,"0.00000")</f>
        <v>5|2|5|0.00000</v>
      </c>
    </row>
    <row r="242" customFormat="false" ht="15" hidden="false" customHeight="false" outlineLevel="0" collapsed="false">
      <c r="A242" s="20" t="n">
        <v>8</v>
      </c>
      <c r="B242" s="18" t="str">
        <f aca="false">INDEX(C_Name,A242)</f>
        <v>본동 래미안트윈파크 (32평형)</v>
      </c>
      <c r="C242" s="20" t="n">
        <v>5</v>
      </c>
      <c r="D242" s="21" t="str">
        <f aca="false">CHOOSE(C242,"1안 표준형(대출 최대)","2안 절충형(대출 50%)","3안 무대출형","4안 임대차 승계 후 입주","5안 매수 보류(전세 거주)")</f>
        <v>5안 매수 보류(전세 거주)</v>
      </c>
      <c r="E242" s="20" t="n">
        <v>2</v>
      </c>
      <c r="F242" s="10" t="n">
        <f aca="false">CHOOSE(E242,GrowLo,GrowMid,GrowHi)</f>
        <v>0.04</v>
      </c>
      <c r="G242" s="20" t="n">
        <v>10</v>
      </c>
      <c r="H242" s="18" t="n">
        <f aca="false">INDEX(C_Price,A242)</f>
        <v>24.2</v>
      </c>
      <c r="I242" s="18" t="n">
        <f aca="false">INDEX(C_Jeonse,A242)</f>
        <v>12.584</v>
      </c>
      <c r="J242" s="21" t="n">
        <f aca="false">IF(C242=5,0,IF(C242=1,INDEX(C_Loan,A242),IF(C242=2,INDEX(C_Loan,A242)*LoanShare2,IF(C242=3,0,MIN(INDEX(C_Loan,A242),I242)))))</f>
        <v>0</v>
      </c>
      <c r="K242" s="18" t="n">
        <f aca="false">IF(C242=5,0,INDEX(C_Acq,A242))</f>
        <v>0</v>
      </c>
      <c r="L242" s="18" t="n">
        <f aca="false">IF(C242=5,0,INDEX(C_Fee,A242))</f>
        <v>0</v>
      </c>
      <c r="M242" s="21" t="n">
        <f aca="false">IF(C242=4,MAX(0,I242-J242),0)</f>
        <v>0</v>
      </c>
      <c r="N242" s="21" t="n">
        <f aca="false">IF(C242=5,I242,IF(C242=4,(H242-I242)+K242+L242+M242,H242-J242+K242+L242))</f>
        <v>12.584</v>
      </c>
      <c r="O242" s="20" t="n">
        <f aca="false">IF(C242=4,RentYears,0)</f>
        <v>0</v>
      </c>
      <c r="P242" s="20" t="n">
        <f aca="false">IF(C242=5,0,MAX(0,G242-O242-NonRes))</f>
        <v>0</v>
      </c>
      <c r="Q242" s="21" t="n">
        <f aca="false">IF(C242=5,0,H242*(1+F242)^G242)</f>
        <v>0</v>
      </c>
      <c r="R242" s="21" t="n">
        <f aca="false">IF(C242=5,0,Q242*LOOKUP(Q242,FeeLo,FeeR)*(1+VAT))</f>
        <v>0</v>
      </c>
      <c r="S242" s="21" t="n">
        <f aca="false">IF(J242&gt;0,-CUMIPMT(Rm,LoanYears*12,J242,1,(G242-O242)*12,0),0)</f>
        <v>0</v>
      </c>
      <c r="T242" s="29" t="n">
        <f aca="false">IF(C242=5,0,SUMIFS(Sch_Total,Sch_Idx,A242,Sch_Scen,E242,Sch_Year,"&lt;="&amp;G242))</f>
        <v>0</v>
      </c>
      <c r="U242" s="21" t="n">
        <f aca="false">K242+L242+R242</f>
        <v>0</v>
      </c>
      <c r="V242" s="21" t="n">
        <f aca="false">IF(C242=5,0,Q242-H242-U242)</f>
        <v>0</v>
      </c>
      <c r="W242" s="21" t="n">
        <f aca="false">IF(C242=5,0,MAX(0,IF(P242&gt;=2,IF(Q242&gt;Exempt,V242*(Q242-Exempt)/Q242,0),V242)))</f>
        <v>0</v>
      </c>
      <c r="X242" s="10" t="n">
        <f aca="false">IF(P242&gt;=2,MIN(MaxDed,MIN(0.4,HoldRate*G242)+MIN(0.4,LiveRate*P242)),IF(G242&gt;=3,MIN(0.3,0.02*G242),0))</f>
        <v>0.2</v>
      </c>
      <c r="Y242" s="21" t="n">
        <f aca="false">MAX(0,W242*(1-X242)-InitDed)</f>
        <v>0</v>
      </c>
      <c r="Z242" s="29" t="n">
        <f aca="false">SUMPRODUCT((Y242&gt;CLo)*(Y242-CLo)*CD)*(1+LocalTax)</f>
        <v>0</v>
      </c>
      <c r="AA242" s="21" t="n">
        <f aca="false">K242+T242+Z242</f>
        <v>0</v>
      </c>
      <c r="AB242" s="29" t="n">
        <f aca="false">IF(C242=5,0,(Q242-H242)-K242-L242-R242-S242-T242-Z242)</f>
        <v>0</v>
      </c>
      <c r="AC242" s="21" t="n">
        <f aca="false">IF(C242=5,0,N242*((1+DepRate*(1-DepTax))^G242-1))</f>
        <v>0</v>
      </c>
      <c r="AD242" s="29" t="n">
        <f aca="false">IF(C242=5,0,AB242-AC242+I242*(((1+DepRate*(1-DepTax))^G242-1)-((1+DepRate*(1-DepTax))^O242-1)))</f>
        <v>0</v>
      </c>
      <c r="AE242" s="30" t="n">
        <f aca="false">IF(J242&gt;0,-PMT(Rm,LoanYears*12,J242)*10000,0)</f>
        <v>0</v>
      </c>
      <c r="AF242" s="21" t="n">
        <f aca="false">IF(J242&gt;0,-PMT((Rate+Stress)/12,LoanYears*12,J242)*12/DSR,0)</f>
        <v>0</v>
      </c>
      <c r="AG242" s="20" t="n">
        <f aca="false">IF(N242&lt;=CapA,1,0)</f>
        <v>0</v>
      </c>
      <c r="AH242" s="20" t="n">
        <f aca="false">IF(N242&lt;=CapB,1,0)</f>
        <v>1</v>
      </c>
      <c r="AI242" s="20" t="n">
        <f aca="false">IF(N242&lt;=CapC,1,0)</f>
        <v>1</v>
      </c>
      <c r="AJ242" s="21" t="n">
        <f aca="false">IF(AG242=1,AD242,-999)</f>
        <v>-999</v>
      </c>
      <c r="AK242" s="21" t="n">
        <f aca="false">IF(AH242=1,AD242,-999)</f>
        <v>0</v>
      </c>
      <c r="AL242" s="21" t="n">
        <f aca="false">IF(AI242=1,AD242,-999)</f>
        <v>0</v>
      </c>
      <c r="AM242" s="21" t="str">
        <f aca="false">C242&amp;"|"&amp;E242&amp;"|"&amp;G242&amp;"|"&amp;TEXT(AJ242,"0.00000")</f>
        <v>5|2|10|-999.00000</v>
      </c>
      <c r="AN242" s="21" t="str">
        <f aca="false">C242&amp;"|"&amp;E242&amp;"|"&amp;G242&amp;"|"&amp;TEXT(AK242,"0.00000")</f>
        <v>5|2|10|0.00000</v>
      </c>
      <c r="AO242" s="21" t="str">
        <f aca="false">C242&amp;"|"&amp;E242&amp;"|"&amp;G242&amp;"|"&amp;TEXT(AL242,"0.00000")</f>
        <v>5|2|10|0.00000</v>
      </c>
    </row>
    <row r="243" customFormat="false" ht="15" hidden="false" customHeight="false" outlineLevel="0" collapsed="false">
      <c r="A243" s="20" t="n">
        <v>8</v>
      </c>
      <c r="B243" s="18" t="str">
        <f aca="false">INDEX(C_Name,A243)</f>
        <v>본동 래미안트윈파크 (32평형)</v>
      </c>
      <c r="C243" s="20" t="n">
        <v>5</v>
      </c>
      <c r="D243" s="21" t="str">
        <f aca="false">CHOOSE(C243,"1안 표준형(대출 최대)","2안 절충형(대출 50%)","3안 무대출형","4안 임대차 승계 후 입주","5안 매수 보류(전세 거주)")</f>
        <v>5안 매수 보류(전세 거주)</v>
      </c>
      <c r="E243" s="20" t="n">
        <v>3</v>
      </c>
      <c r="F243" s="10" t="n">
        <f aca="false">CHOOSE(E243,GrowLo,GrowMid,GrowHi)</f>
        <v>0.06</v>
      </c>
      <c r="G243" s="20" t="n">
        <v>5</v>
      </c>
      <c r="H243" s="18" t="n">
        <f aca="false">INDEX(C_Price,A243)</f>
        <v>24.2</v>
      </c>
      <c r="I243" s="18" t="n">
        <f aca="false">INDEX(C_Jeonse,A243)</f>
        <v>12.584</v>
      </c>
      <c r="J243" s="21" t="n">
        <f aca="false">IF(C243=5,0,IF(C243=1,INDEX(C_Loan,A243),IF(C243=2,INDEX(C_Loan,A243)*LoanShare2,IF(C243=3,0,MIN(INDEX(C_Loan,A243),I243)))))</f>
        <v>0</v>
      </c>
      <c r="K243" s="18" t="n">
        <f aca="false">IF(C243=5,0,INDEX(C_Acq,A243))</f>
        <v>0</v>
      </c>
      <c r="L243" s="18" t="n">
        <f aca="false">IF(C243=5,0,INDEX(C_Fee,A243))</f>
        <v>0</v>
      </c>
      <c r="M243" s="21" t="n">
        <f aca="false">IF(C243=4,MAX(0,I243-J243),0)</f>
        <v>0</v>
      </c>
      <c r="N243" s="21" t="n">
        <f aca="false">IF(C243=5,I243,IF(C243=4,(H243-I243)+K243+L243+M243,H243-J243+K243+L243))</f>
        <v>12.584</v>
      </c>
      <c r="O243" s="20" t="n">
        <f aca="false">IF(C243=4,RentYears,0)</f>
        <v>0</v>
      </c>
      <c r="P243" s="20" t="n">
        <f aca="false">IF(C243=5,0,MAX(0,G243-O243-NonRes))</f>
        <v>0</v>
      </c>
      <c r="Q243" s="21" t="n">
        <f aca="false">IF(C243=5,0,H243*(1+F243)^G243)</f>
        <v>0</v>
      </c>
      <c r="R243" s="21" t="n">
        <f aca="false">IF(C243=5,0,Q243*LOOKUP(Q243,FeeLo,FeeR)*(1+VAT))</f>
        <v>0</v>
      </c>
      <c r="S243" s="21" t="n">
        <f aca="false">IF(J243&gt;0,-CUMIPMT(Rm,LoanYears*12,J243,1,(G243-O243)*12,0),0)</f>
        <v>0</v>
      </c>
      <c r="T243" s="29" t="n">
        <f aca="false">IF(C243=5,0,SUMIFS(Sch_Total,Sch_Idx,A243,Sch_Scen,E243,Sch_Year,"&lt;="&amp;G243))</f>
        <v>0</v>
      </c>
      <c r="U243" s="21" t="n">
        <f aca="false">K243+L243+R243</f>
        <v>0</v>
      </c>
      <c r="V243" s="21" t="n">
        <f aca="false">IF(C243=5,0,Q243-H243-U243)</f>
        <v>0</v>
      </c>
      <c r="W243" s="21" t="n">
        <f aca="false">IF(C243=5,0,MAX(0,IF(P243&gt;=2,IF(Q243&gt;Exempt,V243*(Q243-Exempt)/Q243,0),V243)))</f>
        <v>0</v>
      </c>
      <c r="X243" s="10" t="n">
        <f aca="false">IF(P243&gt;=2,MIN(MaxDed,MIN(0.4,HoldRate*G243)+MIN(0.4,LiveRate*P243)),IF(G243&gt;=3,MIN(0.3,0.02*G243),0))</f>
        <v>0.1</v>
      </c>
      <c r="Y243" s="21" t="n">
        <f aca="false">MAX(0,W243*(1-X243)-InitDed)</f>
        <v>0</v>
      </c>
      <c r="Z243" s="29" t="n">
        <f aca="false">SUMPRODUCT((Y243&gt;CLo)*(Y243-CLo)*CD)*(1+LocalTax)</f>
        <v>0</v>
      </c>
      <c r="AA243" s="21" t="n">
        <f aca="false">K243+T243+Z243</f>
        <v>0</v>
      </c>
      <c r="AB243" s="29" t="n">
        <f aca="false">IF(C243=5,0,(Q243-H243)-K243-L243-R243-S243-T243-Z243)</f>
        <v>0</v>
      </c>
      <c r="AC243" s="21" t="n">
        <f aca="false">IF(C243=5,0,N243*((1+DepRate*(1-DepTax))^G243-1))</f>
        <v>0</v>
      </c>
      <c r="AD243" s="29" t="n">
        <f aca="false">IF(C243=5,0,AB243-AC243+I243*(((1+DepRate*(1-DepTax))^G243-1)-((1+DepRate*(1-DepTax))^O243-1)))</f>
        <v>0</v>
      </c>
      <c r="AE243" s="30" t="n">
        <f aca="false">IF(J243&gt;0,-PMT(Rm,LoanYears*12,J243)*10000,0)</f>
        <v>0</v>
      </c>
      <c r="AF243" s="21" t="n">
        <f aca="false">IF(J243&gt;0,-PMT((Rate+Stress)/12,LoanYears*12,J243)*12/DSR,0)</f>
        <v>0</v>
      </c>
      <c r="AG243" s="20" t="n">
        <f aca="false">IF(N243&lt;=CapA,1,0)</f>
        <v>0</v>
      </c>
      <c r="AH243" s="20" t="n">
        <f aca="false">IF(N243&lt;=CapB,1,0)</f>
        <v>1</v>
      </c>
      <c r="AI243" s="20" t="n">
        <f aca="false">IF(N243&lt;=CapC,1,0)</f>
        <v>1</v>
      </c>
      <c r="AJ243" s="21" t="n">
        <f aca="false">IF(AG243=1,AD243,-999)</f>
        <v>-999</v>
      </c>
      <c r="AK243" s="21" t="n">
        <f aca="false">IF(AH243=1,AD243,-999)</f>
        <v>0</v>
      </c>
      <c r="AL243" s="21" t="n">
        <f aca="false">IF(AI243=1,AD243,-999)</f>
        <v>0</v>
      </c>
      <c r="AM243" s="21" t="str">
        <f aca="false">C243&amp;"|"&amp;E243&amp;"|"&amp;G243&amp;"|"&amp;TEXT(AJ243,"0.00000")</f>
        <v>5|3|5|-999.00000</v>
      </c>
      <c r="AN243" s="21" t="str">
        <f aca="false">C243&amp;"|"&amp;E243&amp;"|"&amp;G243&amp;"|"&amp;TEXT(AK243,"0.00000")</f>
        <v>5|3|5|0.00000</v>
      </c>
      <c r="AO243" s="21" t="str">
        <f aca="false">C243&amp;"|"&amp;E243&amp;"|"&amp;G243&amp;"|"&amp;TEXT(AL243,"0.00000")</f>
        <v>5|3|5|0.00000</v>
      </c>
    </row>
    <row r="244" customFormat="false" ht="15" hidden="false" customHeight="false" outlineLevel="0" collapsed="false">
      <c r="A244" s="20" t="n">
        <v>8</v>
      </c>
      <c r="B244" s="18" t="str">
        <f aca="false">INDEX(C_Name,A244)</f>
        <v>본동 래미안트윈파크 (32평형)</v>
      </c>
      <c r="C244" s="20" t="n">
        <v>5</v>
      </c>
      <c r="D244" s="21" t="str">
        <f aca="false">CHOOSE(C244,"1안 표준형(대출 최대)","2안 절충형(대출 50%)","3안 무대출형","4안 임대차 승계 후 입주","5안 매수 보류(전세 거주)")</f>
        <v>5안 매수 보류(전세 거주)</v>
      </c>
      <c r="E244" s="20" t="n">
        <v>3</v>
      </c>
      <c r="F244" s="10" t="n">
        <f aca="false">CHOOSE(E244,GrowLo,GrowMid,GrowHi)</f>
        <v>0.06</v>
      </c>
      <c r="G244" s="20" t="n">
        <v>10</v>
      </c>
      <c r="H244" s="18" t="n">
        <f aca="false">INDEX(C_Price,A244)</f>
        <v>24.2</v>
      </c>
      <c r="I244" s="18" t="n">
        <f aca="false">INDEX(C_Jeonse,A244)</f>
        <v>12.584</v>
      </c>
      <c r="J244" s="21" t="n">
        <f aca="false">IF(C244=5,0,IF(C244=1,INDEX(C_Loan,A244),IF(C244=2,INDEX(C_Loan,A244)*LoanShare2,IF(C244=3,0,MIN(INDEX(C_Loan,A244),I244)))))</f>
        <v>0</v>
      </c>
      <c r="K244" s="18" t="n">
        <f aca="false">IF(C244=5,0,INDEX(C_Acq,A244))</f>
        <v>0</v>
      </c>
      <c r="L244" s="18" t="n">
        <f aca="false">IF(C244=5,0,INDEX(C_Fee,A244))</f>
        <v>0</v>
      </c>
      <c r="M244" s="21" t="n">
        <f aca="false">IF(C244=4,MAX(0,I244-J244),0)</f>
        <v>0</v>
      </c>
      <c r="N244" s="21" t="n">
        <f aca="false">IF(C244=5,I244,IF(C244=4,(H244-I244)+K244+L244+M244,H244-J244+K244+L244))</f>
        <v>12.584</v>
      </c>
      <c r="O244" s="20" t="n">
        <f aca="false">IF(C244=4,RentYears,0)</f>
        <v>0</v>
      </c>
      <c r="P244" s="20" t="n">
        <f aca="false">IF(C244=5,0,MAX(0,G244-O244-NonRes))</f>
        <v>0</v>
      </c>
      <c r="Q244" s="21" t="n">
        <f aca="false">IF(C244=5,0,H244*(1+F244)^G244)</f>
        <v>0</v>
      </c>
      <c r="R244" s="21" t="n">
        <f aca="false">IF(C244=5,0,Q244*LOOKUP(Q244,FeeLo,FeeR)*(1+VAT))</f>
        <v>0</v>
      </c>
      <c r="S244" s="21" t="n">
        <f aca="false">IF(J244&gt;0,-CUMIPMT(Rm,LoanYears*12,J244,1,(G244-O244)*12,0),0)</f>
        <v>0</v>
      </c>
      <c r="T244" s="29" t="n">
        <f aca="false">IF(C244=5,0,SUMIFS(Sch_Total,Sch_Idx,A244,Sch_Scen,E244,Sch_Year,"&lt;="&amp;G244))</f>
        <v>0</v>
      </c>
      <c r="U244" s="21" t="n">
        <f aca="false">K244+L244+R244</f>
        <v>0</v>
      </c>
      <c r="V244" s="21" t="n">
        <f aca="false">IF(C244=5,0,Q244-H244-U244)</f>
        <v>0</v>
      </c>
      <c r="W244" s="21" t="n">
        <f aca="false">IF(C244=5,0,MAX(0,IF(P244&gt;=2,IF(Q244&gt;Exempt,V244*(Q244-Exempt)/Q244,0),V244)))</f>
        <v>0</v>
      </c>
      <c r="X244" s="10" t="n">
        <f aca="false">IF(P244&gt;=2,MIN(MaxDed,MIN(0.4,HoldRate*G244)+MIN(0.4,LiveRate*P244)),IF(G244&gt;=3,MIN(0.3,0.02*G244),0))</f>
        <v>0.2</v>
      </c>
      <c r="Y244" s="21" t="n">
        <f aca="false">MAX(0,W244*(1-X244)-InitDed)</f>
        <v>0</v>
      </c>
      <c r="Z244" s="29" t="n">
        <f aca="false">SUMPRODUCT((Y244&gt;CLo)*(Y244-CLo)*CD)*(1+LocalTax)</f>
        <v>0</v>
      </c>
      <c r="AA244" s="21" t="n">
        <f aca="false">K244+T244+Z244</f>
        <v>0</v>
      </c>
      <c r="AB244" s="29" t="n">
        <f aca="false">IF(C244=5,0,(Q244-H244)-K244-L244-R244-S244-T244-Z244)</f>
        <v>0</v>
      </c>
      <c r="AC244" s="21" t="n">
        <f aca="false">IF(C244=5,0,N244*((1+DepRate*(1-DepTax))^G244-1))</f>
        <v>0</v>
      </c>
      <c r="AD244" s="29" t="n">
        <f aca="false">IF(C244=5,0,AB244-AC244+I244*(((1+DepRate*(1-DepTax))^G244-1)-((1+DepRate*(1-DepTax))^O244-1)))</f>
        <v>0</v>
      </c>
      <c r="AE244" s="30" t="n">
        <f aca="false">IF(J244&gt;0,-PMT(Rm,LoanYears*12,J244)*10000,0)</f>
        <v>0</v>
      </c>
      <c r="AF244" s="21" t="n">
        <f aca="false">IF(J244&gt;0,-PMT((Rate+Stress)/12,LoanYears*12,J244)*12/DSR,0)</f>
        <v>0</v>
      </c>
      <c r="AG244" s="20" t="n">
        <f aca="false">IF(N244&lt;=CapA,1,0)</f>
        <v>0</v>
      </c>
      <c r="AH244" s="20" t="n">
        <f aca="false">IF(N244&lt;=CapB,1,0)</f>
        <v>1</v>
      </c>
      <c r="AI244" s="20" t="n">
        <f aca="false">IF(N244&lt;=CapC,1,0)</f>
        <v>1</v>
      </c>
      <c r="AJ244" s="21" t="n">
        <f aca="false">IF(AG244=1,AD244,-999)</f>
        <v>-999</v>
      </c>
      <c r="AK244" s="21" t="n">
        <f aca="false">IF(AH244=1,AD244,-999)</f>
        <v>0</v>
      </c>
      <c r="AL244" s="21" t="n">
        <f aca="false">IF(AI244=1,AD244,-999)</f>
        <v>0</v>
      </c>
      <c r="AM244" s="21" t="str">
        <f aca="false">C244&amp;"|"&amp;E244&amp;"|"&amp;G244&amp;"|"&amp;TEXT(AJ244,"0.00000")</f>
        <v>5|3|10|-999.00000</v>
      </c>
      <c r="AN244" s="21" t="str">
        <f aca="false">C244&amp;"|"&amp;E244&amp;"|"&amp;G244&amp;"|"&amp;TEXT(AK244,"0.00000")</f>
        <v>5|3|10|0.00000</v>
      </c>
      <c r="AO244" s="21" t="str">
        <f aca="false">C244&amp;"|"&amp;E244&amp;"|"&amp;G244&amp;"|"&amp;TEXT(AL244,"0.00000")</f>
        <v>5|3|10|0.00000</v>
      </c>
    </row>
    <row r="245" customFormat="false" ht="15" hidden="false" customHeight="false" outlineLevel="0" collapsed="false">
      <c r="A245" s="20" t="n">
        <v>9</v>
      </c>
      <c r="B245" s="18" t="str">
        <f aca="false">INDEX(C_Name,A245)</f>
        <v>흑석한강푸르지오 84.98㎡</v>
      </c>
      <c r="C245" s="20" t="n">
        <v>1</v>
      </c>
      <c r="D245" s="21" t="str">
        <f aca="false">CHOOSE(C245,"1안 표준형(대출 최대)","2안 절충형(대출 50%)","3안 무대출형","4안 임대차 승계 후 입주","5안 매수 보류(전세 거주)")</f>
        <v>1안 표준형(대출 최대)</v>
      </c>
      <c r="E245" s="20" t="n">
        <v>1</v>
      </c>
      <c r="F245" s="10" t="n">
        <f aca="false">CHOOSE(E245,GrowLo,GrowMid,GrowHi)</f>
        <v>0.02</v>
      </c>
      <c r="G245" s="20" t="n">
        <v>5</v>
      </c>
      <c r="H245" s="18" t="n">
        <f aca="false">INDEX(C_Price,A245)</f>
        <v>20</v>
      </c>
      <c r="I245" s="18" t="n">
        <f aca="false">INDEX(C_Jeonse,A245)</f>
        <v>10.4</v>
      </c>
      <c r="J245" s="21" t="n">
        <f aca="false">IF(C245=5,0,IF(C245=1,INDEX(C_Loan,A245),IF(C245=2,INDEX(C_Loan,A245)*LoanShare2,IF(C245=3,0,MIN(INDEX(C_Loan,A245),I245)))))</f>
        <v>4</v>
      </c>
      <c r="K245" s="18" t="n">
        <f aca="false">IF(C245=5,0,INDEX(C_Acq,A245))</f>
        <v>0.66</v>
      </c>
      <c r="L245" s="18" t="n">
        <f aca="false">IF(C245=5,0,INDEX(C_Fee,A245))</f>
        <v>0.174</v>
      </c>
      <c r="M245" s="21" t="n">
        <f aca="false">IF(C245=4,MAX(0,I245-J245),0)</f>
        <v>0</v>
      </c>
      <c r="N245" s="21" t="n">
        <f aca="false">IF(C245=5,I245,IF(C245=4,(H245-I245)+K245+L245+M245,H245-J245+K245+L245))</f>
        <v>16.834</v>
      </c>
      <c r="O245" s="20" t="n">
        <f aca="false">IF(C245=4,RentYears,0)</f>
        <v>0</v>
      </c>
      <c r="P245" s="20" t="n">
        <f aca="false">IF(C245=5,0,MAX(0,G245-O245-NonRes))</f>
        <v>5</v>
      </c>
      <c r="Q245" s="21" t="n">
        <f aca="false">IF(C245=5,0,H245*(1+F245)^G245)</f>
        <v>22.081616064</v>
      </c>
      <c r="R245" s="21" t="n">
        <f aca="false">IF(C245=5,0,Q245*LOOKUP(Q245,FeeLo,FeeR)*(1+VAT))</f>
        <v>0.1700284436928</v>
      </c>
      <c r="S245" s="21" t="n">
        <f aca="false">IF(J245&gt;0,-CUMIPMT(Rm,LoanYears*12,J245,1,(G245-O245)*12,0),0)</f>
        <v>0.76369723456074</v>
      </c>
      <c r="T245" s="29" t="n">
        <f aca="false">IF(C245=5,0,SUMIFS(Sch_Total,Sch_Idx,A245,Sch_Scen,E245,Sch_Year,"&lt;="&amp;G245))</f>
        <v>0.27189132080256</v>
      </c>
      <c r="U245" s="21" t="n">
        <f aca="false">K245+L245+R245</f>
        <v>1.0040284436928</v>
      </c>
      <c r="V245" s="21" t="n">
        <f aca="false">IF(C245=5,0,Q245-H245-U245)</f>
        <v>1.0775876203072</v>
      </c>
      <c r="W245" s="21" t="n">
        <f aca="false">IF(C245=5,0,MAX(0,IF(P245&gt;=2,IF(Q245&gt;Exempt,V245*(Q245-Exempt)/Q245,0),V245)))</f>
        <v>0.491985035505082</v>
      </c>
      <c r="X245" s="10" t="n">
        <f aca="false">IF(P245&gt;=2,MIN(MaxDed,MIN(0.4,HoldRate*G245)+MIN(0.4,LiveRate*P245)),IF(G245&gt;=3,MIN(0.3,0.02*G245),0))</f>
        <v>0.4</v>
      </c>
      <c r="Y245" s="21" t="n">
        <f aca="false">MAX(0,W245*(1-X245)-InitDed)</f>
        <v>0.270191021303049</v>
      </c>
      <c r="Z245" s="29" t="n">
        <f aca="false">SUMPRODUCT((Y245&gt;CLo)*(Y245-CLo)*CD)*(1+LocalTax)</f>
        <v>0.0307215185150031</v>
      </c>
      <c r="AA245" s="21" t="n">
        <f aca="false">K245+T245+Z245</f>
        <v>0.962612839317563</v>
      </c>
      <c r="AB245" s="29" t="n">
        <f aca="false">IF(C245=5,0,(Q245-H245)-K245-L245-R245-S245-T245-Z245)</f>
        <v>0.0112775464288986</v>
      </c>
      <c r="AC245" s="21" t="n">
        <f aca="false">IF(C245=5,0,N245*((1+DepRate*(1-DepTax))^G245-1))</f>
        <v>2.24745705666492</v>
      </c>
      <c r="AD245" s="29" t="n">
        <f aca="false">IF(C245=5,0,AB245-AC245+I245*(((1+DepRate*(1-DepTax))^G245-1)-((1+DepRate*(1-DepTax))^O245-1)))</f>
        <v>-0.84770657514542</v>
      </c>
      <c r="AE245" s="30" t="n">
        <f aca="false">IF(J245&gt;0,-PMT(Rm,LoanYears*12,J245)*10000,0)</f>
        <v>190.966118186184</v>
      </c>
      <c r="AF245" s="21" t="n">
        <f aca="false">IF(J245&gt;0,-PMT((Rate+Stress)/12,LoanYears*12,J245)*12/DSR,0)</f>
        <v>0.79836299421502</v>
      </c>
      <c r="AG245" s="20" t="n">
        <f aca="false">IF(N245&lt;=CapA,1,0)</f>
        <v>0</v>
      </c>
      <c r="AH245" s="20" t="n">
        <f aca="false">IF(N245&lt;=CapB,1,0)</f>
        <v>0</v>
      </c>
      <c r="AI245" s="20" t="n">
        <f aca="false">IF(N245&lt;=CapC,1,0)</f>
        <v>0</v>
      </c>
      <c r="AJ245" s="21" t="n">
        <f aca="false">IF(AG245=1,AD245,-999)</f>
        <v>-999</v>
      </c>
      <c r="AK245" s="21" t="n">
        <f aca="false">IF(AH245=1,AD245,-999)</f>
        <v>-999</v>
      </c>
      <c r="AL245" s="21" t="n">
        <f aca="false">IF(AI245=1,AD245,-999)</f>
        <v>-999</v>
      </c>
      <c r="AM245" s="21" t="str">
        <f aca="false">C245&amp;"|"&amp;E245&amp;"|"&amp;G245&amp;"|"&amp;TEXT(AJ245,"0.00000")</f>
        <v>1|1|5|-999.00000</v>
      </c>
      <c r="AN245" s="21" t="str">
        <f aca="false">C245&amp;"|"&amp;E245&amp;"|"&amp;G245&amp;"|"&amp;TEXT(AK245,"0.00000")</f>
        <v>1|1|5|-999.00000</v>
      </c>
      <c r="AO245" s="21" t="str">
        <f aca="false">C245&amp;"|"&amp;E245&amp;"|"&amp;G245&amp;"|"&amp;TEXT(AL245,"0.00000")</f>
        <v>1|1|5|-999.00000</v>
      </c>
    </row>
    <row r="246" customFormat="false" ht="15" hidden="false" customHeight="false" outlineLevel="0" collapsed="false">
      <c r="A246" s="20" t="n">
        <v>9</v>
      </c>
      <c r="B246" s="18" t="str">
        <f aca="false">INDEX(C_Name,A246)</f>
        <v>흑석한강푸르지오 84.98㎡</v>
      </c>
      <c r="C246" s="20" t="n">
        <v>1</v>
      </c>
      <c r="D246" s="21" t="str">
        <f aca="false">CHOOSE(C246,"1안 표준형(대출 최대)","2안 절충형(대출 50%)","3안 무대출형","4안 임대차 승계 후 입주","5안 매수 보류(전세 거주)")</f>
        <v>1안 표준형(대출 최대)</v>
      </c>
      <c r="E246" s="20" t="n">
        <v>1</v>
      </c>
      <c r="F246" s="10" t="n">
        <f aca="false">CHOOSE(E246,GrowLo,GrowMid,GrowHi)</f>
        <v>0.02</v>
      </c>
      <c r="G246" s="20" t="n">
        <v>10</v>
      </c>
      <c r="H246" s="18" t="n">
        <f aca="false">INDEX(C_Price,A246)</f>
        <v>20</v>
      </c>
      <c r="I246" s="18" t="n">
        <f aca="false">INDEX(C_Jeonse,A246)</f>
        <v>10.4</v>
      </c>
      <c r="J246" s="21" t="n">
        <f aca="false">IF(C246=5,0,IF(C246=1,INDEX(C_Loan,A246),IF(C246=2,INDEX(C_Loan,A246)*LoanShare2,IF(C246=3,0,MIN(INDEX(C_Loan,A246),I246)))))</f>
        <v>4</v>
      </c>
      <c r="K246" s="18" t="n">
        <f aca="false">IF(C246=5,0,INDEX(C_Acq,A246))</f>
        <v>0.66</v>
      </c>
      <c r="L246" s="18" t="n">
        <f aca="false">IF(C246=5,0,INDEX(C_Fee,A246))</f>
        <v>0.174</v>
      </c>
      <c r="M246" s="21" t="n">
        <f aca="false">IF(C246=4,MAX(0,I246-J246),0)</f>
        <v>0</v>
      </c>
      <c r="N246" s="21" t="n">
        <f aca="false">IF(C246=5,I246,IF(C246=4,(H246-I246)+K246+L246+M246,H246-J246+K246+L246))</f>
        <v>16.834</v>
      </c>
      <c r="O246" s="20" t="n">
        <f aca="false">IF(C246=4,RentYears,0)</f>
        <v>0</v>
      </c>
      <c r="P246" s="20" t="n">
        <f aca="false">IF(C246=5,0,MAX(0,G246-O246-NonRes))</f>
        <v>10</v>
      </c>
      <c r="Q246" s="21" t="n">
        <f aca="false">IF(C246=5,0,H246*(1+F246)^G246)</f>
        <v>24.3798883998951</v>
      </c>
      <c r="R246" s="21" t="n">
        <f aca="false">IF(C246=5,0,Q246*LOOKUP(Q246,FeeLo,FeeR)*(1+VAT))</f>
        <v>0.187725140679193</v>
      </c>
      <c r="S246" s="21" t="n">
        <f aca="false">IF(J246&gt;0,-CUMIPMT(Rm,LoanYears*12,J246,1,(G246-O246)*12,0),0)</f>
        <v>1.44295178669745</v>
      </c>
      <c r="T246" s="29" t="n">
        <f aca="false">IF(C246=5,0,SUMIFS(Sch_Total,Sch_Idx,A246,Sch_Scen,E246,Sch_Year,"&lt;="&amp;G246))</f>
        <v>0.598497016509519</v>
      </c>
      <c r="U246" s="21" t="n">
        <f aca="false">K246+L246+R246</f>
        <v>1.02172514067919</v>
      </c>
      <c r="V246" s="21" t="n">
        <f aca="false">IF(C246=5,0,Q246-H246-U246)</f>
        <v>3.35816325921595</v>
      </c>
      <c r="W246" s="21" t="n">
        <f aca="false">IF(C246=5,0,MAX(0,IF(P246&gt;=2,IF(Q246&gt;Exempt,V246*(Q246-Exempt)/Q246,0),V246)))</f>
        <v>1.70524514697534</v>
      </c>
      <c r="X246" s="10" t="n">
        <f aca="false">IF(P246&gt;=2,MIN(MaxDed,MIN(0.4,HoldRate*G246)+MIN(0.4,LiveRate*P246)),IF(G246&gt;=3,MIN(0.3,0.02*G246),0))</f>
        <v>0.8</v>
      </c>
      <c r="Y246" s="21" t="n">
        <f aca="false">MAX(0,W246*(1-X246)-InitDed)</f>
        <v>0.316049029395069</v>
      </c>
      <c r="Z246" s="29" t="n">
        <f aca="false">SUMPRODUCT((Y246&gt;CLo)*(Y246-CLo)*CD)*(1+LocalTax)</f>
        <v>0.0382880898501863</v>
      </c>
      <c r="AA246" s="21" t="n">
        <f aca="false">K246+T246+Z246</f>
        <v>1.29678510635971</v>
      </c>
      <c r="AB246" s="29" t="n">
        <f aca="false">IF(C246=5,0,(Q246-H246)-K246-L246-R246-S246-T246-Z246)</f>
        <v>1.2784263661588</v>
      </c>
      <c r="AC246" s="21" t="n">
        <f aca="false">IF(C246=5,0,N246*((1+DepRate*(1-DepTax))^G246-1))</f>
        <v>4.79496539178729</v>
      </c>
      <c r="AD246" s="29" t="n">
        <f aca="false">IF(C246=5,0,AB246-AC246+I246*(((1+DepRate*(1-DepTax))^G246-1)-((1+DepRate*(1-DepTax))^O246-1)))</f>
        <v>-0.554222281266617</v>
      </c>
      <c r="AE246" s="30" t="n">
        <f aca="false">IF(J246&gt;0,-PMT(Rm,LoanYears*12,J246)*10000,0)</f>
        <v>190.966118186184</v>
      </c>
      <c r="AF246" s="21" t="n">
        <f aca="false">IF(J246&gt;0,-PMT((Rate+Stress)/12,LoanYears*12,J246)*12/DSR,0)</f>
        <v>0.79836299421502</v>
      </c>
      <c r="AG246" s="20" t="n">
        <f aca="false">IF(N246&lt;=CapA,1,0)</f>
        <v>0</v>
      </c>
      <c r="AH246" s="20" t="n">
        <f aca="false">IF(N246&lt;=CapB,1,0)</f>
        <v>0</v>
      </c>
      <c r="AI246" s="20" t="n">
        <f aca="false">IF(N246&lt;=CapC,1,0)</f>
        <v>0</v>
      </c>
      <c r="AJ246" s="21" t="n">
        <f aca="false">IF(AG246=1,AD246,-999)</f>
        <v>-999</v>
      </c>
      <c r="AK246" s="21" t="n">
        <f aca="false">IF(AH246=1,AD246,-999)</f>
        <v>-999</v>
      </c>
      <c r="AL246" s="21" t="n">
        <f aca="false">IF(AI246=1,AD246,-999)</f>
        <v>-999</v>
      </c>
      <c r="AM246" s="21" t="str">
        <f aca="false">C246&amp;"|"&amp;E246&amp;"|"&amp;G246&amp;"|"&amp;TEXT(AJ246,"0.00000")</f>
        <v>1|1|10|-999.00000</v>
      </c>
      <c r="AN246" s="21" t="str">
        <f aca="false">C246&amp;"|"&amp;E246&amp;"|"&amp;G246&amp;"|"&amp;TEXT(AK246,"0.00000")</f>
        <v>1|1|10|-999.00000</v>
      </c>
      <c r="AO246" s="21" t="str">
        <f aca="false">C246&amp;"|"&amp;E246&amp;"|"&amp;G246&amp;"|"&amp;TEXT(AL246,"0.00000")</f>
        <v>1|1|10|-999.00000</v>
      </c>
    </row>
    <row r="247" customFormat="false" ht="15" hidden="false" customHeight="false" outlineLevel="0" collapsed="false">
      <c r="A247" s="20" t="n">
        <v>9</v>
      </c>
      <c r="B247" s="18" t="str">
        <f aca="false">INDEX(C_Name,A247)</f>
        <v>흑석한강푸르지오 84.98㎡</v>
      </c>
      <c r="C247" s="20" t="n">
        <v>1</v>
      </c>
      <c r="D247" s="21" t="str">
        <f aca="false">CHOOSE(C247,"1안 표준형(대출 최대)","2안 절충형(대출 50%)","3안 무대출형","4안 임대차 승계 후 입주","5안 매수 보류(전세 거주)")</f>
        <v>1안 표준형(대출 최대)</v>
      </c>
      <c r="E247" s="20" t="n">
        <v>2</v>
      </c>
      <c r="F247" s="10" t="n">
        <f aca="false">CHOOSE(E247,GrowLo,GrowMid,GrowHi)</f>
        <v>0.04</v>
      </c>
      <c r="G247" s="20" t="n">
        <v>5</v>
      </c>
      <c r="H247" s="18" t="n">
        <f aca="false">INDEX(C_Price,A247)</f>
        <v>20</v>
      </c>
      <c r="I247" s="18" t="n">
        <f aca="false">INDEX(C_Jeonse,A247)</f>
        <v>10.4</v>
      </c>
      <c r="J247" s="21" t="n">
        <f aca="false">IF(C247=5,0,IF(C247=1,INDEX(C_Loan,A247),IF(C247=2,INDEX(C_Loan,A247)*LoanShare2,IF(C247=3,0,MIN(INDEX(C_Loan,A247),I247)))))</f>
        <v>4</v>
      </c>
      <c r="K247" s="18" t="n">
        <f aca="false">IF(C247=5,0,INDEX(C_Acq,A247))</f>
        <v>0.66</v>
      </c>
      <c r="L247" s="18" t="n">
        <f aca="false">IF(C247=5,0,INDEX(C_Fee,A247))</f>
        <v>0.174</v>
      </c>
      <c r="M247" s="21" t="n">
        <f aca="false">IF(C247=4,MAX(0,I247-J247),0)</f>
        <v>0</v>
      </c>
      <c r="N247" s="21" t="n">
        <f aca="false">IF(C247=5,I247,IF(C247=4,(H247-I247)+K247+L247+M247,H247-J247+K247+L247))</f>
        <v>16.834</v>
      </c>
      <c r="O247" s="20" t="n">
        <f aca="false">IF(C247=4,RentYears,0)</f>
        <v>0</v>
      </c>
      <c r="P247" s="20" t="n">
        <f aca="false">IF(C247=5,0,MAX(0,G247-O247-NonRes))</f>
        <v>5</v>
      </c>
      <c r="Q247" s="21" t="n">
        <f aca="false">IF(C247=5,0,H247*(1+F247)^G247)</f>
        <v>24.333058048</v>
      </c>
      <c r="R247" s="21" t="n">
        <f aca="false">IF(C247=5,0,Q247*LOOKUP(Q247,FeeLo,FeeR)*(1+VAT))</f>
        <v>0.1873645469696</v>
      </c>
      <c r="S247" s="21" t="n">
        <f aca="false">IF(J247&gt;0,-CUMIPMT(Rm,LoanYears*12,J247,1,(G247-O247)*12,0),0)</f>
        <v>0.76369723456074</v>
      </c>
      <c r="T247" s="29" t="n">
        <f aca="false">IF(C247=5,0,SUMIFS(Sch_Total,Sch_Idx,A247,Sch_Scen,E247,Sch_Year,"&lt;="&amp;G247))</f>
        <v>0.29333523972096</v>
      </c>
      <c r="U247" s="21" t="n">
        <f aca="false">K247+L247+R247</f>
        <v>1.0213645469696</v>
      </c>
      <c r="V247" s="21" t="n">
        <f aca="false">IF(C247=5,0,Q247-H247-U247)</f>
        <v>3.3116935010304</v>
      </c>
      <c r="W247" s="21" t="n">
        <f aca="false">IF(C247=5,0,MAX(0,IF(P247&gt;=2,IF(Q247&gt;Exempt,V247*(Q247-Exempt)/Q247,0),V247)))</f>
        <v>1.678511106365</v>
      </c>
      <c r="X247" s="10" t="n">
        <f aca="false">IF(P247&gt;=2,MIN(MaxDed,MIN(0.4,HoldRate*G247)+MIN(0.4,LiveRate*P247)),IF(G247&gt;=3,MIN(0.3,0.02*G247),0))</f>
        <v>0.4</v>
      </c>
      <c r="Y247" s="21" t="n">
        <f aca="false">MAX(0,W247*(1-X247)-InitDed)</f>
        <v>0.982106663819001</v>
      </c>
      <c r="Z247" s="29" t="n">
        <f aca="false">SUMPRODUCT((Y247&gt;CLo)*(Y247-CLo)*CD)*(1+LocalTax)</f>
        <v>0.208271065570315</v>
      </c>
      <c r="AA247" s="21" t="n">
        <f aca="false">K247+T247+Z247</f>
        <v>1.16160630529128</v>
      </c>
      <c r="AB247" s="29" t="n">
        <f aca="false">IF(C247=5,0,(Q247-H247)-K247-L247-R247-S247-T247-Z247)</f>
        <v>2.04638996117839</v>
      </c>
      <c r="AC247" s="21" t="n">
        <f aca="false">IF(C247=5,0,N247*((1+DepRate*(1-DepTax))^G247-1))</f>
        <v>2.24745705666492</v>
      </c>
      <c r="AD247" s="29" t="n">
        <f aca="false">IF(C247=5,0,AB247-AC247+I247*(((1+DepRate*(1-DepTax))^G247-1)-((1+DepRate*(1-DepTax))^O247-1)))</f>
        <v>1.18740583960407</v>
      </c>
      <c r="AE247" s="30" t="n">
        <f aca="false">IF(J247&gt;0,-PMT(Rm,LoanYears*12,J247)*10000,0)</f>
        <v>190.966118186184</v>
      </c>
      <c r="AF247" s="21" t="n">
        <f aca="false">IF(J247&gt;0,-PMT((Rate+Stress)/12,LoanYears*12,J247)*12/DSR,0)</f>
        <v>0.79836299421502</v>
      </c>
      <c r="AG247" s="20" t="n">
        <f aca="false">IF(N247&lt;=CapA,1,0)</f>
        <v>0</v>
      </c>
      <c r="AH247" s="20" t="n">
        <f aca="false">IF(N247&lt;=CapB,1,0)</f>
        <v>0</v>
      </c>
      <c r="AI247" s="20" t="n">
        <f aca="false">IF(N247&lt;=CapC,1,0)</f>
        <v>0</v>
      </c>
      <c r="AJ247" s="21" t="n">
        <f aca="false">IF(AG247=1,AD247,-999)</f>
        <v>-999</v>
      </c>
      <c r="AK247" s="21" t="n">
        <f aca="false">IF(AH247=1,AD247,-999)</f>
        <v>-999</v>
      </c>
      <c r="AL247" s="21" t="n">
        <f aca="false">IF(AI247=1,AD247,-999)</f>
        <v>-999</v>
      </c>
      <c r="AM247" s="21" t="str">
        <f aca="false">C247&amp;"|"&amp;E247&amp;"|"&amp;G247&amp;"|"&amp;TEXT(AJ247,"0.00000")</f>
        <v>1|2|5|-999.00000</v>
      </c>
      <c r="AN247" s="21" t="str">
        <f aca="false">C247&amp;"|"&amp;E247&amp;"|"&amp;G247&amp;"|"&amp;TEXT(AK247,"0.00000")</f>
        <v>1|2|5|-999.00000</v>
      </c>
      <c r="AO247" s="21" t="str">
        <f aca="false">C247&amp;"|"&amp;E247&amp;"|"&amp;G247&amp;"|"&amp;TEXT(AL247,"0.00000")</f>
        <v>1|2|5|-999.00000</v>
      </c>
    </row>
    <row r="248" customFormat="false" ht="15" hidden="false" customHeight="false" outlineLevel="0" collapsed="false">
      <c r="A248" s="20" t="n">
        <v>9</v>
      </c>
      <c r="B248" s="18" t="str">
        <f aca="false">INDEX(C_Name,A248)</f>
        <v>흑석한강푸르지오 84.98㎡</v>
      </c>
      <c r="C248" s="20" t="n">
        <v>1</v>
      </c>
      <c r="D248" s="21" t="str">
        <f aca="false">CHOOSE(C248,"1안 표준형(대출 최대)","2안 절충형(대출 50%)","3안 무대출형","4안 임대차 승계 후 입주","5안 매수 보류(전세 거주)")</f>
        <v>1안 표준형(대출 최대)</v>
      </c>
      <c r="E248" s="20" t="n">
        <v>2</v>
      </c>
      <c r="F248" s="10" t="n">
        <f aca="false">CHOOSE(E248,GrowLo,GrowMid,GrowHi)</f>
        <v>0.04</v>
      </c>
      <c r="G248" s="20" t="n">
        <v>10</v>
      </c>
      <c r="H248" s="18" t="n">
        <f aca="false">INDEX(C_Price,A248)</f>
        <v>20</v>
      </c>
      <c r="I248" s="18" t="n">
        <f aca="false">INDEX(C_Jeonse,A248)</f>
        <v>10.4</v>
      </c>
      <c r="J248" s="21" t="n">
        <f aca="false">IF(C248=5,0,IF(C248=1,INDEX(C_Loan,A248),IF(C248=2,INDEX(C_Loan,A248)*LoanShare2,IF(C248=3,0,MIN(INDEX(C_Loan,A248),I248)))))</f>
        <v>4</v>
      </c>
      <c r="K248" s="18" t="n">
        <f aca="false">IF(C248=5,0,INDEX(C_Acq,A248))</f>
        <v>0.66</v>
      </c>
      <c r="L248" s="18" t="n">
        <f aca="false">IF(C248=5,0,INDEX(C_Fee,A248))</f>
        <v>0.174</v>
      </c>
      <c r="M248" s="21" t="n">
        <f aca="false">IF(C248=4,MAX(0,I248-J248),0)</f>
        <v>0</v>
      </c>
      <c r="N248" s="21" t="n">
        <f aca="false">IF(C248=5,I248,IF(C248=4,(H248-I248)+K248+L248+M248,H248-J248+K248+L248))</f>
        <v>16.834</v>
      </c>
      <c r="O248" s="20" t="n">
        <f aca="false">IF(C248=4,RentYears,0)</f>
        <v>0</v>
      </c>
      <c r="P248" s="20" t="n">
        <f aca="false">IF(C248=5,0,MAX(0,G248-O248-NonRes))</f>
        <v>10</v>
      </c>
      <c r="Q248" s="21" t="n">
        <f aca="false">IF(C248=5,0,H248*(1+F248)^G248)</f>
        <v>29.6048856983669</v>
      </c>
      <c r="R248" s="21" t="n">
        <f aca="false">IF(C248=5,0,Q248*LOOKUP(Q248,FeeLo,FeeR)*(1+VAT))</f>
        <v>0.227957619877425</v>
      </c>
      <c r="S248" s="21" t="n">
        <f aca="false">IF(J248&gt;0,-CUMIPMT(Rm,LoanYears*12,J248,1,(G248-O248)*12,0),0)</f>
        <v>1.44295178669745</v>
      </c>
      <c r="T248" s="29" t="n">
        <f aca="false">IF(C248=5,0,SUMIFS(Sch_Total,Sch_Idx,A248,Sch_Scen,E248,Sch_Year,"&lt;="&amp;G248))</f>
        <v>0.714063789491406</v>
      </c>
      <c r="U248" s="21" t="n">
        <f aca="false">K248+L248+R248</f>
        <v>1.06195761987743</v>
      </c>
      <c r="V248" s="21" t="n">
        <f aca="false">IF(C248=5,0,Q248-H248-U248)</f>
        <v>8.54292807848946</v>
      </c>
      <c r="W248" s="21" t="n">
        <f aca="false">IF(C248=5,0,MAX(0,IF(P248&gt;=2,IF(Q248&gt;Exempt,V248*(Q248-Exempt)/Q248,0),V248)))</f>
        <v>5.08015041447947</v>
      </c>
      <c r="X248" s="10" t="n">
        <f aca="false">IF(P248&gt;=2,MIN(MaxDed,MIN(0.4,HoldRate*G248)+MIN(0.4,LiveRate*P248)),IF(G248&gt;=3,MIN(0.3,0.02*G248),0))</f>
        <v>0.8</v>
      </c>
      <c r="Y248" s="21" t="n">
        <f aca="false">MAX(0,W248*(1-X248)-InitDed)</f>
        <v>0.991030082895895</v>
      </c>
      <c r="Z248" s="29" t="n">
        <f aca="false">SUMPRODUCT((Y248&gt;CLo)*(Y248-CLo)*CD)*(1+LocalTax)</f>
        <v>0.211706581914919</v>
      </c>
      <c r="AA248" s="21" t="n">
        <f aca="false">K248+T248+Z248</f>
        <v>1.58577037140633</v>
      </c>
      <c r="AB248" s="29" t="n">
        <f aca="false">IF(C248=5,0,(Q248-H248)-K248-L248-R248-S248-T248-Z248)</f>
        <v>6.17420592038569</v>
      </c>
      <c r="AC248" s="21" t="n">
        <f aca="false">IF(C248=5,0,N248*((1+DepRate*(1-DepTax))^G248-1))</f>
        <v>4.79496539178729</v>
      </c>
      <c r="AD248" s="29" t="n">
        <f aca="false">IF(C248=5,0,AB248-AC248+I248*(((1+DepRate*(1-DepTax))^G248-1)-((1+DepRate*(1-DepTax))^O248-1)))</f>
        <v>4.34155727296027</v>
      </c>
      <c r="AE248" s="30" t="n">
        <f aca="false">IF(J248&gt;0,-PMT(Rm,LoanYears*12,J248)*10000,0)</f>
        <v>190.966118186184</v>
      </c>
      <c r="AF248" s="21" t="n">
        <f aca="false">IF(J248&gt;0,-PMT((Rate+Stress)/12,LoanYears*12,J248)*12/DSR,0)</f>
        <v>0.79836299421502</v>
      </c>
      <c r="AG248" s="20" t="n">
        <f aca="false">IF(N248&lt;=CapA,1,0)</f>
        <v>0</v>
      </c>
      <c r="AH248" s="20" t="n">
        <f aca="false">IF(N248&lt;=CapB,1,0)</f>
        <v>0</v>
      </c>
      <c r="AI248" s="20" t="n">
        <f aca="false">IF(N248&lt;=CapC,1,0)</f>
        <v>0</v>
      </c>
      <c r="AJ248" s="21" t="n">
        <f aca="false">IF(AG248=1,AD248,-999)</f>
        <v>-999</v>
      </c>
      <c r="AK248" s="21" t="n">
        <f aca="false">IF(AH248=1,AD248,-999)</f>
        <v>-999</v>
      </c>
      <c r="AL248" s="21" t="n">
        <f aca="false">IF(AI248=1,AD248,-999)</f>
        <v>-999</v>
      </c>
      <c r="AM248" s="21" t="str">
        <f aca="false">C248&amp;"|"&amp;E248&amp;"|"&amp;G248&amp;"|"&amp;TEXT(AJ248,"0.00000")</f>
        <v>1|2|10|-999.00000</v>
      </c>
      <c r="AN248" s="21" t="str">
        <f aca="false">C248&amp;"|"&amp;E248&amp;"|"&amp;G248&amp;"|"&amp;TEXT(AK248,"0.00000")</f>
        <v>1|2|10|-999.00000</v>
      </c>
      <c r="AO248" s="21" t="str">
        <f aca="false">C248&amp;"|"&amp;E248&amp;"|"&amp;G248&amp;"|"&amp;TEXT(AL248,"0.00000")</f>
        <v>1|2|10|-999.00000</v>
      </c>
    </row>
    <row r="249" customFormat="false" ht="15" hidden="false" customHeight="false" outlineLevel="0" collapsed="false">
      <c r="A249" s="20" t="n">
        <v>9</v>
      </c>
      <c r="B249" s="18" t="str">
        <f aca="false">INDEX(C_Name,A249)</f>
        <v>흑석한강푸르지오 84.98㎡</v>
      </c>
      <c r="C249" s="20" t="n">
        <v>1</v>
      </c>
      <c r="D249" s="21" t="str">
        <f aca="false">CHOOSE(C249,"1안 표준형(대출 최대)","2안 절충형(대출 50%)","3안 무대출형","4안 임대차 승계 후 입주","5안 매수 보류(전세 거주)")</f>
        <v>1안 표준형(대출 최대)</v>
      </c>
      <c r="E249" s="20" t="n">
        <v>3</v>
      </c>
      <c r="F249" s="10" t="n">
        <f aca="false">CHOOSE(E249,GrowLo,GrowMid,GrowHi)</f>
        <v>0.06</v>
      </c>
      <c r="G249" s="20" t="n">
        <v>5</v>
      </c>
      <c r="H249" s="18" t="n">
        <f aca="false">INDEX(C_Price,A249)</f>
        <v>20</v>
      </c>
      <c r="I249" s="18" t="n">
        <f aca="false">INDEX(C_Jeonse,A249)</f>
        <v>10.4</v>
      </c>
      <c r="J249" s="21" t="n">
        <f aca="false">IF(C249=5,0,IF(C249=1,INDEX(C_Loan,A249),IF(C249=2,INDEX(C_Loan,A249)*LoanShare2,IF(C249=3,0,MIN(INDEX(C_Loan,A249),I249)))))</f>
        <v>4</v>
      </c>
      <c r="K249" s="18" t="n">
        <f aca="false">IF(C249=5,0,INDEX(C_Acq,A249))</f>
        <v>0.66</v>
      </c>
      <c r="L249" s="18" t="n">
        <f aca="false">IF(C249=5,0,INDEX(C_Fee,A249))</f>
        <v>0.174</v>
      </c>
      <c r="M249" s="21" t="n">
        <f aca="false">IF(C249=4,MAX(0,I249-J249),0)</f>
        <v>0</v>
      </c>
      <c r="N249" s="21" t="n">
        <f aca="false">IF(C249=5,I249,IF(C249=4,(H249-I249)+K249+L249+M249,H249-J249+K249+L249))</f>
        <v>16.834</v>
      </c>
      <c r="O249" s="20" t="n">
        <f aca="false">IF(C249=4,RentYears,0)</f>
        <v>0</v>
      </c>
      <c r="P249" s="20" t="n">
        <f aca="false">IF(C249=5,0,MAX(0,G249-O249-NonRes))</f>
        <v>5</v>
      </c>
      <c r="Q249" s="21" t="n">
        <f aca="false">IF(C249=5,0,H249*(1+F249)^G249)</f>
        <v>26.764511552</v>
      </c>
      <c r="R249" s="21" t="n">
        <f aca="false">IF(C249=5,0,Q249*LOOKUP(Q249,FeeLo,FeeR)*(1+VAT))</f>
        <v>0.2060867389504</v>
      </c>
      <c r="S249" s="21" t="n">
        <f aca="false">IF(J249&gt;0,-CUMIPMT(Rm,LoanYears*12,J249,1,(G249-O249)*12,0),0)</f>
        <v>0.76369723456074</v>
      </c>
      <c r="T249" s="29" t="n">
        <f aca="false">IF(C249=5,0,SUMIFS(Sch_Total,Sch_Idx,A249,Sch_Scen,E249,Sch_Year,"&lt;="&amp;G249))</f>
        <v>0.31624452459648</v>
      </c>
      <c r="U249" s="21" t="n">
        <f aca="false">K249+L249+R249</f>
        <v>1.0400867389504</v>
      </c>
      <c r="V249" s="21" t="n">
        <f aca="false">IF(C249=5,0,Q249-H249-U249)</f>
        <v>5.72442481304961</v>
      </c>
      <c r="W249" s="21" t="n">
        <f aca="false">IF(C249=5,0,MAX(0,IF(P249&gt;=2,IF(Q249&gt;Exempt,V249*(Q249-Exempt)/Q249,0),V249)))</f>
        <v>3.15785087714447</v>
      </c>
      <c r="X249" s="10" t="n">
        <f aca="false">IF(P249&gt;=2,MIN(MaxDed,MIN(0.4,HoldRate*G249)+MIN(0.4,LiveRate*P249)),IF(G249&gt;=3,MIN(0.3,0.02*G249),0))</f>
        <v>0.4</v>
      </c>
      <c r="Y249" s="21" t="n">
        <f aca="false">MAX(0,W249*(1-X249)-InitDed)</f>
        <v>1.86971052628668</v>
      </c>
      <c r="Z249" s="29" t="n">
        <f aca="false">SUMPRODUCT((Y249&gt;CLo)*(Y249-CLo)*CD)*(1+LocalTax)</f>
        <v>0.562198999987832</v>
      </c>
      <c r="AA249" s="21" t="n">
        <f aca="false">K249+T249+Z249</f>
        <v>1.53844352458431</v>
      </c>
      <c r="AB249" s="29" t="n">
        <f aca="false">IF(C249=5,0,(Q249-H249)-K249-L249-R249-S249-T249-Z249)</f>
        <v>4.08228405390455</v>
      </c>
      <c r="AC249" s="21" t="n">
        <f aca="false">IF(C249=5,0,N249*((1+DepRate*(1-DepTax))^G249-1))</f>
        <v>2.24745705666492</v>
      </c>
      <c r="AD249" s="29" t="n">
        <f aca="false">IF(C249=5,0,AB249-AC249+I249*(((1+DepRate*(1-DepTax))^G249-1)-((1+DepRate*(1-DepTax))^O249-1)))</f>
        <v>3.22329993233023</v>
      </c>
      <c r="AE249" s="30" t="n">
        <f aca="false">IF(J249&gt;0,-PMT(Rm,LoanYears*12,J249)*10000,0)</f>
        <v>190.966118186184</v>
      </c>
      <c r="AF249" s="21" t="n">
        <f aca="false">IF(J249&gt;0,-PMT((Rate+Stress)/12,LoanYears*12,J249)*12/DSR,0)</f>
        <v>0.79836299421502</v>
      </c>
      <c r="AG249" s="20" t="n">
        <f aca="false">IF(N249&lt;=CapA,1,0)</f>
        <v>0</v>
      </c>
      <c r="AH249" s="20" t="n">
        <f aca="false">IF(N249&lt;=CapB,1,0)</f>
        <v>0</v>
      </c>
      <c r="AI249" s="20" t="n">
        <f aca="false">IF(N249&lt;=CapC,1,0)</f>
        <v>0</v>
      </c>
      <c r="AJ249" s="21" t="n">
        <f aca="false">IF(AG249=1,AD249,-999)</f>
        <v>-999</v>
      </c>
      <c r="AK249" s="21" t="n">
        <f aca="false">IF(AH249=1,AD249,-999)</f>
        <v>-999</v>
      </c>
      <c r="AL249" s="21" t="n">
        <f aca="false">IF(AI249=1,AD249,-999)</f>
        <v>-999</v>
      </c>
      <c r="AM249" s="21" t="str">
        <f aca="false">C249&amp;"|"&amp;E249&amp;"|"&amp;G249&amp;"|"&amp;TEXT(AJ249,"0.00000")</f>
        <v>1|3|5|-999.00000</v>
      </c>
      <c r="AN249" s="21" t="str">
        <f aca="false">C249&amp;"|"&amp;E249&amp;"|"&amp;G249&amp;"|"&amp;TEXT(AK249,"0.00000")</f>
        <v>1|3|5|-999.00000</v>
      </c>
      <c r="AO249" s="21" t="str">
        <f aca="false">C249&amp;"|"&amp;E249&amp;"|"&amp;G249&amp;"|"&amp;TEXT(AL249,"0.00000")</f>
        <v>1|3|5|-999.00000</v>
      </c>
    </row>
    <row r="250" customFormat="false" ht="15" hidden="false" customHeight="false" outlineLevel="0" collapsed="false">
      <c r="A250" s="20" t="n">
        <v>9</v>
      </c>
      <c r="B250" s="18" t="str">
        <f aca="false">INDEX(C_Name,A250)</f>
        <v>흑석한강푸르지오 84.98㎡</v>
      </c>
      <c r="C250" s="20" t="n">
        <v>1</v>
      </c>
      <c r="D250" s="21" t="str">
        <f aca="false">CHOOSE(C250,"1안 표준형(대출 최대)","2안 절충형(대출 50%)","3안 무대출형","4안 임대차 승계 후 입주","5안 매수 보류(전세 거주)")</f>
        <v>1안 표준형(대출 최대)</v>
      </c>
      <c r="E250" s="20" t="n">
        <v>3</v>
      </c>
      <c r="F250" s="10" t="n">
        <f aca="false">CHOOSE(E250,GrowLo,GrowMid,GrowHi)</f>
        <v>0.06</v>
      </c>
      <c r="G250" s="20" t="n">
        <v>10</v>
      </c>
      <c r="H250" s="18" t="n">
        <f aca="false">INDEX(C_Price,A250)</f>
        <v>20</v>
      </c>
      <c r="I250" s="18" t="n">
        <f aca="false">INDEX(C_Jeonse,A250)</f>
        <v>10.4</v>
      </c>
      <c r="J250" s="21" t="n">
        <f aca="false">IF(C250=5,0,IF(C250=1,INDEX(C_Loan,A250),IF(C250=2,INDEX(C_Loan,A250)*LoanShare2,IF(C250=3,0,MIN(INDEX(C_Loan,A250),I250)))))</f>
        <v>4</v>
      </c>
      <c r="K250" s="18" t="n">
        <f aca="false">IF(C250=5,0,INDEX(C_Acq,A250))</f>
        <v>0.66</v>
      </c>
      <c r="L250" s="18" t="n">
        <f aca="false">IF(C250=5,0,INDEX(C_Fee,A250))</f>
        <v>0.174</v>
      </c>
      <c r="M250" s="21" t="n">
        <f aca="false">IF(C250=4,MAX(0,I250-J250),0)</f>
        <v>0</v>
      </c>
      <c r="N250" s="21" t="n">
        <f aca="false">IF(C250=5,I250,IF(C250=4,(H250-I250)+K250+L250+M250,H250-J250+K250+L250))</f>
        <v>16.834</v>
      </c>
      <c r="O250" s="20" t="n">
        <f aca="false">IF(C250=4,RentYears,0)</f>
        <v>0</v>
      </c>
      <c r="P250" s="20" t="n">
        <f aca="false">IF(C250=5,0,MAX(0,G250-O250-NonRes))</f>
        <v>10</v>
      </c>
      <c r="Q250" s="21" t="n">
        <f aca="false">IF(C250=5,0,H250*(1+F250)^G250)</f>
        <v>35.8169539308571</v>
      </c>
      <c r="R250" s="21" t="n">
        <f aca="false">IF(C250=5,0,Q250*LOOKUP(Q250,FeeLo,FeeR)*(1+VAT))</f>
        <v>0.2757905452676</v>
      </c>
      <c r="S250" s="21" t="n">
        <f aca="false">IF(J250&gt;0,-CUMIPMT(Rm,LoanYears*12,J250,1,(G250-O250)*12,0),0)</f>
        <v>1.44295178669745</v>
      </c>
      <c r="T250" s="29" t="n">
        <f aca="false">IF(C250=5,0,SUMIFS(Sch_Total,Sch_Idx,A250,Sch_Scen,E250,Sch_Year,"&lt;="&amp;G250))</f>
        <v>0.854827558652494</v>
      </c>
      <c r="U250" s="21" t="n">
        <f aca="false">K250+L250+R250</f>
        <v>1.1097905452676</v>
      </c>
      <c r="V250" s="21" t="n">
        <f aca="false">IF(C250=5,0,Q250-H250-U250)</f>
        <v>14.7071633855895</v>
      </c>
      <c r="W250" s="21" t="n">
        <f aca="false">IF(C250=5,0,MAX(0,IF(P250&gt;=2,IF(Q250&gt;Exempt,V250*(Q250-Exempt)/Q250,0),V250)))</f>
        <v>9.77972145493923</v>
      </c>
      <c r="X250" s="10" t="n">
        <f aca="false">IF(P250&gt;=2,MIN(MaxDed,MIN(0.4,HoldRate*G250)+MIN(0.4,LiveRate*P250)),IF(G250&gt;=3,MIN(0.3,0.02*G250),0))</f>
        <v>0.8</v>
      </c>
      <c r="Y250" s="21" t="n">
        <f aca="false">MAX(0,W250*(1-X250)-InitDed)</f>
        <v>1.93094429098785</v>
      </c>
      <c r="Z250" s="29" t="n">
        <f aca="false">SUMPRODUCT((Y250&gt;CLo)*(Y250-CLo)*CD)*(1+LocalTax)</f>
        <v>0.587794713632919</v>
      </c>
      <c r="AA250" s="21" t="n">
        <f aca="false">K250+T250+Z250</f>
        <v>2.10262227228541</v>
      </c>
      <c r="AB250" s="29" t="n">
        <f aca="false">IF(C250=5,0,(Q250-H250)-K250-L250-R250-S250-T250-Z250)</f>
        <v>11.8215893266066</v>
      </c>
      <c r="AC250" s="21" t="n">
        <f aca="false">IF(C250=5,0,N250*((1+DepRate*(1-DepTax))^G250-1))</f>
        <v>4.79496539178729</v>
      </c>
      <c r="AD250" s="29" t="n">
        <f aca="false">IF(C250=5,0,AB250-AC250+I250*(((1+DepRate*(1-DepTax))^G250-1)-((1+DepRate*(1-DepTax))^O250-1)))</f>
        <v>9.98894067918121</v>
      </c>
      <c r="AE250" s="30" t="n">
        <f aca="false">IF(J250&gt;0,-PMT(Rm,LoanYears*12,J250)*10000,0)</f>
        <v>190.966118186184</v>
      </c>
      <c r="AF250" s="21" t="n">
        <f aca="false">IF(J250&gt;0,-PMT((Rate+Stress)/12,LoanYears*12,J250)*12/DSR,0)</f>
        <v>0.79836299421502</v>
      </c>
      <c r="AG250" s="20" t="n">
        <f aca="false">IF(N250&lt;=CapA,1,0)</f>
        <v>0</v>
      </c>
      <c r="AH250" s="20" t="n">
        <f aca="false">IF(N250&lt;=CapB,1,0)</f>
        <v>0</v>
      </c>
      <c r="AI250" s="20" t="n">
        <f aca="false">IF(N250&lt;=CapC,1,0)</f>
        <v>0</v>
      </c>
      <c r="AJ250" s="21" t="n">
        <f aca="false">IF(AG250=1,AD250,-999)</f>
        <v>-999</v>
      </c>
      <c r="AK250" s="21" t="n">
        <f aca="false">IF(AH250=1,AD250,-999)</f>
        <v>-999</v>
      </c>
      <c r="AL250" s="21" t="n">
        <f aca="false">IF(AI250=1,AD250,-999)</f>
        <v>-999</v>
      </c>
      <c r="AM250" s="21" t="str">
        <f aca="false">C250&amp;"|"&amp;E250&amp;"|"&amp;G250&amp;"|"&amp;TEXT(AJ250,"0.00000")</f>
        <v>1|3|10|-999.00000</v>
      </c>
      <c r="AN250" s="21" t="str">
        <f aca="false">C250&amp;"|"&amp;E250&amp;"|"&amp;G250&amp;"|"&amp;TEXT(AK250,"0.00000")</f>
        <v>1|3|10|-999.00000</v>
      </c>
      <c r="AO250" s="21" t="str">
        <f aca="false">C250&amp;"|"&amp;E250&amp;"|"&amp;G250&amp;"|"&amp;TEXT(AL250,"0.00000")</f>
        <v>1|3|10|-999.00000</v>
      </c>
    </row>
    <row r="251" customFormat="false" ht="15" hidden="false" customHeight="false" outlineLevel="0" collapsed="false">
      <c r="A251" s="20" t="n">
        <v>9</v>
      </c>
      <c r="B251" s="18" t="str">
        <f aca="false">INDEX(C_Name,A251)</f>
        <v>흑석한강푸르지오 84.98㎡</v>
      </c>
      <c r="C251" s="20" t="n">
        <v>2</v>
      </c>
      <c r="D251" s="21" t="str">
        <f aca="false">CHOOSE(C251,"1안 표준형(대출 최대)","2안 절충형(대출 50%)","3안 무대출형","4안 임대차 승계 후 입주","5안 매수 보류(전세 거주)")</f>
        <v>2안 절충형(대출 50%)</v>
      </c>
      <c r="E251" s="20" t="n">
        <v>1</v>
      </c>
      <c r="F251" s="10" t="n">
        <f aca="false">CHOOSE(E251,GrowLo,GrowMid,GrowHi)</f>
        <v>0.02</v>
      </c>
      <c r="G251" s="20" t="n">
        <v>5</v>
      </c>
      <c r="H251" s="18" t="n">
        <f aca="false">INDEX(C_Price,A251)</f>
        <v>20</v>
      </c>
      <c r="I251" s="18" t="n">
        <f aca="false">INDEX(C_Jeonse,A251)</f>
        <v>10.4</v>
      </c>
      <c r="J251" s="21" t="n">
        <f aca="false">IF(C251=5,0,IF(C251=1,INDEX(C_Loan,A251),IF(C251=2,INDEX(C_Loan,A251)*LoanShare2,IF(C251=3,0,MIN(INDEX(C_Loan,A251),I251)))))</f>
        <v>2</v>
      </c>
      <c r="K251" s="18" t="n">
        <f aca="false">IF(C251=5,0,INDEX(C_Acq,A251))</f>
        <v>0.66</v>
      </c>
      <c r="L251" s="18" t="n">
        <f aca="false">IF(C251=5,0,INDEX(C_Fee,A251))</f>
        <v>0.174</v>
      </c>
      <c r="M251" s="21" t="n">
        <f aca="false">IF(C251=4,MAX(0,I251-J251),0)</f>
        <v>0</v>
      </c>
      <c r="N251" s="21" t="n">
        <f aca="false">IF(C251=5,I251,IF(C251=4,(H251-I251)+K251+L251+M251,H251-J251+K251+L251))</f>
        <v>18.834</v>
      </c>
      <c r="O251" s="20" t="n">
        <f aca="false">IF(C251=4,RentYears,0)</f>
        <v>0</v>
      </c>
      <c r="P251" s="20" t="n">
        <f aca="false">IF(C251=5,0,MAX(0,G251-O251-NonRes))</f>
        <v>5</v>
      </c>
      <c r="Q251" s="21" t="n">
        <f aca="false">IF(C251=5,0,H251*(1+F251)^G251)</f>
        <v>22.081616064</v>
      </c>
      <c r="R251" s="21" t="n">
        <f aca="false">IF(C251=5,0,Q251*LOOKUP(Q251,FeeLo,FeeR)*(1+VAT))</f>
        <v>0.1700284436928</v>
      </c>
      <c r="S251" s="21" t="n">
        <f aca="false">IF(J251&gt;0,-CUMIPMT(Rm,LoanYears*12,J251,1,(G251-O251)*12,0),0)</f>
        <v>0.38184861728037</v>
      </c>
      <c r="T251" s="29" t="n">
        <f aca="false">IF(C251=5,0,SUMIFS(Sch_Total,Sch_Idx,A251,Sch_Scen,E251,Sch_Year,"&lt;="&amp;G251))</f>
        <v>0.27189132080256</v>
      </c>
      <c r="U251" s="21" t="n">
        <f aca="false">K251+L251+R251</f>
        <v>1.0040284436928</v>
      </c>
      <c r="V251" s="21" t="n">
        <f aca="false">IF(C251=5,0,Q251-H251-U251)</f>
        <v>1.0775876203072</v>
      </c>
      <c r="W251" s="21" t="n">
        <f aca="false">IF(C251=5,0,MAX(0,IF(P251&gt;=2,IF(Q251&gt;Exempt,V251*(Q251-Exempt)/Q251,0),V251)))</f>
        <v>0.491985035505082</v>
      </c>
      <c r="X251" s="10" t="n">
        <f aca="false">IF(P251&gt;=2,MIN(MaxDed,MIN(0.4,HoldRate*G251)+MIN(0.4,LiveRate*P251)),IF(G251&gt;=3,MIN(0.3,0.02*G251),0))</f>
        <v>0.4</v>
      </c>
      <c r="Y251" s="21" t="n">
        <f aca="false">MAX(0,W251*(1-X251)-InitDed)</f>
        <v>0.270191021303049</v>
      </c>
      <c r="Z251" s="29" t="n">
        <f aca="false">SUMPRODUCT((Y251&gt;CLo)*(Y251-CLo)*CD)*(1+LocalTax)</f>
        <v>0.0307215185150031</v>
      </c>
      <c r="AA251" s="21" t="n">
        <f aca="false">K251+T251+Z251</f>
        <v>0.962612839317563</v>
      </c>
      <c r="AB251" s="29" t="n">
        <f aca="false">IF(C251=5,0,(Q251-H251)-K251-L251-R251-S251-T251-Z251)</f>
        <v>0.393126163709269</v>
      </c>
      <c r="AC251" s="21" t="n">
        <f aca="false">IF(C251=5,0,N251*((1+DepRate*(1-DepTax))^G251-1))</f>
        <v>2.51447108264388</v>
      </c>
      <c r="AD251" s="29" t="n">
        <f aca="false">IF(C251=5,0,AB251-AC251+I251*(((1+DepRate*(1-DepTax))^G251-1)-((1+DepRate*(1-DepTax))^O251-1)))</f>
        <v>-0.732871983844011</v>
      </c>
      <c r="AE251" s="30" t="n">
        <f aca="false">IF(J251&gt;0,-PMT(Rm,LoanYears*12,J251)*10000,0)</f>
        <v>95.4830590930919</v>
      </c>
      <c r="AF251" s="21" t="n">
        <f aca="false">IF(J251&gt;0,-PMT((Rate+Stress)/12,LoanYears*12,J251)*12/DSR,0)</f>
        <v>0.39918149710751</v>
      </c>
      <c r="AG251" s="20" t="n">
        <f aca="false">IF(N251&lt;=CapA,1,0)</f>
        <v>0</v>
      </c>
      <c r="AH251" s="20" t="n">
        <f aca="false">IF(N251&lt;=CapB,1,0)</f>
        <v>0</v>
      </c>
      <c r="AI251" s="20" t="n">
        <f aca="false">IF(N251&lt;=CapC,1,0)</f>
        <v>0</v>
      </c>
      <c r="AJ251" s="21" t="n">
        <f aca="false">IF(AG251=1,AD251,-999)</f>
        <v>-999</v>
      </c>
      <c r="AK251" s="21" t="n">
        <f aca="false">IF(AH251=1,AD251,-999)</f>
        <v>-999</v>
      </c>
      <c r="AL251" s="21" t="n">
        <f aca="false">IF(AI251=1,AD251,-999)</f>
        <v>-999</v>
      </c>
      <c r="AM251" s="21" t="str">
        <f aca="false">C251&amp;"|"&amp;E251&amp;"|"&amp;G251&amp;"|"&amp;TEXT(AJ251,"0.00000")</f>
        <v>2|1|5|-999.00000</v>
      </c>
      <c r="AN251" s="21" t="str">
        <f aca="false">C251&amp;"|"&amp;E251&amp;"|"&amp;G251&amp;"|"&amp;TEXT(AK251,"0.00000")</f>
        <v>2|1|5|-999.00000</v>
      </c>
      <c r="AO251" s="21" t="str">
        <f aca="false">C251&amp;"|"&amp;E251&amp;"|"&amp;G251&amp;"|"&amp;TEXT(AL251,"0.00000")</f>
        <v>2|1|5|-999.00000</v>
      </c>
    </row>
    <row r="252" customFormat="false" ht="15" hidden="false" customHeight="false" outlineLevel="0" collapsed="false">
      <c r="A252" s="20" t="n">
        <v>9</v>
      </c>
      <c r="B252" s="18" t="str">
        <f aca="false">INDEX(C_Name,A252)</f>
        <v>흑석한강푸르지오 84.98㎡</v>
      </c>
      <c r="C252" s="20" t="n">
        <v>2</v>
      </c>
      <c r="D252" s="21" t="str">
        <f aca="false">CHOOSE(C252,"1안 표준형(대출 최대)","2안 절충형(대출 50%)","3안 무대출형","4안 임대차 승계 후 입주","5안 매수 보류(전세 거주)")</f>
        <v>2안 절충형(대출 50%)</v>
      </c>
      <c r="E252" s="20" t="n">
        <v>1</v>
      </c>
      <c r="F252" s="10" t="n">
        <f aca="false">CHOOSE(E252,GrowLo,GrowMid,GrowHi)</f>
        <v>0.02</v>
      </c>
      <c r="G252" s="20" t="n">
        <v>10</v>
      </c>
      <c r="H252" s="18" t="n">
        <f aca="false">INDEX(C_Price,A252)</f>
        <v>20</v>
      </c>
      <c r="I252" s="18" t="n">
        <f aca="false">INDEX(C_Jeonse,A252)</f>
        <v>10.4</v>
      </c>
      <c r="J252" s="21" t="n">
        <f aca="false">IF(C252=5,0,IF(C252=1,INDEX(C_Loan,A252),IF(C252=2,INDEX(C_Loan,A252)*LoanShare2,IF(C252=3,0,MIN(INDEX(C_Loan,A252),I252)))))</f>
        <v>2</v>
      </c>
      <c r="K252" s="18" t="n">
        <f aca="false">IF(C252=5,0,INDEX(C_Acq,A252))</f>
        <v>0.66</v>
      </c>
      <c r="L252" s="18" t="n">
        <f aca="false">IF(C252=5,0,INDEX(C_Fee,A252))</f>
        <v>0.174</v>
      </c>
      <c r="M252" s="21" t="n">
        <f aca="false">IF(C252=4,MAX(0,I252-J252),0)</f>
        <v>0</v>
      </c>
      <c r="N252" s="21" t="n">
        <f aca="false">IF(C252=5,I252,IF(C252=4,(H252-I252)+K252+L252+M252,H252-J252+K252+L252))</f>
        <v>18.834</v>
      </c>
      <c r="O252" s="20" t="n">
        <f aca="false">IF(C252=4,RentYears,0)</f>
        <v>0</v>
      </c>
      <c r="P252" s="20" t="n">
        <f aca="false">IF(C252=5,0,MAX(0,G252-O252-NonRes))</f>
        <v>10</v>
      </c>
      <c r="Q252" s="21" t="n">
        <f aca="false">IF(C252=5,0,H252*(1+F252)^G252)</f>
        <v>24.3798883998951</v>
      </c>
      <c r="R252" s="21" t="n">
        <f aca="false">IF(C252=5,0,Q252*LOOKUP(Q252,FeeLo,FeeR)*(1+VAT))</f>
        <v>0.187725140679193</v>
      </c>
      <c r="S252" s="21" t="n">
        <f aca="false">IF(J252&gt;0,-CUMIPMT(Rm,LoanYears*12,J252,1,(G252-O252)*12,0),0)</f>
        <v>0.721475893348725</v>
      </c>
      <c r="T252" s="29" t="n">
        <f aca="false">IF(C252=5,0,SUMIFS(Sch_Total,Sch_Idx,A252,Sch_Scen,E252,Sch_Year,"&lt;="&amp;G252))</f>
        <v>0.598497016509519</v>
      </c>
      <c r="U252" s="21" t="n">
        <f aca="false">K252+L252+R252</f>
        <v>1.02172514067919</v>
      </c>
      <c r="V252" s="21" t="n">
        <f aca="false">IF(C252=5,0,Q252-H252-U252)</f>
        <v>3.35816325921595</v>
      </c>
      <c r="W252" s="21" t="n">
        <f aca="false">IF(C252=5,0,MAX(0,IF(P252&gt;=2,IF(Q252&gt;Exempt,V252*(Q252-Exempt)/Q252,0),V252)))</f>
        <v>1.70524514697534</v>
      </c>
      <c r="X252" s="10" t="n">
        <f aca="false">IF(P252&gt;=2,MIN(MaxDed,MIN(0.4,HoldRate*G252)+MIN(0.4,LiveRate*P252)),IF(G252&gt;=3,MIN(0.3,0.02*G252),0))</f>
        <v>0.8</v>
      </c>
      <c r="Y252" s="21" t="n">
        <f aca="false">MAX(0,W252*(1-X252)-InitDed)</f>
        <v>0.316049029395069</v>
      </c>
      <c r="Z252" s="29" t="n">
        <f aca="false">SUMPRODUCT((Y252&gt;CLo)*(Y252-CLo)*CD)*(1+LocalTax)</f>
        <v>0.0382880898501863</v>
      </c>
      <c r="AA252" s="21" t="n">
        <f aca="false">K252+T252+Z252</f>
        <v>1.29678510635971</v>
      </c>
      <c r="AB252" s="29" t="n">
        <f aca="false">IF(C252=5,0,(Q252-H252)-K252-L252-R252-S252-T252-Z252)</f>
        <v>1.99990225950752</v>
      </c>
      <c r="AC252" s="21" t="n">
        <f aca="false">IF(C252=5,0,N252*((1+DepRate*(1-DepTax))^G252-1))</f>
        <v>5.36464168877996</v>
      </c>
      <c r="AD252" s="29" t="n">
        <f aca="false">IF(C252=5,0,AB252-AC252+I252*(((1+DepRate*(1-DepTax))^G252-1)-((1+DepRate*(1-DepTax))^O252-1)))</f>
        <v>-0.402422684910561</v>
      </c>
      <c r="AE252" s="30" t="n">
        <f aca="false">IF(J252&gt;0,-PMT(Rm,LoanYears*12,J252)*10000,0)</f>
        <v>95.4830590930919</v>
      </c>
      <c r="AF252" s="21" t="n">
        <f aca="false">IF(J252&gt;0,-PMT((Rate+Stress)/12,LoanYears*12,J252)*12/DSR,0)</f>
        <v>0.39918149710751</v>
      </c>
      <c r="AG252" s="20" t="n">
        <f aca="false">IF(N252&lt;=CapA,1,0)</f>
        <v>0</v>
      </c>
      <c r="AH252" s="20" t="n">
        <f aca="false">IF(N252&lt;=CapB,1,0)</f>
        <v>0</v>
      </c>
      <c r="AI252" s="20" t="n">
        <f aca="false">IF(N252&lt;=CapC,1,0)</f>
        <v>0</v>
      </c>
      <c r="AJ252" s="21" t="n">
        <f aca="false">IF(AG252=1,AD252,-999)</f>
        <v>-999</v>
      </c>
      <c r="AK252" s="21" t="n">
        <f aca="false">IF(AH252=1,AD252,-999)</f>
        <v>-999</v>
      </c>
      <c r="AL252" s="21" t="n">
        <f aca="false">IF(AI252=1,AD252,-999)</f>
        <v>-999</v>
      </c>
      <c r="AM252" s="21" t="str">
        <f aca="false">C252&amp;"|"&amp;E252&amp;"|"&amp;G252&amp;"|"&amp;TEXT(AJ252,"0.00000")</f>
        <v>2|1|10|-999.00000</v>
      </c>
      <c r="AN252" s="21" t="str">
        <f aca="false">C252&amp;"|"&amp;E252&amp;"|"&amp;G252&amp;"|"&amp;TEXT(AK252,"0.00000")</f>
        <v>2|1|10|-999.00000</v>
      </c>
      <c r="AO252" s="21" t="str">
        <f aca="false">C252&amp;"|"&amp;E252&amp;"|"&amp;G252&amp;"|"&amp;TEXT(AL252,"0.00000")</f>
        <v>2|1|10|-999.00000</v>
      </c>
    </row>
    <row r="253" customFormat="false" ht="15" hidden="false" customHeight="false" outlineLevel="0" collapsed="false">
      <c r="A253" s="20" t="n">
        <v>9</v>
      </c>
      <c r="B253" s="18" t="str">
        <f aca="false">INDEX(C_Name,A253)</f>
        <v>흑석한강푸르지오 84.98㎡</v>
      </c>
      <c r="C253" s="20" t="n">
        <v>2</v>
      </c>
      <c r="D253" s="21" t="str">
        <f aca="false">CHOOSE(C253,"1안 표준형(대출 최대)","2안 절충형(대출 50%)","3안 무대출형","4안 임대차 승계 후 입주","5안 매수 보류(전세 거주)")</f>
        <v>2안 절충형(대출 50%)</v>
      </c>
      <c r="E253" s="20" t="n">
        <v>2</v>
      </c>
      <c r="F253" s="10" t="n">
        <f aca="false">CHOOSE(E253,GrowLo,GrowMid,GrowHi)</f>
        <v>0.04</v>
      </c>
      <c r="G253" s="20" t="n">
        <v>5</v>
      </c>
      <c r="H253" s="18" t="n">
        <f aca="false">INDEX(C_Price,A253)</f>
        <v>20</v>
      </c>
      <c r="I253" s="18" t="n">
        <f aca="false">INDEX(C_Jeonse,A253)</f>
        <v>10.4</v>
      </c>
      <c r="J253" s="21" t="n">
        <f aca="false">IF(C253=5,0,IF(C253=1,INDEX(C_Loan,A253),IF(C253=2,INDEX(C_Loan,A253)*LoanShare2,IF(C253=3,0,MIN(INDEX(C_Loan,A253),I253)))))</f>
        <v>2</v>
      </c>
      <c r="K253" s="18" t="n">
        <f aca="false">IF(C253=5,0,INDEX(C_Acq,A253))</f>
        <v>0.66</v>
      </c>
      <c r="L253" s="18" t="n">
        <f aca="false">IF(C253=5,0,INDEX(C_Fee,A253))</f>
        <v>0.174</v>
      </c>
      <c r="M253" s="21" t="n">
        <f aca="false">IF(C253=4,MAX(0,I253-J253),0)</f>
        <v>0</v>
      </c>
      <c r="N253" s="21" t="n">
        <f aca="false">IF(C253=5,I253,IF(C253=4,(H253-I253)+K253+L253+M253,H253-J253+K253+L253))</f>
        <v>18.834</v>
      </c>
      <c r="O253" s="20" t="n">
        <f aca="false">IF(C253=4,RentYears,0)</f>
        <v>0</v>
      </c>
      <c r="P253" s="20" t="n">
        <f aca="false">IF(C253=5,0,MAX(0,G253-O253-NonRes))</f>
        <v>5</v>
      </c>
      <c r="Q253" s="21" t="n">
        <f aca="false">IF(C253=5,0,H253*(1+F253)^G253)</f>
        <v>24.333058048</v>
      </c>
      <c r="R253" s="21" t="n">
        <f aca="false">IF(C253=5,0,Q253*LOOKUP(Q253,FeeLo,FeeR)*(1+VAT))</f>
        <v>0.1873645469696</v>
      </c>
      <c r="S253" s="21" t="n">
        <f aca="false">IF(J253&gt;0,-CUMIPMT(Rm,LoanYears*12,J253,1,(G253-O253)*12,0),0)</f>
        <v>0.38184861728037</v>
      </c>
      <c r="T253" s="29" t="n">
        <f aca="false">IF(C253=5,0,SUMIFS(Sch_Total,Sch_Idx,A253,Sch_Scen,E253,Sch_Year,"&lt;="&amp;G253))</f>
        <v>0.29333523972096</v>
      </c>
      <c r="U253" s="21" t="n">
        <f aca="false">K253+L253+R253</f>
        <v>1.0213645469696</v>
      </c>
      <c r="V253" s="21" t="n">
        <f aca="false">IF(C253=5,0,Q253-H253-U253)</f>
        <v>3.3116935010304</v>
      </c>
      <c r="W253" s="21" t="n">
        <f aca="false">IF(C253=5,0,MAX(0,IF(P253&gt;=2,IF(Q253&gt;Exempt,V253*(Q253-Exempt)/Q253,0),V253)))</f>
        <v>1.678511106365</v>
      </c>
      <c r="X253" s="10" t="n">
        <f aca="false">IF(P253&gt;=2,MIN(MaxDed,MIN(0.4,HoldRate*G253)+MIN(0.4,LiveRate*P253)),IF(G253&gt;=3,MIN(0.3,0.02*G253),0))</f>
        <v>0.4</v>
      </c>
      <c r="Y253" s="21" t="n">
        <f aca="false">MAX(0,W253*(1-X253)-InitDed)</f>
        <v>0.982106663819001</v>
      </c>
      <c r="Z253" s="29" t="n">
        <f aca="false">SUMPRODUCT((Y253&gt;CLo)*(Y253-CLo)*CD)*(1+LocalTax)</f>
        <v>0.208271065570315</v>
      </c>
      <c r="AA253" s="21" t="n">
        <f aca="false">K253+T253+Z253</f>
        <v>1.16160630529128</v>
      </c>
      <c r="AB253" s="29" t="n">
        <f aca="false">IF(C253=5,0,(Q253-H253)-K253-L253-R253-S253-T253-Z253)</f>
        <v>2.42823857845876</v>
      </c>
      <c r="AC253" s="21" t="n">
        <f aca="false">IF(C253=5,0,N253*((1+DepRate*(1-DepTax))^G253-1))</f>
        <v>2.51447108264388</v>
      </c>
      <c r="AD253" s="29" t="n">
        <f aca="false">IF(C253=5,0,AB253-AC253+I253*(((1+DepRate*(1-DepTax))^G253-1)-((1+DepRate*(1-DepTax))^O253-1)))</f>
        <v>1.30224043090548</v>
      </c>
      <c r="AE253" s="30" t="n">
        <f aca="false">IF(J253&gt;0,-PMT(Rm,LoanYears*12,J253)*10000,0)</f>
        <v>95.4830590930919</v>
      </c>
      <c r="AF253" s="21" t="n">
        <f aca="false">IF(J253&gt;0,-PMT((Rate+Stress)/12,LoanYears*12,J253)*12/DSR,0)</f>
        <v>0.39918149710751</v>
      </c>
      <c r="AG253" s="20" t="n">
        <f aca="false">IF(N253&lt;=CapA,1,0)</f>
        <v>0</v>
      </c>
      <c r="AH253" s="20" t="n">
        <f aca="false">IF(N253&lt;=CapB,1,0)</f>
        <v>0</v>
      </c>
      <c r="AI253" s="20" t="n">
        <f aca="false">IF(N253&lt;=CapC,1,0)</f>
        <v>0</v>
      </c>
      <c r="AJ253" s="21" t="n">
        <f aca="false">IF(AG253=1,AD253,-999)</f>
        <v>-999</v>
      </c>
      <c r="AK253" s="21" t="n">
        <f aca="false">IF(AH253=1,AD253,-999)</f>
        <v>-999</v>
      </c>
      <c r="AL253" s="21" t="n">
        <f aca="false">IF(AI253=1,AD253,-999)</f>
        <v>-999</v>
      </c>
      <c r="AM253" s="21" t="str">
        <f aca="false">C253&amp;"|"&amp;E253&amp;"|"&amp;G253&amp;"|"&amp;TEXT(AJ253,"0.00000")</f>
        <v>2|2|5|-999.00000</v>
      </c>
      <c r="AN253" s="21" t="str">
        <f aca="false">C253&amp;"|"&amp;E253&amp;"|"&amp;G253&amp;"|"&amp;TEXT(AK253,"0.00000")</f>
        <v>2|2|5|-999.00000</v>
      </c>
      <c r="AO253" s="21" t="str">
        <f aca="false">C253&amp;"|"&amp;E253&amp;"|"&amp;G253&amp;"|"&amp;TEXT(AL253,"0.00000")</f>
        <v>2|2|5|-999.00000</v>
      </c>
    </row>
    <row r="254" customFormat="false" ht="15" hidden="false" customHeight="false" outlineLevel="0" collapsed="false">
      <c r="A254" s="20" t="n">
        <v>9</v>
      </c>
      <c r="B254" s="18" t="str">
        <f aca="false">INDEX(C_Name,A254)</f>
        <v>흑석한강푸르지오 84.98㎡</v>
      </c>
      <c r="C254" s="20" t="n">
        <v>2</v>
      </c>
      <c r="D254" s="21" t="str">
        <f aca="false">CHOOSE(C254,"1안 표준형(대출 최대)","2안 절충형(대출 50%)","3안 무대출형","4안 임대차 승계 후 입주","5안 매수 보류(전세 거주)")</f>
        <v>2안 절충형(대출 50%)</v>
      </c>
      <c r="E254" s="20" t="n">
        <v>2</v>
      </c>
      <c r="F254" s="10" t="n">
        <f aca="false">CHOOSE(E254,GrowLo,GrowMid,GrowHi)</f>
        <v>0.04</v>
      </c>
      <c r="G254" s="20" t="n">
        <v>10</v>
      </c>
      <c r="H254" s="18" t="n">
        <f aca="false">INDEX(C_Price,A254)</f>
        <v>20</v>
      </c>
      <c r="I254" s="18" t="n">
        <f aca="false">INDEX(C_Jeonse,A254)</f>
        <v>10.4</v>
      </c>
      <c r="J254" s="21" t="n">
        <f aca="false">IF(C254=5,0,IF(C254=1,INDEX(C_Loan,A254),IF(C254=2,INDEX(C_Loan,A254)*LoanShare2,IF(C254=3,0,MIN(INDEX(C_Loan,A254),I254)))))</f>
        <v>2</v>
      </c>
      <c r="K254" s="18" t="n">
        <f aca="false">IF(C254=5,0,INDEX(C_Acq,A254))</f>
        <v>0.66</v>
      </c>
      <c r="L254" s="18" t="n">
        <f aca="false">IF(C254=5,0,INDEX(C_Fee,A254))</f>
        <v>0.174</v>
      </c>
      <c r="M254" s="21" t="n">
        <f aca="false">IF(C254=4,MAX(0,I254-J254),0)</f>
        <v>0</v>
      </c>
      <c r="N254" s="21" t="n">
        <f aca="false">IF(C254=5,I254,IF(C254=4,(H254-I254)+K254+L254+M254,H254-J254+K254+L254))</f>
        <v>18.834</v>
      </c>
      <c r="O254" s="20" t="n">
        <f aca="false">IF(C254=4,RentYears,0)</f>
        <v>0</v>
      </c>
      <c r="P254" s="20" t="n">
        <f aca="false">IF(C254=5,0,MAX(0,G254-O254-NonRes))</f>
        <v>10</v>
      </c>
      <c r="Q254" s="21" t="n">
        <f aca="false">IF(C254=5,0,H254*(1+F254)^G254)</f>
        <v>29.6048856983669</v>
      </c>
      <c r="R254" s="21" t="n">
        <f aca="false">IF(C254=5,0,Q254*LOOKUP(Q254,FeeLo,FeeR)*(1+VAT))</f>
        <v>0.227957619877425</v>
      </c>
      <c r="S254" s="21" t="n">
        <f aca="false">IF(J254&gt;0,-CUMIPMT(Rm,LoanYears*12,J254,1,(G254-O254)*12,0),0)</f>
        <v>0.721475893348725</v>
      </c>
      <c r="T254" s="29" t="n">
        <f aca="false">IF(C254=5,0,SUMIFS(Sch_Total,Sch_Idx,A254,Sch_Scen,E254,Sch_Year,"&lt;="&amp;G254))</f>
        <v>0.714063789491406</v>
      </c>
      <c r="U254" s="21" t="n">
        <f aca="false">K254+L254+R254</f>
        <v>1.06195761987743</v>
      </c>
      <c r="V254" s="21" t="n">
        <f aca="false">IF(C254=5,0,Q254-H254-U254)</f>
        <v>8.54292807848946</v>
      </c>
      <c r="W254" s="21" t="n">
        <f aca="false">IF(C254=5,0,MAX(0,IF(P254&gt;=2,IF(Q254&gt;Exempt,V254*(Q254-Exempt)/Q254,0),V254)))</f>
        <v>5.08015041447947</v>
      </c>
      <c r="X254" s="10" t="n">
        <f aca="false">IF(P254&gt;=2,MIN(MaxDed,MIN(0.4,HoldRate*G254)+MIN(0.4,LiveRate*P254)),IF(G254&gt;=3,MIN(0.3,0.02*G254),0))</f>
        <v>0.8</v>
      </c>
      <c r="Y254" s="21" t="n">
        <f aca="false">MAX(0,W254*(1-X254)-InitDed)</f>
        <v>0.991030082895895</v>
      </c>
      <c r="Z254" s="29" t="n">
        <f aca="false">SUMPRODUCT((Y254&gt;CLo)*(Y254-CLo)*CD)*(1+LocalTax)</f>
        <v>0.211706581914919</v>
      </c>
      <c r="AA254" s="21" t="n">
        <f aca="false">K254+T254+Z254</f>
        <v>1.58577037140633</v>
      </c>
      <c r="AB254" s="29" t="n">
        <f aca="false">IF(C254=5,0,(Q254-H254)-K254-L254-R254-S254-T254-Z254)</f>
        <v>6.89568181373441</v>
      </c>
      <c r="AC254" s="21" t="n">
        <f aca="false">IF(C254=5,0,N254*((1+DepRate*(1-DepTax))^G254-1))</f>
        <v>5.36464168877996</v>
      </c>
      <c r="AD254" s="29" t="n">
        <f aca="false">IF(C254=5,0,AB254-AC254+I254*(((1+DepRate*(1-DepTax))^G254-1)-((1+DepRate*(1-DepTax))^O254-1)))</f>
        <v>4.49335686931633</v>
      </c>
      <c r="AE254" s="30" t="n">
        <f aca="false">IF(J254&gt;0,-PMT(Rm,LoanYears*12,J254)*10000,0)</f>
        <v>95.4830590930919</v>
      </c>
      <c r="AF254" s="21" t="n">
        <f aca="false">IF(J254&gt;0,-PMT((Rate+Stress)/12,LoanYears*12,J254)*12/DSR,0)</f>
        <v>0.39918149710751</v>
      </c>
      <c r="AG254" s="20" t="n">
        <f aca="false">IF(N254&lt;=CapA,1,0)</f>
        <v>0</v>
      </c>
      <c r="AH254" s="20" t="n">
        <f aca="false">IF(N254&lt;=CapB,1,0)</f>
        <v>0</v>
      </c>
      <c r="AI254" s="20" t="n">
        <f aca="false">IF(N254&lt;=CapC,1,0)</f>
        <v>0</v>
      </c>
      <c r="AJ254" s="21" t="n">
        <f aca="false">IF(AG254=1,AD254,-999)</f>
        <v>-999</v>
      </c>
      <c r="AK254" s="21" t="n">
        <f aca="false">IF(AH254=1,AD254,-999)</f>
        <v>-999</v>
      </c>
      <c r="AL254" s="21" t="n">
        <f aca="false">IF(AI254=1,AD254,-999)</f>
        <v>-999</v>
      </c>
      <c r="AM254" s="21" t="str">
        <f aca="false">C254&amp;"|"&amp;E254&amp;"|"&amp;G254&amp;"|"&amp;TEXT(AJ254,"0.00000")</f>
        <v>2|2|10|-999.00000</v>
      </c>
      <c r="AN254" s="21" t="str">
        <f aca="false">C254&amp;"|"&amp;E254&amp;"|"&amp;G254&amp;"|"&amp;TEXT(AK254,"0.00000")</f>
        <v>2|2|10|-999.00000</v>
      </c>
      <c r="AO254" s="21" t="str">
        <f aca="false">C254&amp;"|"&amp;E254&amp;"|"&amp;G254&amp;"|"&amp;TEXT(AL254,"0.00000")</f>
        <v>2|2|10|-999.00000</v>
      </c>
    </row>
    <row r="255" customFormat="false" ht="15" hidden="false" customHeight="false" outlineLevel="0" collapsed="false">
      <c r="A255" s="20" t="n">
        <v>9</v>
      </c>
      <c r="B255" s="18" t="str">
        <f aca="false">INDEX(C_Name,A255)</f>
        <v>흑석한강푸르지오 84.98㎡</v>
      </c>
      <c r="C255" s="20" t="n">
        <v>2</v>
      </c>
      <c r="D255" s="21" t="str">
        <f aca="false">CHOOSE(C255,"1안 표준형(대출 최대)","2안 절충형(대출 50%)","3안 무대출형","4안 임대차 승계 후 입주","5안 매수 보류(전세 거주)")</f>
        <v>2안 절충형(대출 50%)</v>
      </c>
      <c r="E255" s="20" t="n">
        <v>3</v>
      </c>
      <c r="F255" s="10" t="n">
        <f aca="false">CHOOSE(E255,GrowLo,GrowMid,GrowHi)</f>
        <v>0.06</v>
      </c>
      <c r="G255" s="20" t="n">
        <v>5</v>
      </c>
      <c r="H255" s="18" t="n">
        <f aca="false">INDEX(C_Price,A255)</f>
        <v>20</v>
      </c>
      <c r="I255" s="18" t="n">
        <f aca="false">INDEX(C_Jeonse,A255)</f>
        <v>10.4</v>
      </c>
      <c r="J255" s="21" t="n">
        <f aca="false">IF(C255=5,0,IF(C255=1,INDEX(C_Loan,A255),IF(C255=2,INDEX(C_Loan,A255)*LoanShare2,IF(C255=3,0,MIN(INDEX(C_Loan,A255),I255)))))</f>
        <v>2</v>
      </c>
      <c r="K255" s="18" t="n">
        <f aca="false">IF(C255=5,0,INDEX(C_Acq,A255))</f>
        <v>0.66</v>
      </c>
      <c r="L255" s="18" t="n">
        <f aca="false">IF(C255=5,0,INDEX(C_Fee,A255))</f>
        <v>0.174</v>
      </c>
      <c r="M255" s="21" t="n">
        <f aca="false">IF(C255=4,MAX(0,I255-J255),0)</f>
        <v>0</v>
      </c>
      <c r="N255" s="21" t="n">
        <f aca="false">IF(C255=5,I255,IF(C255=4,(H255-I255)+K255+L255+M255,H255-J255+K255+L255))</f>
        <v>18.834</v>
      </c>
      <c r="O255" s="20" t="n">
        <f aca="false">IF(C255=4,RentYears,0)</f>
        <v>0</v>
      </c>
      <c r="P255" s="20" t="n">
        <f aca="false">IF(C255=5,0,MAX(0,G255-O255-NonRes))</f>
        <v>5</v>
      </c>
      <c r="Q255" s="21" t="n">
        <f aca="false">IF(C255=5,0,H255*(1+F255)^G255)</f>
        <v>26.764511552</v>
      </c>
      <c r="R255" s="21" t="n">
        <f aca="false">IF(C255=5,0,Q255*LOOKUP(Q255,FeeLo,FeeR)*(1+VAT))</f>
        <v>0.2060867389504</v>
      </c>
      <c r="S255" s="21" t="n">
        <f aca="false">IF(J255&gt;0,-CUMIPMT(Rm,LoanYears*12,J255,1,(G255-O255)*12,0),0)</f>
        <v>0.38184861728037</v>
      </c>
      <c r="T255" s="29" t="n">
        <f aca="false">IF(C255=5,0,SUMIFS(Sch_Total,Sch_Idx,A255,Sch_Scen,E255,Sch_Year,"&lt;="&amp;G255))</f>
        <v>0.31624452459648</v>
      </c>
      <c r="U255" s="21" t="n">
        <f aca="false">K255+L255+R255</f>
        <v>1.0400867389504</v>
      </c>
      <c r="V255" s="21" t="n">
        <f aca="false">IF(C255=5,0,Q255-H255-U255)</f>
        <v>5.72442481304961</v>
      </c>
      <c r="W255" s="21" t="n">
        <f aca="false">IF(C255=5,0,MAX(0,IF(P255&gt;=2,IF(Q255&gt;Exempt,V255*(Q255-Exempt)/Q255,0),V255)))</f>
        <v>3.15785087714447</v>
      </c>
      <c r="X255" s="10" t="n">
        <f aca="false">IF(P255&gt;=2,MIN(MaxDed,MIN(0.4,HoldRate*G255)+MIN(0.4,LiveRate*P255)),IF(G255&gt;=3,MIN(0.3,0.02*G255),0))</f>
        <v>0.4</v>
      </c>
      <c r="Y255" s="21" t="n">
        <f aca="false">MAX(0,W255*(1-X255)-InitDed)</f>
        <v>1.86971052628668</v>
      </c>
      <c r="Z255" s="29" t="n">
        <f aca="false">SUMPRODUCT((Y255&gt;CLo)*(Y255-CLo)*CD)*(1+LocalTax)</f>
        <v>0.562198999987832</v>
      </c>
      <c r="AA255" s="21" t="n">
        <f aca="false">K255+T255+Z255</f>
        <v>1.53844352458431</v>
      </c>
      <c r="AB255" s="29" t="n">
        <f aca="false">IF(C255=5,0,(Q255-H255)-K255-L255-R255-S255-T255-Z255)</f>
        <v>4.46413267118492</v>
      </c>
      <c r="AC255" s="21" t="n">
        <f aca="false">IF(C255=5,0,N255*((1+DepRate*(1-DepTax))^G255-1))</f>
        <v>2.51447108264388</v>
      </c>
      <c r="AD255" s="29" t="n">
        <f aca="false">IF(C255=5,0,AB255-AC255+I255*(((1+DepRate*(1-DepTax))^G255-1)-((1+DepRate*(1-DepTax))^O255-1)))</f>
        <v>3.33813452363164</v>
      </c>
      <c r="AE255" s="30" t="n">
        <f aca="false">IF(J255&gt;0,-PMT(Rm,LoanYears*12,J255)*10000,0)</f>
        <v>95.4830590930919</v>
      </c>
      <c r="AF255" s="21" t="n">
        <f aca="false">IF(J255&gt;0,-PMT((Rate+Stress)/12,LoanYears*12,J255)*12/DSR,0)</f>
        <v>0.39918149710751</v>
      </c>
      <c r="AG255" s="20" t="n">
        <f aca="false">IF(N255&lt;=CapA,1,0)</f>
        <v>0</v>
      </c>
      <c r="AH255" s="20" t="n">
        <f aca="false">IF(N255&lt;=CapB,1,0)</f>
        <v>0</v>
      </c>
      <c r="AI255" s="20" t="n">
        <f aca="false">IF(N255&lt;=CapC,1,0)</f>
        <v>0</v>
      </c>
      <c r="AJ255" s="21" t="n">
        <f aca="false">IF(AG255=1,AD255,-999)</f>
        <v>-999</v>
      </c>
      <c r="AK255" s="21" t="n">
        <f aca="false">IF(AH255=1,AD255,-999)</f>
        <v>-999</v>
      </c>
      <c r="AL255" s="21" t="n">
        <f aca="false">IF(AI255=1,AD255,-999)</f>
        <v>-999</v>
      </c>
      <c r="AM255" s="21" t="str">
        <f aca="false">C255&amp;"|"&amp;E255&amp;"|"&amp;G255&amp;"|"&amp;TEXT(AJ255,"0.00000")</f>
        <v>2|3|5|-999.00000</v>
      </c>
      <c r="AN255" s="21" t="str">
        <f aca="false">C255&amp;"|"&amp;E255&amp;"|"&amp;G255&amp;"|"&amp;TEXT(AK255,"0.00000")</f>
        <v>2|3|5|-999.00000</v>
      </c>
      <c r="AO255" s="21" t="str">
        <f aca="false">C255&amp;"|"&amp;E255&amp;"|"&amp;G255&amp;"|"&amp;TEXT(AL255,"0.00000")</f>
        <v>2|3|5|-999.00000</v>
      </c>
    </row>
    <row r="256" customFormat="false" ht="15" hidden="false" customHeight="false" outlineLevel="0" collapsed="false">
      <c r="A256" s="20" t="n">
        <v>9</v>
      </c>
      <c r="B256" s="18" t="str">
        <f aca="false">INDEX(C_Name,A256)</f>
        <v>흑석한강푸르지오 84.98㎡</v>
      </c>
      <c r="C256" s="20" t="n">
        <v>2</v>
      </c>
      <c r="D256" s="21" t="str">
        <f aca="false">CHOOSE(C256,"1안 표준형(대출 최대)","2안 절충형(대출 50%)","3안 무대출형","4안 임대차 승계 후 입주","5안 매수 보류(전세 거주)")</f>
        <v>2안 절충형(대출 50%)</v>
      </c>
      <c r="E256" s="20" t="n">
        <v>3</v>
      </c>
      <c r="F256" s="10" t="n">
        <f aca="false">CHOOSE(E256,GrowLo,GrowMid,GrowHi)</f>
        <v>0.06</v>
      </c>
      <c r="G256" s="20" t="n">
        <v>10</v>
      </c>
      <c r="H256" s="18" t="n">
        <f aca="false">INDEX(C_Price,A256)</f>
        <v>20</v>
      </c>
      <c r="I256" s="18" t="n">
        <f aca="false">INDEX(C_Jeonse,A256)</f>
        <v>10.4</v>
      </c>
      <c r="J256" s="21" t="n">
        <f aca="false">IF(C256=5,0,IF(C256=1,INDEX(C_Loan,A256),IF(C256=2,INDEX(C_Loan,A256)*LoanShare2,IF(C256=3,0,MIN(INDEX(C_Loan,A256),I256)))))</f>
        <v>2</v>
      </c>
      <c r="K256" s="18" t="n">
        <f aca="false">IF(C256=5,0,INDEX(C_Acq,A256))</f>
        <v>0.66</v>
      </c>
      <c r="L256" s="18" t="n">
        <f aca="false">IF(C256=5,0,INDEX(C_Fee,A256))</f>
        <v>0.174</v>
      </c>
      <c r="M256" s="21" t="n">
        <f aca="false">IF(C256=4,MAX(0,I256-J256),0)</f>
        <v>0</v>
      </c>
      <c r="N256" s="21" t="n">
        <f aca="false">IF(C256=5,I256,IF(C256=4,(H256-I256)+K256+L256+M256,H256-J256+K256+L256))</f>
        <v>18.834</v>
      </c>
      <c r="O256" s="20" t="n">
        <f aca="false">IF(C256=4,RentYears,0)</f>
        <v>0</v>
      </c>
      <c r="P256" s="20" t="n">
        <f aca="false">IF(C256=5,0,MAX(0,G256-O256-NonRes))</f>
        <v>10</v>
      </c>
      <c r="Q256" s="21" t="n">
        <f aca="false">IF(C256=5,0,H256*(1+F256)^G256)</f>
        <v>35.8169539308571</v>
      </c>
      <c r="R256" s="21" t="n">
        <f aca="false">IF(C256=5,0,Q256*LOOKUP(Q256,FeeLo,FeeR)*(1+VAT))</f>
        <v>0.2757905452676</v>
      </c>
      <c r="S256" s="21" t="n">
        <f aca="false">IF(J256&gt;0,-CUMIPMT(Rm,LoanYears*12,J256,1,(G256-O256)*12,0),0)</f>
        <v>0.721475893348725</v>
      </c>
      <c r="T256" s="29" t="n">
        <f aca="false">IF(C256=5,0,SUMIFS(Sch_Total,Sch_Idx,A256,Sch_Scen,E256,Sch_Year,"&lt;="&amp;G256))</f>
        <v>0.854827558652494</v>
      </c>
      <c r="U256" s="21" t="n">
        <f aca="false">K256+L256+R256</f>
        <v>1.1097905452676</v>
      </c>
      <c r="V256" s="21" t="n">
        <f aca="false">IF(C256=5,0,Q256-H256-U256)</f>
        <v>14.7071633855895</v>
      </c>
      <c r="W256" s="21" t="n">
        <f aca="false">IF(C256=5,0,MAX(0,IF(P256&gt;=2,IF(Q256&gt;Exempt,V256*(Q256-Exempt)/Q256,0),V256)))</f>
        <v>9.77972145493923</v>
      </c>
      <c r="X256" s="10" t="n">
        <f aca="false">IF(P256&gt;=2,MIN(MaxDed,MIN(0.4,HoldRate*G256)+MIN(0.4,LiveRate*P256)),IF(G256&gt;=3,MIN(0.3,0.02*G256),0))</f>
        <v>0.8</v>
      </c>
      <c r="Y256" s="21" t="n">
        <f aca="false">MAX(0,W256*(1-X256)-InitDed)</f>
        <v>1.93094429098785</v>
      </c>
      <c r="Z256" s="29" t="n">
        <f aca="false">SUMPRODUCT((Y256&gt;CLo)*(Y256-CLo)*CD)*(1+LocalTax)</f>
        <v>0.587794713632919</v>
      </c>
      <c r="AA256" s="21" t="n">
        <f aca="false">K256+T256+Z256</f>
        <v>2.10262227228541</v>
      </c>
      <c r="AB256" s="29" t="n">
        <f aca="false">IF(C256=5,0,(Q256-H256)-K256-L256-R256-S256-T256-Z256)</f>
        <v>12.5430652199554</v>
      </c>
      <c r="AC256" s="21" t="n">
        <f aca="false">IF(C256=5,0,N256*((1+DepRate*(1-DepTax))^G256-1))</f>
        <v>5.36464168877996</v>
      </c>
      <c r="AD256" s="29" t="n">
        <f aca="false">IF(C256=5,0,AB256-AC256+I256*(((1+DepRate*(1-DepTax))^G256-1)-((1+DepRate*(1-DepTax))^O256-1)))</f>
        <v>10.1407402755373</v>
      </c>
      <c r="AE256" s="30" t="n">
        <f aca="false">IF(J256&gt;0,-PMT(Rm,LoanYears*12,J256)*10000,0)</f>
        <v>95.4830590930919</v>
      </c>
      <c r="AF256" s="21" t="n">
        <f aca="false">IF(J256&gt;0,-PMT((Rate+Stress)/12,LoanYears*12,J256)*12/DSR,0)</f>
        <v>0.39918149710751</v>
      </c>
      <c r="AG256" s="20" t="n">
        <f aca="false">IF(N256&lt;=CapA,1,0)</f>
        <v>0</v>
      </c>
      <c r="AH256" s="20" t="n">
        <f aca="false">IF(N256&lt;=CapB,1,0)</f>
        <v>0</v>
      </c>
      <c r="AI256" s="20" t="n">
        <f aca="false">IF(N256&lt;=CapC,1,0)</f>
        <v>0</v>
      </c>
      <c r="AJ256" s="21" t="n">
        <f aca="false">IF(AG256=1,AD256,-999)</f>
        <v>-999</v>
      </c>
      <c r="AK256" s="21" t="n">
        <f aca="false">IF(AH256=1,AD256,-999)</f>
        <v>-999</v>
      </c>
      <c r="AL256" s="21" t="n">
        <f aca="false">IF(AI256=1,AD256,-999)</f>
        <v>-999</v>
      </c>
      <c r="AM256" s="21" t="str">
        <f aca="false">C256&amp;"|"&amp;E256&amp;"|"&amp;G256&amp;"|"&amp;TEXT(AJ256,"0.00000")</f>
        <v>2|3|10|-999.00000</v>
      </c>
      <c r="AN256" s="21" t="str">
        <f aca="false">C256&amp;"|"&amp;E256&amp;"|"&amp;G256&amp;"|"&amp;TEXT(AK256,"0.00000")</f>
        <v>2|3|10|-999.00000</v>
      </c>
      <c r="AO256" s="21" t="str">
        <f aca="false">C256&amp;"|"&amp;E256&amp;"|"&amp;G256&amp;"|"&amp;TEXT(AL256,"0.00000")</f>
        <v>2|3|10|-999.00000</v>
      </c>
    </row>
    <row r="257" customFormat="false" ht="15" hidden="false" customHeight="false" outlineLevel="0" collapsed="false">
      <c r="A257" s="20" t="n">
        <v>9</v>
      </c>
      <c r="B257" s="18" t="str">
        <f aca="false">INDEX(C_Name,A257)</f>
        <v>흑석한강푸르지오 84.98㎡</v>
      </c>
      <c r="C257" s="20" t="n">
        <v>3</v>
      </c>
      <c r="D257" s="21" t="str">
        <f aca="false">CHOOSE(C257,"1안 표준형(대출 최대)","2안 절충형(대출 50%)","3안 무대출형","4안 임대차 승계 후 입주","5안 매수 보류(전세 거주)")</f>
        <v>3안 무대출형</v>
      </c>
      <c r="E257" s="20" t="n">
        <v>1</v>
      </c>
      <c r="F257" s="10" t="n">
        <f aca="false">CHOOSE(E257,GrowLo,GrowMid,GrowHi)</f>
        <v>0.02</v>
      </c>
      <c r="G257" s="20" t="n">
        <v>5</v>
      </c>
      <c r="H257" s="18" t="n">
        <f aca="false">INDEX(C_Price,A257)</f>
        <v>20</v>
      </c>
      <c r="I257" s="18" t="n">
        <f aca="false">INDEX(C_Jeonse,A257)</f>
        <v>10.4</v>
      </c>
      <c r="J257" s="21" t="n">
        <f aca="false">IF(C257=5,0,IF(C257=1,INDEX(C_Loan,A257),IF(C257=2,INDEX(C_Loan,A257)*LoanShare2,IF(C257=3,0,MIN(INDEX(C_Loan,A257),I257)))))</f>
        <v>0</v>
      </c>
      <c r="K257" s="18" t="n">
        <f aca="false">IF(C257=5,0,INDEX(C_Acq,A257))</f>
        <v>0.66</v>
      </c>
      <c r="L257" s="18" t="n">
        <f aca="false">IF(C257=5,0,INDEX(C_Fee,A257))</f>
        <v>0.174</v>
      </c>
      <c r="M257" s="21" t="n">
        <f aca="false">IF(C257=4,MAX(0,I257-J257),0)</f>
        <v>0</v>
      </c>
      <c r="N257" s="21" t="n">
        <f aca="false">IF(C257=5,I257,IF(C257=4,(H257-I257)+K257+L257+M257,H257-J257+K257+L257))</f>
        <v>20.834</v>
      </c>
      <c r="O257" s="20" t="n">
        <f aca="false">IF(C257=4,RentYears,0)</f>
        <v>0</v>
      </c>
      <c r="P257" s="20" t="n">
        <f aca="false">IF(C257=5,0,MAX(0,G257-O257-NonRes))</f>
        <v>5</v>
      </c>
      <c r="Q257" s="21" t="n">
        <f aca="false">IF(C257=5,0,H257*(1+F257)^G257)</f>
        <v>22.081616064</v>
      </c>
      <c r="R257" s="21" t="n">
        <f aca="false">IF(C257=5,0,Q257*LOOKUP(Q257,FeeLo,FeeR)*(1+VAT))</f>
        <v>0.1700284436928</v>
      </c>
      <c r="S257" s="21" t="n">
        <f aca="false">IF(J257&gt;0,-CUMIPMT(Rm,LoanYears*12,J257,1,(G257-O257)*12,0),0)</f>
        <v>0</v>
      </c>
      <c r="T257" s="29" t="n">
        <f aca="false">IF(C257=5,0,SUMIFS(Sch_Total,Sch_Idx,A257,Sch_Scen,E257,Sch_Year,"&lt;="&amp;G257))</f>
        <v>0.27189132080256</v>
      </c>
      <c r="U257" s="21" t="n">
        <f aca="false">K257+L257+R257</f>
        <v>1.0040284436928</v>
      </c>
      <c r="V257" s="21" t="n">
        <f aca="false">IF(C257=5,0,Q257-H257-U257)</f>
        <v>1.0775876203072</v>
      </c>
      <c r="W257" s="21" t="n">
        <f aca="false">IF(C257=5,0,MAX(0,IF(P257&gt;=2,IF(Q257&gt;Exempt,V257*(Q257-Exempt)/Q257,0),V257)))</f>
        <v>0.491985035505082</v>
      </c>
      <c r="X257" s="10" t="n">
        <f aca="false">IF(P257&gt;=2,MIN(MaxDed,MIN(0.4,HoldRate*G257)+MIN(0.4,LiveRate*P257)),IF(G257&gt;=3,MIN(0.3,0.02*G257),0))</f>
        <v>0.4</v>
      </c>
      <c r="Y257" s="21" t="n">
        <f aca="false">MAX(0,W257*(1-X257)-InitDed)</f>
        <v>0.270191021303049</v>
      </c>
      <c r="Z257" s="29" t="n">
        <f aca="false">SUMPRODUCT((Y257&gt;CLo)*(Y257-CLo)*CD)*(1+LocalTax)</f>
        <v>0.0307215185150031</v>
      </c>
      <c r="AA257" s="21" t="n">
        <f aca="false">K257+T257+Z257</f>
        <v>0.962612839317563</v>
      </c>
      <c r="AB257" s="29" t="n">
        <f aca="false">IF(C257=5,0,(Q257-H257)-K257-L257-R257-S257-T257-Z257)</f>
        <v>0.774974780989639</v>
      </c>
      <c r="AC257" s="21" t="n">
        <f aca="false">IF(C257=5,0,N257*((1+DepRate*(1-DepTax))^G257-1))</f>
        <v>2.78148510862284</v>
      </c>
      <c r="AD257" s="29" t="n">
        <f aca="false">IF(C257=5,0,AB257-AC257+I257*(((1+DepRate*(1-DepTax))^G257-1)-((1+DepRate*(1-DepTax))^O257-1)))</f>
        <v>-0.618037392542602</v>
      </c>
      <c r="AE257" s="30" t="n">
        <f aca="false">IF(J257&gt;0,-PMT(Rm,LoanYears*12,J257)*10000,0)</f>
        <v>0</v>
      </c>
      <c r="AF257" s="21" t="n">
        <f aca="false">IF(J257&gt;0,-PMT((Rate+Stress)/12,LoanYears*12,J257)*12/DSR,0)</f>
        <v>0</v>
      </c>
      <c r="AG257" s="20" t="n">
        <f aca="false">IF(N257&lt;=CapA,1,0)</f>
        <v>0</v>
      </c>
      <c r="AH257" s="20" t="n">
        <f aca="false">IF(N257&lt;=CapB,1,0)</f>
        <v>0</v>
      </c>
      <c r="AI257" s="20" t="n">
        <f aca="false">IF(N257&lt;=CapC,1,0)</f>
        <v>0</v>
      </c>
      <c r="AJ257" s="21" t="n">
        <f aca="false">IF(AG257=1,AD257,-999)</f>
        <v>-999</v>
      </c>
      <c r="AK257" s="21" t="n">
        <f aca="false">IF(AH257=1,AD257,-999)</f>
        <v>-999</v>
      </c>
      <c r="AL257" s="21" t="n">
        <f aca="false">IF(AI257=1,AD257,-999)</f>
        <v>-999</v>
      </c>
      <c r="AM257" s="21" t="str">
        <f aca="false">C257&amp;"|"&amp;E257&amp;"|"&amp;G257&amp;"|"&amp;TEXT(AJ257,"0.00000")</f>
        <v>3|1|5|-999.00000</v>
      </c>
      <c r="AN257" s="21" t="str">
        <f aca="false">C257&amp;"|"&amp;E257&amp;"|"&amp;G257&amp;"|"&amp;TEXT(AK257,"0.00000")</f>
        <v>3|1|5|-999.00000</v>
      </c>
      <c r="AO257" s="21" t="str">
        <f aca="false">C257&amp;"|"&amp;E257&amp;"|"&amp;G257&amp;"|"&amp;TEXT(AL257,"0.00000")</f>
        <v>3|1|5|-999.00000</v>
      </c>
    </row>
    <row r="258" customFormat="false" ht="15" hidden="false" customHeight="false" outlineLevel="0" collapsed="false">
      <c r="A258" s="20" t="n">
        <v>9</v>
      </c>
      <c r="B258" s="18" t="str">
        <f aca="false">INDEX(C_Name,A258)</f>
        <v>흑석한강푸르지오 84.98㎡</v>
      </c>
      <c r="C258" s="20" t="n">
        <v>3</v>
      </c>
      <c r="D258" s="21" t="str">
        <f aca="false">CHOOSE(C258,"1안 표준형(대출 최대)","2안 절충형(대출 50%)","3안 무대출형","4안 임대차 승계 후 입주","5안 매수 보류(전세 거주)")</f>
        <v>3안 무대출형</v>
      </c>
      <c r="E258" s="20" t="n">
        <v>1</v>
      </c>
      <c r="F258" s="10" t="n">
        <f aca="false">CHOOSE(E258,GrowLo,GrowMid,GrowHi)</f>
        <v>0.02</v>
      </c>
      <c r="G258" s="20" t="n">
        <v>10</v>
      </c>
      <c r="H258" s="18" t="n">
        <f aca="false">INDEX(C_Price,A258)</f>
        <v>20</v>
      </c>
      <c r="I258" s="18" t="n">
        <f aca="false">INDEX(C_Jeonse,A258)</f>
        <v>10.4</v>
      </c>
      <c r="J258" s="21" t="n">
        <f aca="false">IF(C258=5,0,IF(C258=1,INDEX(C_Loan,A258),IF(C258=2,INDEX(C_Loan,A258)*LoanShare2,IF(C258=3,0,MIN(INDEX(C_Loan,A258),I258)))))</f>
        <v>0</v>
      </c>
      <c r="K258" s="18" t="n">
        <f aca="false">IF(C258=5,0,INDEX(C_Acq,A258))</f>
        <v>0.66</v>
      </c>
      <c r="L258" s="18" t="n">
        <f aca="false">IF(C258=5,0,INDEX(C_Fee,A258))</f>
        <v>0.174</v>
      </c>
      <c r="M258" s="21" t="n">
        <f aca="false">IF(C258=4,MAX(0,I258-J258),0)</f>
        <v>0</v>
      </c>
      <c r="N258" s="21" t="n">
        <f aca="false">IF(C258=5,I258,IF(C258=4,(H258-I258)+K258+L258+M258,H258-J258+K258+L258))</f>
        <v>20.834</v>
      </c>
      <c r="O258" s="20" t="n">
        <f aca="false">IF(C258=4,RentYears,0)</f>
        <v>0</v>
      </c>
      <c r="P258" s="20" t="n">
        <f aca="false">IF(C258=5,0,MAX(0,G258-O258-NonRes))</f>
        <v>10</v>
      </c>
      <c r="Q258" s="21" t="n">
        <f aca="false">IF(C258=5,0,H258*(1+F258)^G258)</f>
        <v>24.3798883998951</v>
      </c>
      <c r="R258" s="21" t="n">
        <f aca="false">IF(C258=5,0,Q258*LOOKUP(Q258,FeeLo,FeeR)*(1+VAT))</f>
        <v>0.187725140679193</v>
      </c>
      <c r="S258" s="21" t="n">
        <f aca="false">IF(J258&gt;0,-CUMIPMT(Rm,LoanYears*12,J258,1,(G258-O258)*12,0),0)</f>
        <v>0</v>
      </c>
      <c r="T258" s="29" t="n">
        <f aca="false">IF(C258=5,0,SUMIFS(Sch_Total,Sch_Idx,A258,Sch_Scen,E258,Sch_Year,"&lt;="&amp;G258))</f>
        <v>0.598497016509519</v>
      </c>
      <c r="U258" s="21" t="n">
        <f aca="false">K258+L258+R258</f>
        <v>1.02172514067919</v>
      </c>
      <c r="V258" s="21" t="n">
        <f aca="false">IF(C258=5,0,Q258-H258-U258)</f>
        <v>3.35816325921595</v>
      </c>
      <c r="W258" s="21" t="n">
        <f aca="false">IF(C258=5,0,MAX(0,IF(P258&gt;=2,IF(Q258&gt;Exempt,V258*(Q258-Exempt)/Q258,0),V258)))</f>
        <v>1.70524514697534</v>
      </c>
      <c r="X258" s="10" t="n">
        <f aca="false">IF(P258&gt;=2,MIN(MaxDed,MIN(0.4,HoldRate*G258)+MIN(0.4,LiveRate*P258)),IF(G258&gt;=3,MIN(0.3,0.02*G258),0))</f>
        <v>0.8</v>
      </c>
      <c r="Y258" s="21" t="n">
        <f aca="false">MAX(0,W258*(1-X258)-InitDed)</f>
        <v>0.316049029395069</v>
      </c>
      <c r="Z258" s="29" t="n">
        <f aca="false">SUMPRODUCT((Y258&gt;CLo)*(Y258-CLo)*CD)*(1+LocalTax)</f>
        <v>0.0382880898501863</v>
      </c>
      <c r="AA258" s="21" t="n">
        <f aca="false">K258+T258+Z258</f>
        <v>1.29678510635971</v>
      </c>
      <c r="AB258" s="29" t="n">
        <f aca="false">IF(C258=5,0,(Q258-H258)-K258-L258-R258-S258-T258-Z258)</f>
        <v>2.72137815285625</v>
      </c>
      <c r="AC258" s="21" t="n">
        <f aca="false">IF(C258=5,0,N258*((1+DepRate*(1-DepTax))^G258-1))</f>
        <v>5.93431798577263</v>
      </c>
      <c r="AD258" s="29" t="n">
        <f aca="false">IF(C258=5,0,AB258-AC258+I258*(((1+DepRate*(1-DepTax))^G258-1)-((1+DepRate*(1-DepTax))^O258-1)))</f>
        <v>-0.250623088554505</v>
      </c>
      <c r="AE258" s="30" t="n">
        <f aca="false">IF(J258&gt;0,-PMT(Rm,LoanYears*12,J258)*10000,0)</f>
        <v>0</v>
      </c>
      <c r="AF258" s="21" t="n">
        <f aca="false">IF(J258&gt;0,-PMT((Rate+Stress)/12,LoanYears*12,J258)*12/DSR,0)</f>
        <v>0</v>
      </c>
      <c r="AG258" s="20" t="n">
        <f aca="false">IF(N258&lt;=CapA,1,0)</f>
        <v>0</v>
      </c>
      <c r="AH258" s="20" t="n">
        <f aca="false">IF(N258&lt;=CapB,1,0)</f>
        <v>0</v>
      </c>
      <c r="AI258" s="20" t="n">
        <f aca="false">IF(N258&lt;=CapC,1,0)</f>
        <v>0</v>
      </c>
      <c r="AJ258" s="21" t="n">
        <f aca="false">IF(AG258=1,AD258,-999)</f>
        <v>-999</v>
      </c>
      <c r="AK258" s="21" t="n">
        <f aca="false">IF(AH258=1,AD258,-999)</f>
        <v>-999</v>
      </c>
      <c r="AL258" s="21" t="n">
        <f aca="false">IF(AI258=1,AD258,-999)</f>
        <v>-999</v>
      </c>
      <c r="AM258" s="21" t="str">
        <f aca="false">C258&amp;"|"&amp;E258&amp;"|"&amp;G258&amp;"|"&amp;TEXT(AJ258,"0.00000")</f>
        <v>3|1|10|-999.00000</v>
      </c>
      <c r="AN258" s="21" t="str">
        <f aca="false">C258&amp;"|"&amp;E258&amp;"|"&amp;G258&amp;"|"&amp;TEXT(AK258,"0.00000")</f>
        <v>3|1|10|-999.00000</v>
      </c>
      <c r="AO258" s="21" t="str">
        <f aca="false">C258&amp;"|"&amp;E258&amp;"|"&amp;G258&amp;"|"&amp;TEXT(AL258,"0.00000")</f>
        <v>3|1|10|-999.00000</v>
      </c>
    </row>
    <row r="259" customFormat="false" ht="15" hidden="false" customHeight="false" outlineLevel="0" collapsed="false">
      <c r="A259" s="20" t="n">
        <v>9</v>
      </c>
      <c r="B259" s="18" t="str">
        <f aca="false">INDEX(C_Name,A259)</f>
        <v>흑석한강푸르지오 84.98㎡</v>
      </c>
      <c r="C259" s="20" t="n">
        <v>3</v>
      </c>
      <c r="D259" s="21" t="str">
        <f aca="false">CHOOSE(C259,"1안 표준형(대출 최대)","2안 절충형(대출 50%)","3안 무대출형","4안 임대차 승계 후 입주","5안 매수 보류(전세 거주)")</f>
        <v>3안 무대출형</v>
      </c>
      <c r="E259" s="20" t="n">
        <v>2</v>
      </c>
      <c r="F259" s="10" t="n">
        <f aca="false">CHOOSE(E259,GrowLo,GrowMid,GrowHi)</f>
        <v>0.04</v>
      </c>
      <c r="G259" s="20" t="n">
        <v>5</v>
      </c>
      <c r="H259" s="18" t="n">
        <f aca="false">INDEX(C_Price,A259)</f>
        <v>20</v>
      </c>
      <c r="I259" s="18" t="n">
        <f aca="false">INDEX(C_Jeonse,A259)</f>
        <v>10.4</v>
      </c>
      <c r="J259" s="21" t="n">
        <f aca="false">IF(C259=5,0,IF(C259=1,INDEX(C_Loan,A259),IF(C259=2,INDEX(C_Loan,A259)*LoanShare2,IF(C259=3,0,MIN(INDEX(C_Loan,A259),I259)))))</f>
        <v>0</v>
      </c>
      <c r="K259" s="18" t="n">
        <f aca="false">IF(C259=5,0,INDEX(C_Acq,A259))</f>
        <v>0.66</v>
      </c>
      <c r="L259" s="18" t="n">
        <f aca="false">IF(C259=5,0,INDEX(C_Fee,A259))</f>
        <v>0.174</v>
      </c>
      <c r="M259" s="21" t="n">
        <f aca="false">IF(C259=4,MAX(0,I259-J259),0)</f>
        <v>0</v>
      </c>
      <c r="N259" s="21" t="n">
        <f aca="false">IF(C259=5,I259,IF(C259=4,(H259-I259)+K259+L259+M259,H259-J259+K259+L259))</f>
        <v>20.834</v>
      </c>
      <c r="O259" s="20" t="n">
        <f aca="false">IF(C259=4,RentYears,0)</f>
        <v>0</v>
      </c>
      <c r="P259" s="20" t="n">
        <f aca="false">IF(C259=5,0,MAX(0,G259-O259-NonRes))</f>
        <v>5</v>
      </c>
      <c r="Q259" s="21" t="n">
        <f aca="false">IF(C259=5,0,H259*(1+F259)^G259)</f>
        <v>24.333058048</v>
      </c>
      <c r="R259" s="21" t="n">
        <f aca="false">IF(C259=5,0,Q259*LOOKUP(Q259,FeeLo,FeeR)*(1+VAT))</f>
        <v>0.1873645469696</v>
      </c>
      <c r="S259" s="21" t="n">
        <f aca="false">IF(J259&gt;0,-CUMIPMT(Rm,LoanYears*12,J259,1,(G259-O259)*12,0),0)</f>
        <v>0</v>
      </c>
      <c r="T259" s="29" t="n">
        <f aca="false">IF(C259=5,0,SUMIFS(Sch_Total,Sch_Idx,A259,Sch_Scen,E259,Sch_Year,"&lt;="&amp;G259))</f>
        <v>0.29333523972096</v>
      </c>
      <c r="U259" s="21" t="n">
        <f aca="false">K259+L259+R259</f>
        <v>1.0213645469696</v>
      </c>
      <c r="V259" s="21" t="n">
        <f aca="false">IF(C259=5,0,Q259-H259-U259)</f>
        <v>3.3116935010304</v>
      </c>
      <c r="W259" s="21" t="n">
        <f aca="false">IF(C259=5,0,MAX(0,IF(P259&gt;=2,IF(Q259&gt;Exempt,V259*(Q259-Exempt)/Q259,0),V259)))</f>
        <v>1.678511106365</v>
      </c>
      <c r="X259" s="10" t="n">
        <f aca="false">IF(P259&gt;=2,MIN(MaxDed,MIN(0.4,HoldRate*G259)+MIN(0.4,LiveRate*P259)),IF(G259&gt;=3,MIN(0.3,0.02*G259),0))</f>
        <v>0.4</v>
      </c>
      <c r="Y259" s="21" t="n">
        <f aca="false">MAX(0,W259*(1-X259)-InitDed)</f>
        <v>0.982106663819001</v>
      </c>
      <c r="Z259" s="29" t="n">
        <f aca="false">SUMPRODUCT((Y259&gt;CLo)*(Y259-CLo)*CD)*(1+LocalTax)</f>
        <v>0.208271065570315</v>
      </c>
      <c r="AA259" s="21" t="n">
        <f aca="false">K259+T259+Z259</f>
        <v>1.16160630529128</v>
      </c>
      <c r="AB259" s="29" t="n">
        <f aca="false">IF(C259=5,0,(Q259-H259)-K259-L259-R259-S259-T259-Z259)</f>
        <v>2.81008719573913</v>
      </c>
      <c r="AC259" s="21" t="n">
        <f aca="false">IF(C259=5,0,N259*((1+DepRate*(1-DepTax))^G259-1))</f>
        <v>2.78148510862284</v>
      </c>
      <c r="AD259" s="29" t="n">
        <f aca="false">IF(C259=5,0,AB259-AC259+I259*(((1+DepRate*(1-DepTax))^G259-1)-((1+DepRate*(1-DepTax))^O259-1)))</f>
        <v>1.41707502220689</v>
      </c>
      <c r="AE259" s="30" t="n">
        <f aca="false">IF(J259&gt;0,-PMT(Rm,LoanYears*12,J259)*10000,0)</f>
        <v>0</v>
      </c>
      <c r="AF259" s="21" t="n">
        <f aca="false">IF(J259&gt;0,-PMT((Rate+Stress)/12,LoanYears*12,J259)*12/DSR,0)</f>
        <v>0</v>
      </c>
      <c r="AG259" s="20" t="n">
        <f aca="false">IF(N259&lt;=CapA,1,0)</f>
        <v>0</v>
      </c>
      <c r="AH259" s="20" t="n">
        <f aca="false">IF(N259&lt;=CapB,1,0)</f>
        <v>0</v>
      </c>
      <c r="AI259" s="20" t="n">
        <f aca="false">IF(N259&lt;=CapC,1,0)</f>
        <v>0</v>
      </c>
      <c r="AJ259" s="21" t="n">
        <f aca="false">IF(AG259=1,AD259,-999)</f>
        <v>-999</v>
      </c>
      <c r="AK259" s="21" t="n">
        <f aca="false">IF(AH259=1,AD259,-999)</f>
        <v>-999</v>
      </c>
      <c r="AL259" s="21" t="n">
        <f aca="false">IF(AI259=1,AD259,-999)</f>
        <v>-999</v>
      </c>
      <c r="AM259" s="21" t="str">
        <f aca="false">C259&amp;"|"&amp;E259&amp;"|"&amp;G259&amp;"|"&amp;TEXT(AJ259,"0.00000")</f>
        <v>3|2|5|-999.00000</v>
      </c>
      <c r="AN259" s="21" t="str">
        <f aca="false">C259&amp;"|"&amp;E259&amp;"|"&amp;G259&amp;"|"&amp;TEXT(AK259,"0.00000")</f>
        <v>3|2|5|-999.00000</v>
      </c>
      <c r="AO259" s="21" t="str">
        <f aca="false">C259&amp;"|"&amp;E259&amp;"|"&amp;G259&amp;"|"&amp;TEXT(AL259,"0.00000")</f>
        <v>3|2|5|-999.00000</v>
      </c>
    </row>
    <row r="260" customFormat="false" ht="15" hidden="false" customHeight="false" outlineLevel="0" collapsed="false">
      <c r="A260" s="20" t="n">
        <v>9</v>
      </c>
      <c r="B260" s="18" t="str">
        <f aca="false">INDEX(C_Name,A260)</f>
        <v>흑석한강푸르지오 84.98㎡</v>
      </c>
      <c r="C260" s="20" t="n">
        <v>3</v>
      </c>
      <c r="D260" s="21" t="str">
        <f aca="false">CHOOSE(C260,"1안 표준형(대출 최대)","2안 절충형(대출 50%)","3안 무대출형","4안 임대차 승계 후 입주","5안 매수 보류(전세 거주)")</f>
        <v>3안 무대출형</v>
      </c>
      <c r="E260" s="20" t="n">
        <v>2</v>
      </c>
      <c r="F260" s="10" t="n">
        <f aca="false">CHOOSE(E260,GrowLo,GrowMid,GrowHi)</f>
        <v>0.04</v>
      </c>
      <c r="G260" s="20" t="n">
        <v>10</v>
      </c>
      <c r="H260" s="18" t="n">
        <f aca="false">INDEX(C_Price,A260)</f>
        <v>20</v>
      </c>
      <c r="I260" s="18" t="n">
        <f aca="false">INDEX(C_Jeonse,A260)</f>
        <v>10.4</v>
      </c>
      <c r="J260" s="21" t="n">
        <f aca="false">IF(C260=5,0,IF(C260=1,INDEX(C_Loan,A260),IF(C260=2,INDEX(C_Loan,A260)*LoanShare2,IF(C260=3,0,MIN(INDEX(C_Loan,A260),I260)))))</f>
        <v>0</v>
      </c>
      <c r="K260" s="18" t="n">
        <f aca="false">IF(C260=5,0,INDEX(C_Acq,A260))</f>
        <v>0.66</v>
      </c>
      <c r="L260" s="18" t="n">
        <f aca="false">IF(C260=5,0,INDEX(C_Fee,A260))</f>
        <v>0.174</v>
      </c>
      <c r="M260" s="21" t="n">
        <f aca="false">IF(C260=4,MAX(0,I260-J260),0)</f>
        <v>0</v>
      </c>
      <c r="N260" s="21" t="n">
        <f aca="false">IF(C260=5,I260,IF(C260=4,(H260-I260)+K260+L260+M260,H260-J260+K260+L260))</f>
        <v>20.834</v>
      </c>
      <c r="O260" s="20" t="n">
        <f aca="false">IF(C260=4,RentYears,0)</f>
        <v>0</v>
      </c>
      <c r="P260" s="20" t="n">
        <f aca="false">IF(C260=5,0,MAX(0,G260-O260-NonRes))</f>
        <v>10</v>
      </c>
      <c r="Q260" s="21" t="n">
        <f aca="false">IF(C260=5,0,H260*(1+F260)^G260)</f>
        <v>29.6048856983669</v>
      </c>
      <c r="R260" s="21" t="n">
        <f aca="false">IF(C260=5,0,Q260*LOOKUP(Q260,FeeLo,FeeR)*(1+VAT))</f>
        <v>0.227957619877425</v>
      </c>
      <c r="S260" s="21" t="n">
        <f aca="false">IF(J260&gt;0,-CUMIPMT(Rm,LoanYears*12,J260,1,(G260-O260)*12,0),0)</f>
        <v>0</v>
      </c>
      <c r="T260" s="29" t="n">
        <f aca="false">IF(C260=5,0,SUMIFS(Sch_Total,Sch_Idx,A260,Sch_Scen,E260,Sch_Year,"&lt;="&amp;G260))</f>
        <v>0.714063789491406</v>
      </c>
      <c r="U260" s="21" t="n">
        <f aca="false">K260+L260+R260</f>
        <v>1.06195761987743</v>
      </c>
      <c r="V260" s="21" t="n">
        <f aca="false">IF(C260=5,0,Q260-H260-U260)</f>
        <v>8.54292807848946</v>
      </c>
      <c r="W260" s="21" t="n">
        <f aca="false">IF(C260=5,0,MAX(0,IF(P260&gt;=2,IF(Q260&gt;Exempt,V260*(Q260-Exempt)/Q260,0),V260)))</f>
        <v>5.08015041447947</v>
      </c>
      <c r="X260" s="10" t="n">
        <f aca="false">IF(P260&gt;=2,MIN(MaxDed,MIN(0.4,HoldRate*G260)+MIN(0.4,LiveRate*P260)),IF(G260&gt;=3,MIN(0.3,0.02*G260),0))</f>
        <v>0.8</v>
      </c>
      <c r="Y260" s="21" t="n">
        <f aca="false">MAX(0,W260*(1-X260)-InitDed)</f>
        <v>0.991030082895895</v>
      </c>
      <c r="Z260" s="29" t="n">
        <f aca="false">SUMPRODUCT((Y260&gt;CLo)*(Y260-CLo)*CD)*(1+LocalTax)</f>
        <v>0.211706581914919</v>
      </c>
      <c r="AA260" s="21" t="n">
        <f aca="false">K260+T260+Z260</f>
        <v>1.58577037140633</v>
      </c>
      <c r="AB260" s="29" t="n">
        <f aca="false">IF(C260=5,0,(Q260-H260)-K260-L260-R260-S260-T260-Z260)</f>
        <v>7.61715770708314</v>
      </c>
      <c r="AC260" s="21" t="n">
        <f aca="false">IF(C260=5,0,N260*((1+DepRate*(1-DepTax))^G260-1))</f>
        <v>5.93431798577263</v>
      </c>
      <c r="AD260" s="29" t="n">
        <f aca="false">IF(C260=5,0,AB260-AC260+I260*(((1+DepRate*(1-DepTax))^G260-1)-((1+DepRate*(1-DepTax))^O260-1)))</f>
        <v>4.64515646567238</v>
      </c>
      <c r="AE260" s="30" t="n">
        <f aca="false">IF(J260&gt;0,-PMT(Rm,LoanYears*12,J260)*10000,0)</f>
        <v>0</v>
      </c>
      <c r="AF260" s="21" t="n">
        <f aca="false">IF(J260&gt;0,-PMT((Rate+Stress)/12,LoanYears*12,J260)*12/DSR,0)</f>
        <v>0</v>
      </c>
      <c r="AG260" s="20" t="n">
        <f aca="false">IF(N260&lt;=CapA,1,0)</f>
        <v>0</v>
      </c>
      <c r="AH260" s="20" t="n">
        <f aca="false">IF(N260&lt;=CapB,1,0)</f>
        <v>0</v>
      </c>
      <c r="AI260" s="20" t="n">
        <f aca="false">IF(N260&lt;=CapC,1,0)</f>
        <v>0</v>
      </c>
      <c r="AJ260" s="21" t="n">
        <f aca="false">IF(AG260=1,AD260,-999)</f>
        <v>-999</v>
      </c>
      <c r="AK260" s="21" t="n">
        <f aca="false">IF(AH260=1,AD260,-999)</f>
        <v>-999</v>
      </c>
      <c r="AL260" s="21" t="n">
        <f aca="false">IF(AI260=1,AD260,-999)</f>
        <v>-999</v>
      </c>
      <c r="AM260" s="21" t="str">
        <f aca="false">C260&amp;"|"&amp;E260&amp;"|"&amp;G260&amp;"|"&amp;TEXT(AJ260,"0.00000")</f>
        <v>3|2|10|-999.00000</v>
      </c>
      <c r="AN260" s="21" t="str">
        <f aca="false">C260&amp;"|"&amp;E260&amp;"|"&amp;G260&amp;"|"&amp;TEXT(AK260,"0.00000")</f>
        <v>3|2|10|-999.00000</v>
      </c>
      <c r="AO260" s="21" t="str">
        <f aca="false">C260&amp;"|"&amp;E260&amp;"|"&amp;G260&amp;"|"&amp;TEXT(AL260,"0.00000")</f>
        <v>3|2|10|-999.00000</v>
      </c>
    </row>
    <row r="261" customFormat="false" ht="15" hidden="false" customHeight="false" outlineLevel="0" collapsed="false">
      <c r="A261" s="20" t="n">
        <v>9</v>
      </c>
      <c r="B261" s="18" t="str">
        <f aca="false">INDEX(C_Name,A261)</f>
        <v>흑석한강푸르지오 84.98㎡</v>
      </c>
      <c r="C261" s="20" t="n">
        <v>3</v>
      </c>
      <c r="D261" s="21" t="str">
        <f aca="false">CHOOSE(C261,"1안 표준형(대출 최대)","2안 절충형(대출 50%)","3안 무대출형","4안 임대차 승계 후 입주","5안 매수 보류(전세 거주)")</f>
        <v>3안 무대출형</v>
      </c>
      <c r="E261" s="20" t="n">
        <v>3</v>
      </c>
      <c r="F261" s="10" t="n">
        <f aca="false">CHOOSE(E261,GrowLo,GrowMid,GrowHi)</f>
        <v>0.06</v>
      </c>
      <c r="G261" s="20" t="n">
        <v>5</v>
      </c>
      <c r="H261" s="18" t="n">
        <f aca="false">INDEX(C_Price,A261)</f>
        <v>20</v>
      </c>
      <c r="I261" s="18" t="n">
        <f aca="false">INDEX(C_Jeonse,A261)</f>
        <v>10.4</v>
      </c>
      <c r="J261" s="21" t="n">
        <f aca="false">IF(C261=5,0,IF(C261=1,INDEX(C_Loan,A261),IF(C261=2,INDEX(C_Loan,A261)*LoanShare2,IF(C261=3,0,MIN(INDEX(C_Loan,A261),I261)))))</f>
        <v>0</v>
      </c>
      <c r="K261" s="18" t="n">
        <f aca="false">IF(C261=5,0,INDEX(C_Acq,A261))</f>
        <v>0.66</v>
      </c>
      <c r="L261" s="18" t="n">
        <f aca="false">IF(C261=5,0,INDEX(C_Fee,A261))</f>
        <v>0.174</v>
      </c>
      <c r="M261" s="21" t="n">
        <f aca="false">IF(C261=4,MAX(0,I261-J261),0)</f>
        <v>0</v>
      </c>
      <c r="N261" s="21" t="n">
        <f aca="false">IF(C261=5,I261,IF(C261=4,(H261-I261)+K261+L261+M261,H261-J261+K261+L261))</f>
        <v>20.834</v>
      </c>
      <c r="O261" s="20" t="n">
        <f aca="false">IF(C261=4,RentYears,0)</f>
        <v>0</v>
      </c>
      <c r="P261" s="20" t="n">
        <f aca="false">IF(C261=5,0,MAX(0,G261-O261-NonRes))</f>
        <v>5</v>
      </c>
      <c r="Q261" s="21" t="n">
        <f aca="false">IF(C261=5,0,H261*(1+F261)^G261)</f>
        <v>26.764511552</v>
      </c>
      <c r="R261" s="21" t="n">
        <f aca="false">IF(C261=5,0,Q261*LOOKUP(Q261,FeeLo,FeeR)*(1+VAT))</f>
        <v>0.2060867389504</v>
      </c>
      <c r="S261" s="21" t="n">
        <f aca="false">IF(J261&gt;0,-CUMIPMT(Rm,LoanYears*12,J261,1,(G261-O261)*12,0),0)</f>
        <v>0</v>
      </c>
      <c r="T261" s="29" t="n">
        <f aca="false">IF(C261=5,0,SUMIFS(Sch_Total,Sch_Idx,A261,Sch_Scen,E261,Sch_Year,"&lt;="&amp;G261))</f>
        <v>0.31624452459648</v>
      </c>
      <c r="U261" s="21" t="n">
        <f aca="false">K261+L261+R261</f>
        <v>1.0400867389504</v>
      </c>
      <c r="V261" s="21" t="n">
        <f aca="false">IF(C261=5,0,Q261-H261-U261)</f>
        <v>5.72442481304961</v>
      </c>
      <c r="W261" s="21" t="n">
        <f aca="false">IF(C261=5,0,MAX(0,IF(P261&gt;=2,IF(Q261&gt;Exempt,V261*(Q261-Exempt)/Q261,0),V261)))</f>
        <v>3.15785087714447</v>
      </c>
      <c r="X261" s="10" t="n">
        <f aca="false">IF(P261&gt;=2,MIN(MaxDed,MIN(0.4,HoldRate*G261)+MIN(0.4,LiveRate*P261)),IF(G261&gt;=3,MIN(0.3,0.02*G261),0))</f>
        <v>0.4</v>
      </c>
      <c r="Y261" s="21" t="n">
        <f aca="false">MAX(0,W261*(1-X261)-InitDed)</f>
        <v>1.86971052628668</v>
      </c>
      <c r="Z261" s="29" t="n">
        <f aca="false">SUMPRODUCT((Y261&gt;CLo)*(Y261-CLo)*CD)*(1+LocalTax)</f>
        <v>0.562198999987832</v>
      </c>
      <c r="AA261" s="21" t="n">
        <f aca="false">K261+T261+Z261</f>
        <v>1.53844352458431</v>
      </c>
      <c r="AB261" s="29" t="n">
        <f aca="false">IF(C261=5,0,(Q261-H261)-K261-L261-R261-S261-T261-Z261)</f>
        <v>4.84598128846529</v>
      </c>
      <c r="AC261" s="21" t="n">
        <f aca="false">IF(C261=5,0,N261*((1+DepRate*(1-DepTax))^G261-1))</f>
        <v>2.78148510862284</v>
      </c>
      <c r="AD261" s="29" t="n">
        <f aca="false">IF(C261=5,0,AB261-AC261+I261*(((1+DepRate*(1-DepTax))^G261-1)-((1+DepRate*(1-DepTax))^O261-1)))</f>
        <v>3.45296911493305</v>
      </c>
      <c r="AE261" s="30" t="n">
        <f aca="false">IF(J261&gt;0,-PMT(Rm,LoanYears*12,J261)*10000,0)</f>
        <v>0</v>
      </c>
      <c r="AF261" s="21" t="n">
        <f aca="false">IF(J261&gt;0,-PMT((Rate+Stress)/12,LoanYears*12,J261)*12/DSR,0)</f>
        <v>0</v>
      </c>
      <c r="AG261" s="20" t="n">
        <f aca="false">IF(N261&lt;=CapA,1,0)</f>
        <v>0</v>
      </c>
      <c r="AH261" s="20" t="n">
        <f aca="false">IF(N261&lt;=CapB,1,0)</f>
        <v>0</v>
      </c>
      <c r="AI261" s="20" t="n">
        <f aca="false">IF(N261&lt;=CapC,1,0)</f>
        <v>0</v>
      </c>
      <c r="AJ261" s="21" t="n">
        <f aca="false">IF(AG261=1,AD261,-999)</f>
        <v>-999</v>
      </c>
      <c r="AK261" s="21" t="n">
        <f aca="false">IF(AH261=1,AD261,-999)</f>
        <v>-999</v>
      </c>
      <c r="AL261" s="21" t="n">
        <f aca="false">IF(AI261=1,AD261,-999)</f>
        <v>-999</v>
      </c>
      <c r="AM261" s="21" t="str">
        <f aca="false">C261&amp;"|"&amp;E261&amp;"|"&amp;G261&amp;"|"&amp;TEXT(AJ261,"0.00000")</f>
        <v>3|3|5|-999.00000</v>
      </c>
      <c r="AN261" s="21" t="str">
        <f aca="false">C261&amp;"|"&amp;E261&amp;"|"&amp;G261&amp;"|"&amp;TEXT(AK261,"0.00000")</f>
        <v>3|3|5|-999.00000</v>
      </c>
      <c r="AO261" s="21" t="str">
        <f aca="false">C261&amp;"|"&amp;E261&amp;"|"&amp;G261&amp;"|"&amp;TEXT(AL261,"0.00000")</f>
        <v>3|3|5|-999.00000</v>
      </c>
    </row>
    <row r="262" customFormat="false" ht="15" hidden="false" customHeight="false" outlineLevel="0" collapsed="false">
      <c r="A262" s="20" t="n">
        <v>9</v>
      </c>
      <c r="B262" s="18" t="str">
        <f aca="false">INDEX(C_Name,A262)</f>
        <v>흑석한강푸르지오 84.98㎡</v>
      </c>
      <c r="C262" s="20" t="n">
        <v>3</v>
      </c>
      <c r="D262" s="21" t="str">
        <f aca="false">CHOOSE(C262,"1안 표준형(대출 최대)","2안 절충형(대출 50%)","3안 무대출형","4안 임대차 승계 후 입주","5안 매수 보류(전세 거주)")</f>
        <v>3안 무대출형</v>
      </c>
      <c r="E262" s="20" t="n">
        <v>3</v>
      </c>
      <c r="F262" s="10" t="n">
        <f aca="false">CHOOSE(E262,GrowLo,GrowMid,GrowHi)</f>
        <v>0.06</v>
      </c>
      <c r="G262" s="20" t="n">
        <v>10</v>
      </c>
      <c r="H262" s="18" t="n">
        <f aca="false">INDEX(C_Price,A262)</f>
        <v>20</v>
      </c>
      <c r="I262" s="18" t="n">
        <f aca="false">INDEX(C_Jeonse,A262)</f>
        <v>10.4</v>
      </c>
      <c r="J262" s="21" t="n">
        <f aca="false">IF(C262=5,0,IF(C262=1,INDEX(C_Loan,A262),IF(C262=2,INDEX(C_Loan,A262)*LoanShare2,IF(C262=3,0,MIN(INDEX(C_Loan,A262),I262)))))</f>
        <v>0</v>
      </c>
      <c r="K262" s="18" t="n">
        <f aca="false">IF(C262=5,0,INDEX(C_Acq,A262))</f>
        <v>0.66</v>
      </c>
      <c r="L262" s="18" t="n">
        <f aca="false">IF(C262=5,0,INDEX(C_Fee,A262))</f>
        <v>0.174</v>
      </c>
      <c r="M262" s="21" t="n">
        <f aca="false">IF(C262=4,MAX(0,I262-J262),0)</f>
        <v>0</v>
      </c>
      <c r="N262" s="21" t="n">
        <f aca="false">IF(C262=5,I262,IF(C262=4,(H262-I262)+K262+L262+M262,H262-J262+K262+L262))</f>
        <v>20.834</v>
      </c>
      <c r="O262" s="20" t="n">
        <f aca="false">IF(C262=4,RentYears,0)</f>
        <v>0</v>
      </c>
      <c r="P262" s="20" t="n">
        <f aca="false">IF(C262=5,0,MAX(0,G262-O262-NonRes))</f>
        <v>10</v>
      </c>
      <c r="Q262" s="21" t="n">
        <f aca="false">IF(C262=5,0,H262*(1+F262)^G262)</f>
        <v>35.8169539308571</v>
      </c>
      <c r="R262" s="21" t="n">
        <f aca="false">IF(C262=5,0,Q262*LOOKUP(Q262,FeeLo,FeeR)*(1+VAT))</f>
        <v>0.2757905452676</v>
      </c>
      <c r="S262" s="21" t="n">
        <f aca="false">IF(J262&gt;0,-CUMIPMT(Rm,LoanYears*12,J262,1,(G262-O262)*12,0),0)</f>
        <v>0</v>
      </c>
      <c r="T262" s="29" t="n">
        <f aca="false">IF(C262=5,0,SUMIFS(Sch_Total,Sch_Idx,A262,Sch_Scen,E262,Sch_Year,"&lt;="&amp;G262))</f>
        <v>0.854827558652494</v>
      </c>
      <c r="U262" s="21" t="n">
        <f aca="false">K262+L262+R262</f>
        <v>1.1097905452676</v>
      </c>
      <c r="V262" s="21" t="n">
        <f aca="false">IF(C262=5,0,Q262-H262-U262)</f>
        <v>14.7071633855895</v>
      </c>
      <c r="W262" s="21" t="n">
        <f aca="false">IF(C262=5,0,MAX(0,IF(P262&gt;=2,IF(Q262&gt;Exempt,V262*(Q262-Exempt)/Q262,0),V262)))</f>
        <v>9.77972145493923</v>
      </c>
      <c r="X262" s="10" t="n">
        <f aca="false">IF(P262&gt;=2,MIN(MaxDed,MIN(0.4,HoldRate*G262)+MIN(0.4,LiveRate*P262)),IF(G262&gt;=3,MIN(0.3,0.02*G262),0))</f>
        <v>0.8</v>
      </c>
      <c r="Y262" s="21" t="n">
        <f aca="false">MAX(0,W262*(1-X262)-InitDed)</f>
        <v>1.93094429098785</v>
      </c>
      <c r="Z262" s="29" t="n">
        <f aca="false">SUMPRODUCT((Y262&gt;CLo)*(Y262-CLo)*CD)*(1+LocalTax)</f>
        <v>0.587794713632919</v>
      </c>
      <c r="AA262" s="21" t="n">
        <f aca="false">K262+T262+Z262</f>
        <v>2.10262227228541</v>
      </c>
      <c r="AB262" s="29" t="n">
        <f aca="false">IF(C262=5,0,(Q262-H262)-K262-L262-R262-S262-T262-Z262)</f>
        <v>13.2645411133041</v>
      </c>
      <c r="AC262" s="21" t="n">
        <f aca="false">IF(C262=5,0,N262*((1+DepRate*(1-DepTax))^G262-1))</f>
        <v>5.93431798577263</v>
      </c>
      <c r="AD262" s="29" t="n">
        <f aca="false">IF(C262=5,0,AB262-AC262+I262*(((1+DepRate*(1-DepTax))^G262-1)-((1+DepRate*(1-DepTax))^O262-1)))</f>
        <v>10.2925398718933</v>
      </c>
      <c r="AE262" s="30" t="n">
        <f aca="false">IF(J262&gt;0,-PMT(Rm,LoanYears*12,J262)*10000,0)</f>
        <v>0</v>
      </c>
      <c r="AF262" s="21" t="n">
        <f aca="false">IF(J262&gt;0,-PMT((Rate+Stress)/12,LoanYears*12,J262)*12/DSR,0)</f>
        <v>0</v>
      </c>
      <c r="AG262" s="20" t="n">
        <f aca="false">IF(N262&lt;=CapA,1,0)</f>
        <v>0</v>
      </c>
      <c r="AH262" s="20" t="n">
        <f aca="false">IF(N262&lt;=CapB,1,0)</f>
        <v>0</v>
      </c>
      <c r="AI262" s="20" t="n">
        <f aca="false">IF(N262&lt;=CapC,1,0)</f>
        <v>0</v>
      </c>
      <c r="AJ262" s="21" t="n">
        <f aca="false">IF(AG262=1,AD262,-999)</f>
        <v>-999</v>
      </c>
      <c r="AK262" s="21" t="n">
        <f aca="false">IF(AH262=1,AD262,-999)</f>
        <v>-999</v>
      </c>
      <c r="AL262" s="21" t="n">
        <f aca="false">IF(AI262=1,AD262,-999)</f>
        <v>-999</v>
      </c>
      <c r="AM262" s="21" t="str">
        <f aca="false">C262&amp;"|"&amp;E262&amp;"|"&amp;G262&amp;"|"&amp;TEXT(AJ262,"0.00000")</f>
        <v>3|3|10|-999.00000</v>
      </c>
      <c r="AN262" s="21" t="str">
        <f aca="false">C262&amp;"|"&amp;E262&amp;"|"&amp;G262&amp;"|"&amp;TEXT(AK262,"0.00000")</f>
        <v>3|3|10|-999.00000</v>
      </c>
      <c r="AO262" s="21" t="str">
        <f aca="false">C262&amp;"|"&amp;E262&amp;"|"&amp;G262&amp;"|"&amp;TEXT(AL262,"0.00000")</f>
        <v>3|3|10|-999.00000</v>
      </c>
    </row>
    <row r="263" customFormat="false" ht="15" hidden="false" customHeight="false" outlineLevel="0" collapsed="false">
      <c r="A263" s="20" t="n">
        <v>9</v>
      </c>
      <c r="B263" s="18" t="str">
        <f aca="false">INDEX(C_Name,A263)</f>
        <v>흑석한강푸르지오 84.98㎡</v>
      </c>
      <c r="C263" s="20" t="n">
        <v>4</v>
      </c>
      <c r="D263" s="21" t="str">
        <f aca="false">CHOOSE(C263,"1안 표준형(대출 최대)","2안 절충형(대출 50%)","3안 무대출형","4안 임대차 승계 후 입주","5안 매수 보류(전세 거주)")</f>
        <v>4안 임대차 승계 후 입주</v>
      </c>
      <c r="E263" s="20" t="n">
        <v>1</v>
      </c>
      <c r="F263" s="10" t="n">
        <f aca="false">CHOOSE(E263,GrowLo,GrowMid,GrowHi)</f>
        <v>0.02</v>
      </c>
      <c r="G263" s="20" t="n">
        <v>5</v>
      </c>
      <c r="H263" s="18" t="n">
        <f aca="false">INDEX(C_Price,A263)</f>
        <v>20</v>
      </c>
      <c r="I263" s="18" t="n">
        <f aca="false">INDEX(C_Jeonse,A263)</f>
        <v>10.4</v>
      </c>
      <c r="J263" s="21" t="n">
        <f aca="false">IF(C263=5,0,IF(C263=1,INDEX(C_Loan,A263),IF(C263=2,INDEX(C_Loan,A263)*LoanShare2,IF(C263=3,0,MIN(INDEX(C_Loan,A263),I263)))))</f>
        <v>4</v>
      </c>
      <c r="K263" s="18" t="n">
        <f aca="false">IF(C263=5,0,INDEX(C_Acq,A263))</f>
        <v>0.66</v>
      </c>
      <c r="L263" s="18" t="n">
        <f aca="false">IF(C263=5,0,INDEX(C_Fee,A263))</f>
        <v>0.174</v>
      </c>
      <c r="M263" s="21" t="n">
        <f aca="false">IF(C263=4,MAX(0,I263-J263),0)</f>
        <v>6.4</v>
      </c>
      <c r="N263" s="21" t="n">
        <f aca="false">IF(C263=5,I263,IF(C263=4,(H263-I263)+K263+L263+M263,H263-J263+K263+L263))</f>
        <v>16.834</v>
      </c>
      <c r="O263" s="20" t="n">
        <f aca="false">IF(C263=4,RentYears,0)</f>
        <v>2</v>
      </c>
      <c r="P263" s="20" t="n">
        <f aca="false">IF(C263=5,0,MAX(0,G263-O263-NonRes))</f>
        <v>3</v>
      </c>
      <c r="Q263" s="21" t="n">
        <f aca="false">IF(C263=5,0,H263*(1+F263)^G263)</f>
        <v>22.081616064</v>
      </c>
      <c r="R263" s="21" t="n">
        <f aca="false">IF(C263=5,0,Q263*LOOKUP(Q263,FeeLo,FeeR)*(1+VAT))</f>
        <v>0.1700284436928</v>
      </c>
      <c r="S263" s="21" t="n">
        <f aca="false">IF(J263&gt;0,-CUMIPMT(Rm,LoanYears*12,J263,1,(G263-O263)*12,0),0)</f>
        <v>0.467427048612969</v>
      </c>
      <c r="T263" s="29" t="n">
        <f aca="false">IF(C263=5,0,SUMIFS(Sch_Total,Sch_Idx,A263,Sch_Scen,E263,Sch_Year,"&lt;="&amp;G263))</f>
        <v>0.27189132080256</v>
      </c>
      <c r="U263" s="21" t="n">
        <f aca="false">K263+L263+R263</f>
        <v>1.0040284436928</v>
      </c>
      <c r="V263" s="21" t="n">
        <f aca="false">IF(C263=5,0,Q263-H263-U263)</f>
        <v>1.0775876203072</v>
      </c>
      <c r="W263" s="21" t="n">
        <f aca="false">IF(C263=5,0,MAX(0,IF(P263&gt;=2,IF(Q263&gt;Exempt,V263*(Q263-Exempt)/Q263,0),V263)))</f>
        <v>0.491985035505082</v>
      </c>
      <c r="X263" s="10" t="n">
        <f aca="false">IF(P263&gt;=2,MIN(MaxDed,MIN(0.4,HoldRate*G263)+MIN(0.4,LiveRate*P263)),IF(G263&gt;=3,MIN(0.3,0.02*G263),0))</f>
        <v>0.32</v>
      </c>
      <c r="Y263" s="21" t="n">
        <f aca="false">MAX(0,W263*(1-X263)-InitDed)</f>
        <v>0.309549824143456</v>
      </c>
      <c r="Z263" s="29" t="n">
        <f aca="false">SUMPRODUCT((Y263&gt;CLo)*(Y263-CLo)*CD)*(1+LocalTax)</f>
        <v>0.0372157209836702</v>
      </c>
      <c r="AA263" s="21" t="n">
        <f aca="false">K263+T263+Z263</f>
        <v>0.96910704178623</v>
      </c>
      <c r="AB263" s="29" t="n">
        <f aca="false">IF(C263=5,0,(Q263-H263)-K263-L263-R263-S263-T263-Z263)</f>
        <v>0.301053529908003</v>
      </c>
      <c r="AC263" s="21" t="n">
        <f aca="false">IF(C263=5,0,N263*((1+DepRate*(1-DepTax))^G263-1))</f>
        <v>2.24745705666492</v>
      </c>
      <c r="AD263" s="29" t="n">
        <f aca="false">IF(C263=5,0,AB263-AC263+I263*(((1+DepRate*(1-DepTax))^G263-1)-((1+DepRate*(1-DepTax))^O263-1)))</f>
        <v>-1.09253369342631</v>
      </c>
      <c r="AE263" s="30" t="n">
        <f aca="false">IF(J263&gt;0,-PMT(Rm,LoanYears*12,J263)*10000,0)</f>
        <v>190.966118186184</v>
      </c>
      <c r="AF263" s="21" t="n">
        <f aca="false">IF(J263&gt;0,-PMT((Rate+Stress)/12,LoanYears*12,J263)*12/DSR,0)</f>
        <v>0.79836299421502</v>
      </c>
      <c r="AG263" s="20" t="n">
        <f aca="false">IF(N263&lt;=CapA,1,0)</f>
        <v>0</v>
      </c>
      <c r="AH263" s="20" t="n">
        <f aca="false">IF(N263&lt;=CapB,1,0)</f>
        <v>0</v>
      </c>
      <c r="AI263" s="20" t="n">
        <f aca="false">IF(N263&lt;=CapC,1,0)</f>
        <v>0</v>
      </c>
      <c r="AJ263" s="21" t="n">
        <f aca="false">IF(AG263=1,AD263,-999)</f>
        <v>-999</v>
      </c>
      <c r="AK263" s="21" t="n">
        <f aca="false">IF(AH263=1,AD263,-999)</f>
        <v>-999</v>
      </c>
      <c r="AL263" s="21" t="n">
        <f aca="false">IF(AI263=1,AD263,-999)</f>
        <v>-999</v>
      </c>
      <c r="AM263" s="21" t="str">
        <f aca="false">C263&amp;"|"&amp;E263&amp;"|"&amp;G263&amp;"|"&amp;TEXT(AJ263,"0.00000")</f>
        <v>4|1|5|-999.00000</v>
      </c>
      <c r="AN263" s="21" t="str">
        <f aca="false">C263&amp;"|"&amp;E263&amp;"|"&amp;G263&amp;"|"&amp;TEXT(AK263,"0.00000")</f>
        <v>4|1|5|-999.00000</v>
      </c>
      <c r="AO263" s="21" t="str">
        <f aca="false">C263&amp;"|"&amp;E263&amp;"|"&amp;G263&amp;"|"&amp;TEXT(AL263,"0.00000")</f>
        <v>4|1|5|-999.00000</v>
      </c>
    </row>
    <row r="264" customFormat="false" ht="15" hidden="false" customHeight="false" outlineLevel="0" collapsed="false">
      <c r="A264" s="20" t="n">
        <v>9</v>
      </c>
      <c r="B264" s="18" t="str">
        <f aca="false">INDEX(C_Name,A264)</f>
        <v>흑석한강푸르지오 84.98㎡</v>
      </c>
      <c r="C264" s="20" t="n">
        <v>4</v>
      </c>
      <c r="D264" s="21" t="str">
        <f aca="false">CHOOSE(C264,"1안 표준형(대출 최대)","2안 절충형(대출 50%)","3안 무대출형","4안 임대차 승계 후 입주","5안 매수 보류(전세 거주)")</f>
        <v>4안 임대차 승계 후 입주</v>
      </c>
      <c r="E264" s="20" t="n">
        <v>1</v>
      </c>
      <c r="F264" s="10" t="n">
        <f aca="false">CHOOSE(E264,GrowLo,GrowMid,GrowHi)</f>
        <v>0.02</v>
      </c>
      <c r="G264" s="20" t="n">
        <v>10</v>
      </c>
      <c r="H264" s="18" t="n">
        <f aca="false">INDEX(C_Price,A264)</f>
        <v>20</v>
      </c>
      <c r="I264" s="18" t="n">
        <f aca="false">INDEX(C_Jeonse,A264)</f>
        <v>10.4</v>
      </c>
      <c r="J264" s="21" t="n">
        <f aca="false">IF(C264=5,0,IF(C264=1,INDEX(C_Loan,A264),IF(C264=2,INDEX(C_Loan,A264)*LoanShare2,IF(C264=3,0,MIN(INDEX(C_Loan,A264),I264)))))</f>
        <v>4</v>
      </c>
      <c r="K264" s="18" t="n">
        <f aca="false">IF(C264=5,0,INDEX(C_Acq,A264))</f>
        <v>0.66</v>
      </c>
      <c r="L264" s="18" t="n">
        <f aca="false">IF(C264=5,0,INDEX(C_Fee,A264))</f>
        <v>0.174</v>
      </c>
      <c r="M264" s="21" t="n">
        <f aca="false">IF(C264=4,MAX(0,I264-J264),0)</f>
        <v>6.4</v>
      </c>
      <c r="N264" s="21" t="n">
        <f aca="false">IF(C264=5,I264,IF(C264=4,(H264-I264)+K264+L264+M264,H264-J264+K264+L264))</f>
        <v>16.834</v>
      </c>
      <c r="O264" s="20" t="n">
        <f aca="false">IF(C264=4,RentYears,0)</f>
        <v>2</v>
      </c>
      <c r="P264" s="20" t="n">
        <f aca="false">IF(C264=5,0,MAX(0,G264-O264-NonRes))</f>
        <v>8</v>
      </c>
      <c r="Q264" s="21" t="n">
        <f aca="false">IF(C264=5,0,H264*(1+F264)^G264)</f>
        <v>24.3798883998951</v>
      </c>
      <c r="R264" s="21" t="n">
        <f aca="false">IF(C264=5,0,Q264*LOOKUP(Q264,FeeLo,FeeR)*(1+VAT))</f>
        <v>0.187725140679193</v>
      </c>
      <c r="S264" s="21" t="n">
        <f aca="false">IF(J264&gt;0,-CUMIPMT(Rm,LoanYears*12,J264,1,(G264-O264)*12,0),0)</f>
        <v>1.18249376679461</v>
      </c>
      <c r="T264" s="29" t="n">
        <f aca="false">IF(C264=5,0,SUMIFS(Sch_Total,Sch_Idx,A264,Sch_Scen,E264,Sch_Year,"&lt;="&amp;G264))</f>
        <v>0.598497016509519</v>
      </c>
      <c r="U264" s="21" t="n">
        <f aca="false">K264+L264+R264</f>
        <v>1.02172514067919</v>
      </c>
      <c r="V264" s="21" t="n">
        <f aca="false">IF(C264=5,0,Q264-H264-U264)</f>
        <v>3.35816325921595</v>
      </c>
      <c r="W264" s="21" t="n">
        <f aca="false">IF(C264=5,0,MAX(0,IF(P264&gt;=2,IF(Q264&gt;Exempt,V264*(Q264-Exempt)/Q264,0),V264)))</f>
        <v>1.70524514697534</v>
      </c>
      <c r="X264" s="10" t="n">
        <f aca="false">IF(P264&gt;=2,MIN(MaxDed,MIN(0.4,HoldRate*G264)+MIN(0.4,LiveRate*P264)),IF(G264&gt;=3,MIN(0.3,0.02*G264),0))</f>
        <v>0.72</v>
      </c>
      <c r="Y264" s="21" t="n">
        <f aca="false">MAX(0,W264*(1-X264)-InitDed)</f>
        <v>0.452468641153096</v>
      </c>
      <c r="Z264" s="29" t="n">
        <f aca="false">SUMPRODUCT((Y264&gt;CLo)*(Y264-CLo)*CD)*(1+LocalTax)</f>
        <v>0.0607973257902609</v>
      </c>
      <c r="AA264" s="21" t="n">
        <f aca="false">K264+T264+Z264</f>
        <v>1.31929434229978</v>
      </c>
      <c r="AB264" s="29" t="n">
        <f aca="false">IF(C264=5,0,(Q264-H264)-K264-L264-R264-S264-T264-Z264)</f>
        <v>1.51637515012156</v>
      </c>
      <c r="AC264" s="21" t="n">
        <f aca="false">IF(C264=5,0,N264*((1+DepRate*(1-DepTax))^G264-1))</f>
        <v>4.79496539178729</v>
      </c>
      <c r="AD264" s="29" t="n">
        <f aca="false">IF(C264=5,0,AB264-AC264+I264*(((1+DepRate*(1-DepTax))^G264-1)-((1+DepRate*(1-DepTax))^O264-1)))</f>
        <v>-0.850876599063851</v>
      </c>
      <c r="AE264" s="30" t="n">
        <f aca="false">IF(J264&gt;0,-PMT(Rm,LoanYears*12,J264)*10000,0)</f>
        <v>190.966118186184</v>
      </c>
      <c r="AF264" s="21" t="n">
        <f aca="false">IF(J264&gt;0,-PMT((Rate+Stress)/12,LoanYears*12,J264)*12/DSR,0)</f>
        <v>0.79836299421502</v>
      </c>
      <c r="AG264" s="20" t="n">
        <f aca="false">IF(N264&lt;=CapA,1,0)</f>
        <v>0</v>
      </c>
      <c r="AH264" s="20" t="n">
        <f aca="false">IF(N264&lt;=CapB,1,0)</f>
        <v>0</v>
      </c>
      <c r="AI264" s="20" t="n">
        <f aca="false">IF(N264&lt;=CapC,1,0)</f>
        <v>0</v>
      </c>
      <c r="AJ264" s="21" t="n">
        <f aca="false">IF(AG264=1,AD264,-999)</f>
        <v>-999</v>
      </c>
      <c r="AK264" s="21" t="n">
        <f aca="false">IF(AH264=1,AD264,-999)</f>
        <v>-999</v>
      </c>
      <c r="AL264" s="21" t="n">
        <f aca="false">IF(AI264=1,AD264,-999)</f>
        <v>-999</v>
      </c>
      <c r="AM264" s="21" t="str">
        <f aca="false">C264&amp;"|"&amp;E264&amp;"|"&amp;G264&amp;"|"&amp;TEXT(AJ264,"0.00000")</f>
        <v>4|1|10|-999.00000</v>
      </c>
      <c r="AN264" s="21" t="str">
        <f aca="false">C264&amp;"|"&amp;E264&amp;"|"&amp;G264&amp;"|"&amp;TEXT(AK264,"0.00000")</f>
        <v>4|1|10|-999.00000</v>
      </c>
      <c r="AO264" s="21" t="str">
        <f aca="false">C264&amp;"|"&amp;E264&amp;"|"&amp;G264&amp;"|"&amp;TEXT(AL264,"0.00000")</f>
        <v>4|1|10|-999.00000</v>
      </c>
    </row>
    <row r="265" customFormat="false" ht="15" hidden="false" customHeight="false" outlineLevel="0" collapsed="false">
      <c r="A265" s="20" t="n">
        <v>9</v>
      </c>
      <c r="B265" s="18" t="str">
        <f aca="false">INDEX(C_Name,A265)</f>
        <v>흑석한강푸르지오 84.98㎡</v>
      </c>
      <c r="C265" s="20" t="n">
        <v>4</v>
      </c>
      <c r="D265" s="21" t="str">
        <f aca="false">CHOOSE(C265,"1안 표준형(대출 최대)","2안 절충형(대출 50%)","3안 무대출형","4안 임대차 승계 후 입주","5안 매수 보류(전세 거주)")</f>
        <v>4안 임대차 승계 후 입주</v>
      </c>
      <c r="E265" s="20" t="n">
        <v>2</v>
      </c>
      <c r="F265" s="10" t="n">
        <f aca="false">CHOOSE(E265,GrowLo,GrowMid,GrowHi)</f>
        <v>0.04</v>
      </c>
      <c r="G265" s="20" t="n">
        <v>5</v>
      </c>
      <c r="H265" s="18" t="n">
        <f aca="false">INDEX(C_Price,A265)</f>
        <v>20</v>
      </c>
      <c r="I265" s="18" t="n">
        <f aca="false">INDEX(C_Jeonse,A265)</f>
        <v>10.4</v>
      </c>
      <c r="J265" s="21" t="n">
        <f aca="false">IF(C265=5,0,IF(C265=1,INDEX(C_Loan,A265),IF(C265=2,INDEX(C_Loan,A265)*LoanShare2,IF(C265=3,0,MIN(INDEX(C_Loan,A265),I265)))))</f>
        <v>4</v>
      </c>
      <c r="K265" s="18" t="n">
        <f aca="false">IF(C265=5,0,INDEX(C_Acq,A265))</f>
        <v>0.66</v>
      </c>
      <c r="L265" s="18" t="n">
        <f aca="false">IF(C265=5,0,INDEX(C_Fee,A265))</f>
        <v>0.174</v>
      </c>
      <c r="M265" s="21" t="n">
        <f aca="false">IF(C265=4,MAX(0,I265-J265),0)</f>
        <v>6.4</v>
      </c>
      <c r="N265" s="21" t="n">
        <f aca="false">IF(C265=5,I265,IF(C265=4,(H265-I265)+K265+L265+M265,H265-J265+K265+L265))</f>
        <v>16.834</v>
      </c>
      <c r="O265" s="20" t="n">
        <f aca="false">IF(C265=4,RentYears,0)</f>
        <v>2</v>
      </c>
      <c r="P265" s="20" t="n">
        <f aca="false">IF(C265=5,0,MAX(0,G265-O265-NonRes))</f>
        <v>3</v>
      </c>
      <c r="Q265" s="21" t="n">
        <f aca="false">IF(C265=5,0,H265*(1+F265)^G265)</f>
        <v>24.333058048</v>
      </c>
      <c r="R265" s="21" t="n">
        <f aca="false">IF(C265=5,0,Q265*LOOKUP(Q265,FeeLo,FeeR)*(1+VAT))</f>
        <v>0.1873645469696</v>
      </c>
      <c r="S265" s="21" t="n">
        <f aca="false">IF(J265&gt;0,-CUMIPMT(Rm,LoanYears*12,J265,1,(G265-O265)*12,0),0)</f>
        <v>0.467427048612969</v>
      </c>
      <c r="T265" s="29" t="n">
        <f aca="false">IF(C265=5,0,SUMIFS(Sch_Total,Sch_Idx,A265,Sch_Scen,E265,Sch_Year,"&lt;="&amp;G265))</f>
        <v>0.29333523972096</v>
      </c>
      <c r="U265" s="21" t="n">
        <f aca="false">K265+L265+R265</f>
        <v>1.0213645469696</v>
      </c>
      <c r="V265" s="21" t="n">
        <f aca="false">IF(C265=5,0,Q265-H265-U265)</f>
        <v>3.3116935010304</v>
      </c>
      <c r="W265" s="21" t="n">
        <f aca="false">IF(C265=5,0,MAX(0,IF(P265&gt;=2,IF(Q265&gt;Exempt,V265*(Q265-Exempt)/Q265,0),V265)))</f>
        <v>1.678511106365</v>
      </c>
      <c r="X265" s="10" t="n">
        <f aca="false">IF(P265&gt;=2,MIN(MaxDed,MIN(0.4,HoldRate*G265)+MIN(0.4,LiveRate*P265)),IF(G265&gt;=3,MIN(0.3,0.02*G265),0))</f>
        <v>0.32</v>
      </c>
      <c r="Y265" s="21" t="n">
        <f aca="false">MAX(0,W265*(1-X265)-InitDed)</f>
        <v>1.1163875523282</v>
      </c>
      <c r="Z265" s="29" t="n">
        <f aca="false">SUMPRODUCT((Y265&gt;CLo)*(Y265-CLo)*CD)*(1+LocalTax)</f>
        <v>0.259969207646357</v>
      </c>
      <c r="AA265" s="21" t="n">
        <f aca="false">K265+T265+Z265</f>
        <v>1.21330444736732</v>
      </c>
      <c r="AB265" s="29" t="n">
        <f aca="false">IF(C265=5,0,(Q265-H265)-K265-L265-R265-S265-T265-Z265)</f>
        <v>2.29096200505012</v>
      </c>
      <c r="AC265" s="21" t="n">
        <f aca="false">IF(C265=5,0,N265*((1+DepRate*(1-DepTax))^G265-1))</f>
        <v>2.24745705666492</v>
      </c>
      <c r="AD265" s="29" t="n">
        <f aca="false">IF(C265=5,0,AB265-AC265+I265*(((1+DepRate*(1-DepTax))^G265-1)-((1+DepRate*(1-DepTax))^O265-1)))</f>
        <v>0.897374781715798</v>
      </c>
      <c r="AE265" s="30" t="n">
        <f aca="false">IF(J265&gt;0,-PMT(Rm,LoanYears*12,J265)*10000,0)</f>
        <v>190.966118186184</v>
      </c>
      <c r="AF265" s="21" t="n">
        <f aca="false">IF(J265&gt;0,-PMT((Rate+Stress)/12,LoanYears*12,J265)*12/DSR,0)</f>
        <v>0.79836299421502</v>
      </c>
      <c r="AG265" s="20" t="n">
        <f aca="false">IF(N265&lt;=CapA,1,0)</f>
        <v>0</v>
      </c>
      <c r="AH265" s="20" t="n">
        <f aca="false">IF(N265&lt;=CapB,1,0)</f>
        <v>0</v>
      </c>
      <c r="AI265" s="20" t="n">
        <f aca="false">IF(N265&lt;=CapC,1,0)</f>
        <v>0</v>
      </c>
      <c r="AJ265" s="21" t="n">
        <f aca="false">IF(AG265=1,AD265,-999)</f>
        <v>-999</v>
      </c>
      <c r="AK265" s="21" t="n">
        <f aca="false">IF(AH265=1,AD265,-999)</f>
        <v>-999</v>
      </c>
      <c r="AL265" s="21" t="n">
        <f aca="false">IF(AI265=1,AD265,-999)</f>
        <v>-999</v>
      </c>
      <c r="AM265" s="21" t="str">
        <f aca="false">C265&amp;"|"&amp;E265&amp;"|"&amp;G265&amp;"|"&amp;TEXT(AJ265,"0.00000")</f>
        <v>4|2|5|-999.00000</v>
      </c>
      <c r="AN265" s="21" t="str">
        <f aca="false">C265&amp;"|"&amp;E265&amp;"|"&amp;G265&amp;"|"&amp;TEXT(AK265,"0.00000")</f>
        <v>4|2|5|-999.00000</v>
      </c>
      <c r="AO265" s="21" t="str">
        <f aca="false">C265&amp;"|"&amp;E265&amp;"|"&amp;G265&amp;"|"&amp;TEXT(AL265,"0.00000")</f>
        <v>4|2|5|-999.00000</v>
      </c>
    </row>
    <row r="266" customFormat="false" ht="15" hidden="false" customHeight="false" outlineLevel="0" collapsed="false">
      <c r="A266" s="20" t="n">
        <v>9</v>
      </c>
      <c r="B266" s="18" t="str">
        <f aca="false">INDEX(C_Name,A266)</f>
        <v>흑석한강푸르지오 84.98㎡</v>
      </c>
      <c r="C266" s="20" t="n">
        <v>4</v>
      </c>
      <c r="D266" s="21" t="str">
        <f aca="false">CHOOSE(C266,"1안 표준형(대출 최대)","2안 절충형(대출 50%)","3안 무대출형","4안 임대차 승계 후 입주","5안 매수 보류(전세 거주)")</f>
        <v>4안 임대차 승계 후 입주</v>
      </c>
      <c r="E266" s="20" t="n">
        <v>2</v>
      </c>
      <c r="F266" s="10" t="n">
        <f aca="false">CHOOSE(E266,GrowLo,GrowMid,GrowHi)</f>
        <v>0.04</v>
      </c>
      <c r="G266" s="20" t="n">
        <v>10</v>
      </c>
      <c r="H266" s="18" t="n">
        <f aca="false">INDEX(C_Price,A266)</f>
        <v>20</v>
      </c>
      <c r="I266" s="18" t="n">
        <f aca="false">INDEX(C_Jeonse,A266)</f>
        <v>10.4</v>
      </c>
      <c r="J266" s="21" t="n">
        <f aca="false">IF(C266=5,0,IF(C266=1,INDEX(C_Loan,A266),IF(C266=2,INDEX(C_Loan,A266)*LoanShare2,IF(C266=3,0,MIN(INDEX(C_Loan,A266),I266)))))</f>
        <v>4</v>
      </c>
      <c r="K266" s="18" t="n">
        <f aca="false">IF(C266=5,0,INDEX(C_Acq,A266))</f>
        <v>0.66</v>
      </c>
      <c r="L266" s="18" t="n">
        <f aca="false">IF(C266=5,0,INDEX(C_Fee,A266))</f>
        <v>0.174</v>
      </c>
      <c r="M266" s="21" t="n">
        <f aca="false">IF(C266=4,MAX(0,I266-J266),0)</f>
        <v>6.4</v>
      </c>
      <c r="N266" s="21" t="n">
        <f aca="false">IF(C266=5,I266,IF(C266=4,(H266-I266)+K266+L266+M266,H266-J266+K266+L266))</f>
        <v>16.834</v>
      </c>
      <c r="O266" s="20" t="n">
        <f aca="false">IF(C266=4,RentYears,0)</f>
        <v>2</v>
      </c>
      <c r="P266" s="20" t="n">
        <f aca="false">IF(C266=5,0,MAX(0,G266-O266-NonRes))</f>
        <v>8</v>
      </c>
      <c r="Q266" s="21" t="n">
        <f aca="false">IF(C266=5,0,H266*(1+F266)^G266)</f>
        <v>29.6048856983669</v>
      </c>
      <c r="R266" s="21" t="n">
        <f aca="false">IF(C266=5,0,Q266*LOOKUP(Q266,FeeLo,FeeR)*(1+VAT))</f>
        <v>0.227957619877425</v>
      </c>
      <c r="S266" s="21" t="n">
        <f aca="false">IF(J266&gt;0,-CUMIPMT(Rm,LoanYears*12,J266,1,(G266-O266)*12,0),0)</f>
        <v>1.18249376679461</v>
      </c>
      <c r="T266" s="29" t="n">
        <f aca="false">IF(C266=5,0,SUMIFS(Sch_Total,Sch_Idx,A266,Sch_Scen,E266,Sch_Year,"&lt;="&amp;G266))</f>
        <v>0.714063789491406</v>
      </c>
      <c r="U266" s="21" t="n">
        <f aca="false">K266+L266+R266</f>
        <v>1.06195761987743</v>
      </c>
      <c r="V266" s="21" t="n">
        <f aca="false">IF(C266=5,0,Q266-H266-U266)</f>
        <v>8.54292807848946</v>
      </c>
      <c r="W266" s="21" t="n">
        <f aca="false">IF(C266=5,0,MAX(0,IF(P266&gt;=2,IF(Q266&gt;Exempt,V266*(Q266-Exempt)/Q266,0),V266)))</f>
        <v>5.08015041447947</v>
      </c>
      <c r="X266" s="10" t="n">
        <f aca="false">IF(P266&gt;=2,MIN(MaxDed,MIN(0.4,HoldRate*G266)+MIN(0.4,LiveRate*P266)),IF(G266&gt;=3,MIN(0.3,0.02*G266),0))</f>
        <v>0.72</v>
      </c>
      <c r="Y266" s="21" t="n">
        <f aca="false">MAX(0,W266*(1-X266)-InitDed)</f>
        <v>1.39744211605425</v>
      </c>
      <c r="Z266" s="29" t="n">
        <f aca="false">SUMPRODUCT((Y266&gt;CLo)*(Y266-CLo)*CD)*(1+LocalTax)</f>
        <v>0.368175214680887</v>
      </c>
      <c r="AA266" s="21" t="n">
        <f aca="false">K266+T266+Z266</f>
        <v>1.74223900417229</v>
      </c>
      <c r="AB266" s="29" t="n">
        <f aca="false">IF(C266=5,0,(Q266-H266)-K266-L266-R266-S266-T266-Z266)</f>
        <v>6.27819530752256</v>
      </c>
      <c r="AC266" s="21" t="n">
        <f aca="false">IF(C266=5,0,N266*((1+DepRate*(1-DepTax))^G266-1))</f>
        <v>4.79496539178729</v>
      </c>
      <c r="AD266" s="29" t="n">
        <f aca="false">IF(C266=5,0,AB266-AC266+I266*(((1+DepRate*(1-DepTax))^G266-1)-((1+DepRate*(1-DepTax))^O266-1)))</f>
        <v>3.91094355833714</v>
      </c>
      <c r="AE266" s="30" t="n">
        <f aca="false">IF(J266&gt;0,-PMT(Rm,LoanYears*12,J266)*10000,0)</f>
        <v>190.966118186184</v>
      </c>
      <c r="AF266" s="21" t="n">
        <f aca="false">IF(J266&gt;0,-PMT((Rate+Stress)/12,LoanYears*12,J266)*12/DSR,0)</f>
        <v>0.79836299421502</v>
      </c>
      <c r="AG266" s="20" t="n">
        <f aca="false">IF(N266&lt;=CapA,1,0)</f>
        <v>0</v>
      </c>
      <c r="AH266" s="20" t="n">
        <f aca="false">IF(N266&lt;=CapB,1,0)</f>
        <v>0</v>
      </c>
      <c r="AI266" s="20" t="n">
        <f aca="false">IF(N266&lt;=CapC,1,0)</f>
        <v>0</v>
      </c>
      <c r="AJ266" s="21" t="n">
        <f aca="false">IF(AG266=1,AD266,-999)</f>
        <v>-999</v>
      </c>
      <c r="AK266" s="21" t="n">
        <f aca="false">IF(AH266=1,AD266,-999)</f>
        <v>-999</v>
      </c>
      <c r="AL266" s="21" t="n">
        <f aca="false">IF(AI266=1,AD266,-999)</f>
        <v>-999</v>
      </c>
      <c r="AM266" s="21" t="str">
        <f aca="false">C266&amp;"|"&amp;E266&amp;"|"&amp;G266&amp;"|"&amp;TEXT(AJ266,"0.00000")</f>
        <v>4|2|10|-999.00000</v>
      </c>
      <c r="AN266" s="21" t="str">
        <f aca="false">C266&amp;"|"&amp;E266&amp;"|"&amp;G266&amp;"|"&amp;TEXT(AK266,"0.00000")</f>
        <v>4|2|10|-999.00000</v>
      </c>
      <c r="AO266" s="21" t="str">
        <f aca="false">C266&amp;"|"&amp;E266&amp;"|"&amp;G266&amp;"|"&amp;TEXT(AL266,"0.00000")</f>
        <v>4|2|10|-999.00000</v>
      </c>
    </row>
    <row r="267" customFormat="false" ht="15" hidden="false" customHeight="false" outlineLevel="0" collapsed="false">
      <c r="A267" s="20" t="n">
        <v>9</v>
      </c>
      <c r="B267" s="18" t="str">
        <f aca="false">INDEX(C_Name,A267)</f>
        <v>흑석한강푸르지오 84.98㎡</v>
      </c>
      <c r="C267" s="20" t="n">
        <v>4</v>
      </c>
      <c r="D267" s="21" t="str">
        <f aca="false">CHOOSE(C267,"1안 표준형(대출 최대)","2안 절충형(대출 50%)","3안 무대출형","4안 임대차 승계 후 입주","5안 매수 보류(전세 거주)")</f>
        <v>4안 임대차 승계 후 입주</v>
      </c>
      <c r="E267" s="20" t="n">
        <v>3</v>
      </c>
      <c r="F267" s="10" t="n">
        <f aca="false">CHOOSE(E267,GrowLo,GrowMid,GrowHi)</f>
        <v>0.06</v>
      </c>
      <c r="G267" s="20" t="n">
        <v>5</v>
      </c>
      <c r="H267" s="18" t="n">
        <f aca="false">INDEX(C_Price,A267)</f>
        <v>20</v>
      </c>
      <c r="I267" s="18" t="n">
        <f aca="false">INDEX(C_Jeonse,A267)</f>
        <v>10.4</v>
      </c>
      <c r="J267" s="21" t="n">
        <f aca="false">IF(C267=5,0,IF(C267=1,INDEX(C_Loan,A267),IF(C267=2,INDEX(C_Loan,A267)*LoanShare2,IF(C267=3,0,MIN(INDEX(C_Loan,A267),I267)))))</f>
        <v>4</v>
      </c>
      <c r="K267" s="18" t="n">
        <f aca="false">IF(C267=5,0,INDEX(C_Acq,A267))</f>
        <v>0.66</v>
      </c>
      <c r="L267" s="18" t="n">
        <f aca="false">IF(C267=5,0,INDEX(C_Fee,A267))</f>
        <v>0.174</v>
      </c>
      <c r="M267" s="21" t="n">
        <f aca="false">IF(C267=4,MAX(0,I267-J267),0)</f>
        <v>6.4</v>
      </c>
      <c r="N267" s="21" t="n">
        <f aca="false">IF(C267=5,I267,IF(C267=4,(H267-I267)+K267+L267+M267,H267-J267+K267+L267))</f>
        <v>16.834</v>
      </c>
      <c r="O267" s="20" t="n">
        <f aca="false">IF(C267=4,RentYears,0)</f>
        <v>2</v>
      </c>
      <c r="P267" s="20" t="n">
        <f aca="false">IF(C267=5,0,MAX(0,G267-O267-NonRes))</f>
        <v>3</v>
      </c>
      <c r="Q267" s="21" t="n">
        <f aca="false">IF(C267=5,0,H267*(1+F267)^G267)</f>
        <v>26.764511552</v>
      </c>
      <c r="R267" s="21" t="n">
        <f aca="false">IF(C267=5,0,Q267*LOOKUP(Q267,FeeLo,FeeR)*(1+VAT))</f>
        <v>0.2060867389504</v>
      </c>
      <c r="S267" s="21" t="n">
        <f aca="false">IF(J267&gt;0,-CUMIPMT(Rm,LoanYears*12,J267,1,(G267-O267)*12,0),0)</f>
        <v>0.467427048612969</v>
      </c>
      <c r="T267" s="29" t="n">
        <f aca="false">IF(C267=5,0,SUMIFS(Sch_Total,Sch_Idx,A267,Sch_Scen,E267,Sch_Year,"&lt;="&amp;G267))</f>
        <v>0.31624452459648</v>
      </c>
      <c r="U267" s="21" t="n">
        <f aca="false">K267+L267+R267</f>
        <v>1.0400867389504</v>
      </c>
      <c r="V267" s="21" t="n">
        <f aca="false">IF(C267=5,0,Q267-H267-U267)</f>
        <v>5.72442481304961</v>
      </c>
      <c r="W267" s="21" t="n">
        <f aca="false">IF(C267=5,0,MAX(0,IF(P267&gt;=2,IF(Q267&gt;Exempt,V267*(Q267-Exempt)/Q267,0),V267)))</f>
        <v>3.15785087714447</v>
      </c>
      <c r="X267" s="10" t="n">
        <f aca="false">IF(P267&gt;=2,MIN(MaxDed,MIN(0.4,HoldRate*G267)+MIN(0.4,LiveRate*P267)),IF(G267&gt;=3,MIN(0.3,0.02*G267),0))</f>
        <v>0.32</v>
      </c>
      <c r="Y267" s="21" t="n">
        <f aca="false">MAX(0,W267*(1-X267)-InitDed)</f>
        <v>2.12233859645824</v>
      </c>
      <c r="Z267" s="29" t="n">
        <f aca="false">SUMPRODUCT((Y267&gt;CLo)*(Y267-CLo)*CD)*(1+LocalTax)</f>
        <v>0.667797533319543</v>
      </c>
      <c r="AA267" s="21" t="n">
        <f aca="false">K267+T267+Z267</f>
        <v>1.64404205791602</v>
      </c>
      <c r="AB267" s="29" t="n">
        <f aca="false">IF(C267=5,0,(Q267-H267)-K267-L267-R267-S267-T267-Z267)</f>
        <v>4.27295570652061</v>
      </c>
      <c r="AC267" s="21" t="n">
        <f aca="false">IF(C267=5,0,N267*((1+DepRate*(1-DepTax))^G267-1))</f>
        <v>2.24745705666492</v>
      </c>
      <c r="AD267" s="29" t="n">
        <f aca="false">IF(C267=5,0,AB267-AC267+I267*(((1+DepRate*(1-DepTax))^G267-1)-((1+DepRate*(1-DepTax))^O267-1)))</f>
        <v>2.8793684831863</v>
      </c>
      <c r="AE267" s="30" t="n">
        <f aca="false">IF(J267&gt;0,-PMT(Rm,LoanYears*12,J267)*10000,0)</f>
        <v>190.966118186184</v>
      </c>
      <c r="AF267" s="21" t="n">
        <f aca="false">IF(J267&gt;0,-PMT((Rate+Stress)/12,LoanYears*12,J267)*12/DSR,0)</f>
        <v>0.79836299421502</v>
      </c>
      <c r="AG267" s="20" t="n">
        <f aca="false">IF(N267&lt;=CapA,1,0)</f>
        <v>0</v>
      </c>
      <c r="AH267" s="20" t="n">
        <f aca="false">IF(N267&lt;=CapB,1,0)</f>
        <v>0</v>
      </c>
      <c r="AI267" s="20" t="n">
        <f aca="false">IF(N267&lt;=CapC,1,0)</f>
        <v>0</v>
      </c>
      <c r="AJ267" s="21" t="n">
        <f aca="false">IF(AG267=1,AD267,-999)</f>
        <v>-999</v>
      </c>
      <c r="AK267" s="21" t="n">
        <f aca="false">IF(AH267=1,AD267,-999)</f>
        <v>-999</v>
      </c>
      <c r="AL267" s="21" t="n">
        <f aca="false">IF(AI267=1,AD267,-999)</f>
        <v>-999</v>
      </c>
      <c r="AM267" s="21" t="str">
        <f aca="false">C267&amp;"|"&amp;E267&amp;"|"&amp;G267&amp;"|"&amp;TEXT(AJ267,"0.00000")</f>
        <v>4|3|5|-999.00000</v>
      </c>
      <c r="AN267" s="21" t="str">
        <f aca="false">C267&amp;"|"&amp;E267&amp;"|"&amp;G267&amp;"|"&amp;TEXT(AK267,"0.00000")</f>
        <v>4|3|5|-999.00000</v>
      </c>
      <c r="AO267" s="21" t="str">
        <f aca="false">C267&amp;"|"&amp;E267&amp;"|"&amp;G267&amp;"|"&amp;TEXT(AL267,"0.00000")</f>
        <v>4|3|5|-999.00000</v>
      </c>
    </row>
    <row r="268" customFormat="false" ht="15" hidden="false" customHeight="false" outlineLevel="0" collapsed="false">
      <c r="A268" s="20" t="n">
        <v>9</v>
      </c>
      <c r="B268" s="18" t="str">
        <f aca="false">INDEX(C_Name,A268)</f>
        <v>흑석한강푸르지오 84.98㎡</v>
      </c>
      <c r="C268" s="20" t="n">
        <v>4</v>
      </c>
      <c r="D268" s="21" t="str">
        <f aca="false">CHOOSE(C268,"1안 표준형(대출 최대)","2안 절충형(대출 50%)","3안 무대출형","4안 임대차 승계 후 입주","5안 매수 보류(전세 거주)")</f>
        <v>4안 임대차 승계 후 입주</v>
      </c>
      <c r="E268" s="20" t="n">
        <v>3</v>
      </c>
      <c r="F268" s="10" t="n">
        <f aca="false">CHOOSE(E268,GrowLo,GrowMid,GrowHi)</f>
        <v>0.06</v>
      </c>
      <c r="G268" s="20" t="n">
        <v>10</v>
      </c>
      <c r="H268" s="18" t="n">
        <f aca="false">INDEX(C_Price,A268)</f>
        <v>20</v>
      </c>
      <c r="I268" s="18" t="n">
        <f aca="false">INDEX(C_Jeonse,A268)</f>
        <v>10.4</v>
      </c>
      <c r="J268" s="21" t="n">
        <f aca="false">IF(C268=5,0,IF(C268=1,INDEX(C_Loan,A268),IF(C268=2,INDEX(C_Loan,A268)*LoanShare2,IF(C268=3,0,MIN(INDEX(C_Loan,A268),I268)))))</f>
        <v>4</v>
      </c>
      <c r="K268" s="18" t="n">
        <f aca="false">IF(C268=5,0,INDEX(C_Acq,A268))</f>
        <v>0.66</v>
      </c>
      <c r="L268" s="18" t="n">
        <f aca="false">IF(C268=5,0,INDEX(C_Fee,A268))</f>
        <v>0.174</v>
      </c>
      <c r="M268" s="21" t="n">
        <f aca="false">IF(C268=4,MAX(0,I268-J268),0)</f>
        <v>6.4</v>
      </c>
      <c r="N268" s="21" t="n">
        <f aca="false">IF(C268=5,I268,IF(C268=4,(H268-I268)+K268+L268+M268,H268-J268+K268+L268))</f>
        <v>16.834</v>
      </c>
      <c r="O268" s="20" t="n">
        <f aca="false">IF(C268=4,RentYears,0)</f>
        <v>2</v>
      </c>
      <c r="P268" s="20" t="n">
        <f aca="false">IF(C268=5,0,MAX(0,G268-O268-NonRes))</f>
        <v>8</v>
      </c>
      <c r="Q268" s="21" t="n">
        <f aca="false">IF(C268=5,0,H268*(1+F268)^G268)</f>
        <v>35.8169539308571</v>
      </c>
      <c r="R268" s="21" t="n">
        <f aca="false">IF(C268=5,0,Q268*LOOKUP(Q268,FeeLo,FeeR)*(1+VAT))</f>
        <v>0.2757905452676</v>
      </c>
      <c r="S268" s="21" t="n">
        <f aca="false">IF(J268&gt;0,-CUMIPMT(Rm,LoanYears*12,J268,1,(G268-O268)*12,0),0)</f>
        <v>1.18249376679461</v>
      </c>
      <c r="T268" s="29" t="n">
        <f aca="false">IF(C268=5,0,SUMIFS(Sch_Total,Sch_Idx,A268,Sch_Scen,E268,Sch_Year,"&lt;="&amp;G268))</f>
        <v>0.854827558652494</v>
      </c>
      <c r="U268" s="21" t="n">
        <f aca="false">K268+L268+R268</f>
        <v>1.1097905452676</v>
      </c>
      <c r="V268" s="21" t="n">
        <f aca="false">IF(C268=5,0,Q268-H268-U268)</f>
        <v>14.7071633855895</v>
      </c>
      <c r="W268" s="21" t="n">
        <f aca="false">IF(C268=5,0,MAX(0,IF(P268&gt;=2,IF(Q268&gt;Exempt,V268*(Q268-Exempt)/Q268,0),V268)))</f>
        <v>9.77972145493923</v>
      </c>
      <c r="X268" s="10" t="n">
        <f aca="false">IF(P268&gt;=2,MIN(MaxDed,MIN(0.4,HoldRate*G268)+MIN(0.4,LiveRate*P268)),IF(G268&gt;=3,MIN(0.3,0.02*G268),0))</f>
        <v>0.72</v>
      </c>
      <c r="Y268" s="21" t="n">
        <f aca="false">MAX(0,W268*(1-X268)-InitDed)</f>
        <v>2.71332200738298</v>
      </c>
      <c r="Z268" s="29" t="n">
        <f aca="false">SUMPRODUCT((Y268&gt;CLo)*(Y268-CLo)*CD)*(1+LocalTax)</f>
        <v>0.914828599086087</v>
      </c>
      <c r="AA268" s="21" t="n">
        <f aca="false">K268+T268+Z268</f>
        <v>2.42965615773858</v>
      </c>
      <c r="AB268" s="29" t="n">
        <f aca="false">IF(C268=5,0,(Q268-H268)-K268-L268-R268-S268-T268-Z268)</f>
        <v>11.7550134610563</v>
      </c>
      <c r="AC268" s="21" t="n">
        <f aca="false">IF(C268=5,0,N268*((1+DepRate*(1-DepTax))^G268-1))</f>
        <v>4.79496539178729</v>
      </c>
      <c r="AD268" s="29" t="n">
        <f aca="false">IF(C268=5,0,AB268-AC268+I268*(((1+DepRate*(1-DepTax))^G268-1)-((1+DepRate*(1-DepTax))^O268-1)))</f>
        <v>9.38776171187088</v>
      </c>
      <c r="AE268" s="30" t="n">
        <f aca="false">IF(J268&gt;0,-PMT(Rm,LoanYears*12,J268)*10000,0)</f>
        <v>190.966118186184</v>
      </c>
      <c r="AF268" s="21" t="n">
        <f aca="false">IF(J268&gt;0,-PMT((Rate+Stress)/12,LoanYears*12,J268)*12/DSR,0)</f>
        <v>0.79836299421502</v>
      </c>
      <c r="AG268" s="20" t="n">
        <f aca="false">IF(N268&lt;=CapA,1,0)</f>
        <v>0</v>
      </c>
      <c r="AH268" s="20" t="n">
        <f aca="false">IF(N268&lt;=CapB,1,0)</f>
        <v>0</v>
      </c>
      <c r="AI268" s="20" t="n">
        <f aca="false">IF(N268&lt;=CapC,1,0)</f>
        <v>0</v>
      </c>
      <c r="AJ268" s="21" t="n">
        <f aca="false">IF(AG268=1,AD268,-999)</f>
        <v>-999</v>
      </c>
      <c r="AK268" s="21" t="n">
        <f aca="false">IF(AH268=1,AD268,-999)</f>
        <v>-999</v>
      </c>
      <c r="AL268" s="21" t="n">
        <f aca="false">IF(AI268=1,AD268,-999)</f>
        <v>-999</v>
      </c>
      <c r="AM268" s="21" t="str">
        <f aca="false">C268&amp;"|"&amp;E268&amp;"|"&amp;G268&amp;"|"&amp;TEXT(AJ268,"0.00000")</f>
        <v>4|3|10|-999.00000</v>
      </c>
      <c r="AN268" s="21" t="str">
        <f aca="false">C268&amp;"|"&amp;E268&amp;"|"&amp;G268&amp;"|"&amp;TEXT(AK268,"0.00000")</f>
        <v>4|3|10|-999.00000</v>
      </c>
      <c r="AO268" s="21" t="str">
        <f aca="false">C268&amp;"|"&amp;E268&amp;"|"&amp;G268&amp;"|"&amp;TEXT(AL268,"0.00000")</f>
        <v>4|3|10|-999.00000</v>
      </c>
    </row>
    <row r="269" customFormat="false" ht="15" hidden="false" customHeight="false" outlineLevel="0" collapsed="false">
      <c r="A269" s="20" t="n">
        <v>9</v>
      </c>
      <c r="B269" s="18" t="str">
        <f aca="false">INDEX(C_Name,A269)</f>
        <v>흑석한강푸르지오 84.98㎡</v>
      </c>
      <c r="C269" s="20" t="n">
        <v>5</v>
      </c>
      <c r="D269" s="21" t="str">
        <f aca="false">CHOOSE(C269,"1안 표준형(대출 최대)","2안 절충형(대출 50%)","3안 무대출형","4안 임대차 승계 후 입주","5안 매수 보류(전세 거주)")</f>
        <v>5안 매수 보류(전세 거주)</v>
      </c>
      <c r="E269" s="20" t="n">
        <v>1</v>
      </c>
      <c r="F269" s="10" t="n">
        <f aca="false">CHOOSE(E269,GrowLo,GrowMid,GrowHi)</f>
        <v>0.02</v>
      </c>
      <c r="G269" s="20" t="n">
        <v>5</v>
      </c>
      <c r="H269" s="18" t="n">
        <f aca="false">INDEX(C_Price,A269)</f>
        <v>20</v>
      </c>
      <c r="I269" s="18" t="n">
        <f aca="false">INDEX(C_Jeonse,A269)</f>
        <v>10.4</v>
      </c>
      <c r="J269" s="21" t="n">
        <f aca="false">IF(C269=5,0,IF(C269=1,INDEX(C_Loan,A269),IF(C269=2,INDEX(C_Loan,A269)*LoanShare2,IF(C269=3,0,MIN(INDEX(C_Loan,A269),I269)))))</f>
        <v>0</v>
      </c>
      <c r="K269" s="18" t="n">
        <f aca="false">IF(C269=5,0,INDEX(C_Acq,A269))</f>
        <v>0</v>
      </c>
      <c r="L269" s="18" t="n">
        <f aca="false">IF(C269=5,0,INDEX(C_Fee,A269))</f>
        <v>0</v>
      </c>
      <c r="M269" s="21" t="n">
        <f aca="false">IF(C269=4,MAX(0,I269-J269),0)</f>
        <v>0</v>
      </c>
      <c r="N269" s="21" t="n">
        <f aca="false">IF(C269=5,I269,IF(C269=4,(H269-I269)+K269+L269+M269,H269-J269+K269+L269))</f>
        <v>10.4</v>
      </c>
      <c r="O269" s="20" t="n">
        <f aca="false">IF(C269=4,RentYears,0)</f>
        <v>0</v>
      </c>
      <c r="P269" s="20" t="n">
        <f aca="false">IF(C269=5,0,MAX(0,G269-O269-NonRes))</f>
        <v>0</v>
      </c>
      <c r="Q269" s="21" t="n">
        <f aca="false">IF(C269=5,0,H269*(1+F269)^G269)</f>
        <v>0</v>
      </c>
      <c r="R269" s="21" t="n">
        <f aca="false">IF(C269=5,0,Q269*LOOKUP(Q269,FeeLo,FeeR)*(1+VAT))</f>
        <v>0</v>
      </c>
      <c r="S269" s="21" t="n">
        <f aca="false">IF(J269&gt;0,-CUMIPMT(Rm,LoanYears*12,J269,1,(G269-O269)*12,0),0)</f>
        <v>0</v>
      </c>
      <c r="T269" s="29" t="n">
        <f aca="false">IF(C269=5,0,SUMIFS(Sch_Total,Sch_Idx,A269,Sch_Scen,E269,Sch_Year,"&lt;="&amp;G269))</f>
        <v>0</v>
      </c>
      <c r="U269" s="21" t="n">
        <f aca="false">K269+L269+R269</f>
        <v>0</v>
      </c>
      <c r="V269" s="21" t="n">
        <f aca="false">IF(C269=5,0,Q269-H269-U269)</f>
        <v>0</v>
      </c>
      <c r="W269" s="21" t="n">
        <f aca="false">IF(C269=5,0,MAX(0,IF(P269&gt;=2,IF(Q269&gt;Exempt,V269*(Q269-Exempt)/Q269,0),V269)))</f>
        <v>0</v>
      </c>
      <c r="X269" s="10" t="n">
        <f aca="false">IF(P269&gt;=2,MIN(MaxDed,MIN(0.4,HoldRate*G269)+MIN(0.4,LiveRate*P269)),IF(G269&gt;=3,MIN(0.3,0.02*G269),0))</f>
        <v>0.1</v>
      </c>
      <c r="Y269" s="21" t="n">
        <f aca="false">MAX(0,W269*(1-X269)-InitDed)</f>
        <v>0</v>
      </c>
      <c r="Z269" s="29" t="n">
        <f aca="false">SUMPRODUCT((Y269&gt;CLo)*(Y269-CLo)*CD)*(1+LocalTax)</f>
        <v>0</v>
      </c>
      <c r="AA269" s="21" t="n">
        <f aca="false">K269+T269+Z269</f>
        <v>0</v>
      </c>
      <c r="AB269" s="29" t="n">
        <f aca="false">IF(C269=5,0,(Q269-H269)-K269-L269-R269-S269-T269-Z269)</f>
        <v>0</v>
      </c>
      <c r="AC269" s="21" t="n">
        <f aca="false">IF(C269=5,0,N269*((1+DepRate*(1-DepTax))^G269-1))</f>
        <v>0</v>
      </c>
      <c r="AD269" s="29" t="n">
        <f aca="false">IF(C269=5,0,AB269-AC269+I269*(((1+DepRate*(1-DepTax))^G269-1)-((1+DepRate*(1-DepTax))^O269-1)))</f>
        <v>0</v>
      </c>
      <c r="AE269" s="30" t="n">
        <f aca="false">IF(J269&gt;0,-PMT(Rm,LoanYears*12,J269)*10000,0)</f>
        <v>0</v>
      </c>
      <c r="AF269" s="21" t="n">
        <f aca="false">IF(J269&gt;0,-PMT((Rate+Stress)/12,LoanYears*12,J269)*12/DSR,0)</f>
        <v>0</v>
      </c>
      <c r="AG269" s="20" t="n">
        <f aca="false">IF(N269&lt;=CapA,1,0)</f>
        <v>1</v>
      </c>
      <c r="AH269" s="20" t="n">
        <f aca="false">IF(N269&lt;=CapB,1,0)</f>
        <v>1</v>
      </c>
      <c r="AI269" s="20" t="n">
        <f aca="false">IF(N269&lt;=CapC,1,0)</f>
        <v>1</v>
      </c>
      <c r="AJ269" s="21" t="n">
        <f aca="false">IF(AG269=1,AD269,-999)</f>
        <v>0</v>
      </c>
      <c r="AK269" s="21" t="n">
        <f aca="false">IF(AH269=1,AD269,-999)</f>
        <v>0</v>
      </c>
      <c r="AL269" s="21" t="n">
        <f aca="false">IF(AI269=1,AD269,-999)</f>
        <v>0</v>
      </c>
      <c r="AM269" s="21" t="str">
        <f aca="false">C269&amp;"|"&amp;E269&amp;"|"&amp;G269&amp;"|"&amp;TEXT(AJ269,"0.00000")</f>
        <v>5|1|5|0.00000</v>
      </c>
      <c r="AN269" s="21" t="str">
        <f aca="false">C269&amp;"|"&amp;E269&amp;"|"&amp;G269&amp;"|"&amp;TEXT(AK269,"0.00000")</f>
        <v>5|1|5|0.00000</v>
      </c>
      <c r="AO269" s="21" t="str">
        <f aca="false">C269&amp;"|"&amp;E269&amp;"|"&amp;G269&amp;"|"&amp;TEXT(AL269,"0.00000")</f>
        <v>5|1|5|0.00000</v>
      </c>
    </row>
    <row r="270" customFormat="false" ht="15" hidden="false" customHeight="false" outlineLevel="0" collapsed="false">
      <c r="A270" s="20" t="n">
        <v>9</v>
      </c>
      <c r="B270" s="18" t="str">
        <f aca="false">INDEX(C_Name,A270)</f>
        <v>흑석한강푸르지오 84.98㎡</v>
      </c>
      <c r="C270" s="20" t="n">
        <v>5</v>
      </c>
      <c r="D270" s="21" t="str">
        <f aca="false">CHOOSE(C270,"1안 표준형(대출 최대)","2안 절충형(대출 50%)","3안 무대출형","4안 임대차 승계 후 입주","5안 매수 보류(전세 거주)")</f>
        <v>5안 매수 보류(전세 거주)</v>
      </c>
      <c r="E270" s="20" t="n">
        <v>1</v>
      </c>
      <c r="F270" s="10" t="n">
        <f aca="false">CHOOSE(E270,GrowLo,GrowMid,GrowHi)</f>
        <v>0.02</v>
      </c>
      <c r="G270" s="20" t="n">
        <v>10</v>
      </c>
      <c r="H270" s="18" t="n">
        <f aca="false">INDEX(C_Price,A270)</f>
        <v>20</v>
      </c>
      <c r="I270" s="18" t="n">
        <f aca="false">INDEX(C_Jeonse,A270)</f>
        <v>10.4</v>
      </c>
      <c r="J270" s="21" t="n">
        <f aca="false">IF(C270=5,0,IF(C270=1,INDEX(C_Loan,A270),IF(C270=2,INDEX(C_Loan,A270)*LoanShare2,IF(C270=3,0,MIN(INDEX(C_Loan,A270),I270)))))</f>
        <v>0</v>
      </c>
      <c r="K270" s="18" t="n">
        <f aca="false">IF(C270=5,0,INDEX(C_Acq,A270))</f>
        <v>0</v>
      </c>
      <c r="L270" s="18" t="n">
        <f aca="false">IF(C270=5,0,INDEX(C_Fee,A270))</f>
        <v>0</v>
      </c>
      <c r="M270" s="21" t="n">
        <f aca="false">IF(C270=4,MAX(0,I270-J270),0)</f>
        <v>0</v>
      </c>
      <c r="N270" s="21" t="n">
        <f aca="false">IF(C270=5,I270,IF(C270=4,(H270-I270)+K270+L270+M270,H270-J270+K270+L270))</f>
        <v>10.4</v>
      </c>
      <c r="O270" s="20" t="n">
        <f aca="false">IF(C270=4,RentYears,0)</f>
        <v>0</v>
      </c>
      <c r="P270" s="20" t="n">
        <f aca="false">IF(C270=5,0,MAX(0,G270-O270-NonRes))</f>
        <v>0</v>
      </c>
      <c r="Q270" s="21" t="n">
        <f aca="false">IF(C270=5,0,H270*(1+F270)^G270)</f>
        <v>0</v>
      </c>
      <c r="R270" s="21" t="n">
        <f aca="false">IF(C270=5,0,Q270*LOOKUP(Q270,FeeLo,FeeR)*(1+VAT))</f>
        <v>0</v>
      </c>
      <c r="S270" s="21" t="n">
        <f aca="false">IF(J270&gt;0,-CUMIPMT(Rm,LoanYears*12,J270,1,(G270-O270)*12,0),0)</f>
        <v>0</v>
      </c>
      <c r="T270" s="29" t="n">
        <f aca="false">IF(C270=5,0,SUMIFS(Sch_Total,Sch_Idx,A270,Sch_Scen,E270,Sch_Year,"&lt;="&amp;G270))</f>
        <v>0</v>
      </c>
      <c r="U270" s="21" t="n">
        <f aca="false">K270+L270+R270</f>
        <v>0</v>
      </c>
      <c r="V270" s="21" t="n">
        <f aca="false">IF(C270=5,0,Q270-H270-U270)</f>
        <v>0</v>
      </c>
      <c r="W270" s="21" t="n">
        <f aca="false">IF(C270=5,0,MAX(0,IF(P270&gt;=2,IF(Q270&gt;Exempt,V270*(Q270-Exempt)/Q270,0),V270)))</f>
        <v>0</v>
      </c>
      <c r="X270" s="10" t="n">
        <f aca="false">IF(P270&gt;=2,MIN(MaxDed,MIN(0.4,HoldRate*G270)+MIN(0.4,LiveRate*P270)),IF(G270&gt;=3,MIN(0.3,0.02*G270),0))</f>
        <v>0.2</v>
      </c>
      <c r="Y270" s="21" t="n">
        <f aca="false">MAX(0,W270*(1-X270)-InitDed)</f>
        <v>0</v>
      </c>
      <c r="Z270" s="29" t="n">
        <f aca="false">SUMPRODUCT((Y270&gt;CLo)*(Y270-CLo)*CD)*(1+LocalTax)</f>
        <v>0</v>
      </c>
      <c r="AA270" s="21" t="n">
        <f aca="false">K270+T270+Z270</f>
        <v>0</v>
      </c>
      <c r="AB270" s="29" t="n">
        <f aca="false">IF(C270=5,0,(Q270-H270)-K270-L270-R270-S270-T270-Z270)</f>
        <v>0</v>
      </c>
      <c r="AC270" s="21" t="n">
        <f aca="false">IF(C270=5,0,N270*((1+DepRate*(1-DepTax))^G270-1))</f>
        <v>0</v>
      </c>
      <c r="AD270" s="29" t="n">
        <f aca="false">IF(C270=5,0,AB270-AC270+I270*(((1+DepRate*(1-DepTax))^G270-1)-((1+DepRate*(1-DepTax))^O270-1)))</f>
        <v>0</v>
      </c>
      <c r="AE270" s="30" t="n">
        <f aca="false">IF(J270&gt;0,-PMT(Rm,LoanYears*12,J270)*10000,0)</f>
        <v>0</v>
      </c>
      <c r="AF270" s="21" t="n">
        <f aca="false">IF(J270&gt;0,-PMT((Rate+Stress)/12,LoanYears*12,J270)*12/DSR,0)</f>
        <v>0</v>
      </c>
      <c r="AG270" s="20" t="n">
        <f aca="false">IF(N270&lt;=CapA,1,0)</f>
        <v>1</v>
      </c>
      <c r="AH270" s="20" t="n">
        <f aca="false">IF(N270&lt;=CapB,1,0)</f>
        <v>1</v>
      </c>
      <c r="AI270" s="20" t="n">
        <f aca="false">IF(N270&lt;=CapC,1,0)</f>
        <v>1</v>
      </c>
      <c r="AJ270" s="21" t="n">
        <f aca="false">IF(AG270=1,AD270,-999)</f>
        <v>0</v>
      </c>
      <c r="AK270" s="21" t="n">
        <f aca="false">IF(AH270=1,AD270,-999)</f>
        <v>0</v>
      </c>
      <c r="AL270" s="21" t="n">
        <f aca="false">IF(AI270=1,AD270,-999)</f>
        <v>0</v>
      </c>
      <c r="AM270" s="21" t="str">
        <f aca="false">C270&amp;"|"&amp;E270&amp;"|"&amp;G270&amp;"|"&amp;TEXT(AJ270,"0.00000")</f>
        <v>5|1|10|0.00000</v>
      </c>
      <c r="AN270" s="21" t="str">
        <f aca="false">C270&amp;"|"&amp;E270&amp;"|"&amp;G270&amp;"|"&amp;TEXT(AK270,"0.00000")</f>
        <v>5|1|10|0.00000</v>
      </c>
      <c r="AO270" s="21" t="str">
        <f aca="false">C270&amp;"|"&amp;E270&amp;"|"&amp;G270&amp;"|"&amp;TEXT(AL270,"0.00000")</f>
        <v>5|1|10|0.00000</v>
      </c>
    </row>
    <row r="271" customFormat="false" ht="15" hidden="false" customHeight="false" outlineLevel="0" collapsed="false">
      <c r="A271" s="20" t="n">
        <v>9</v>
      </c>
      <c r="B271" s="18" t="str">
        <f aca="false">INDEX(C_Name,A271)</f>
        <v>흑석한강푸르지오 84.98㎡</v>
      </c>
      <c r="C271" s="20" t="n">
        <v>5</v>
      </c>
      <c r="D271" s="21" t="str">
        <f aca="false">CHOOSE(C271,"1안 표준형(대출 최대)","2안 절충형(대출 50%)","3안 무대출형","4안 임대차 승계 후 입주","5안 매수 보류(전세 거주)")</f>
        <v>5안 매수 보류(전세 거주)</v>
      </c>
      <c r="E271" s="20" t="n">
        <v>2</v>
      </c>
      <c r="F271" s="10" t="n">
        <f aca="false">CHOOSE(E271,GrowLo,GrowMid,GrowHi)</f>
        <v>0.04</v>
      </c>
      <c r="G271" s="20" t="n">
        <v>5</v>
      </c>
      <c r="H271" s="18" t="n">
        <f aca="false">INDEX(C_Price,A271)</f>
        <v>20</v>
      </c>
      <c r="I271" s="18" t="n">
        <f aca="false">INDEX(C_Jeonse,A271)</f>
        <v>10.4</v>
      </c>
      <c r="J271" s="21" t="n">
        <f aca="false">IF(C271=5,0,IF(C271=1,INDEX(C_Loan,A271),IF(C271=2,INDEX(C_Loan,A271)*LoanShare2,IF(C271=3,0,MIN(INDEX(C_Loan,A271),I271)))))</f>
        <v>0</v>
      </c>
      <c r="K271" s="18" t="n">
        <f aca="false">IF(C271=5,0,INDEX(C_Acq,A271))</f>
        <v>0</v>
      </c>
      <c r="L271" s="18" t="n">
        <f aca="false">IF(C271=5,0,INDEX(C_Fee,A271))</f>
        <v>0</v>
      </c>
      <c r="M271" s="21" t="n">
        <f aca="false">IF(C271=4,MAX(0,I271-J271),0)</f>
        <v>0</v>
      </c>
      <c r="N271" s="21" t="n">
        <f aca="false">IF(C271=5,I271,IF(C271=4,(H271-I271)+K271+L271+M271,H271-J271+K271+L271))</f>
        <v>10.4</v>
      </c>
      <c r="O271" s="20" t="n">
        <f aca="false">IF(C271=4,RentYears,0)</f>
        <v>0</v>
      </c>
      <c r="P271" s="20" t="n">
        <f aca="false">IF(C271=5,0,MAX(0,G271-O271-NonRes))</f>
        <v>0</v>
      </c>
      <c r="Q271" s="21" t="n">
        <f aca="false">IF(C271=5,0,H271*(1+F271)^G271)</f>
        <v>0</v>
      </c>
      <c r="R271" s="21" t="n">
        <f aca="false">IF(C271=5,0,Q271*LOOKUP(Q271,FeeLo,FeeR)*(1+VAT))</f>
        <v>0</v>
      </c>
      <c r="S271" s="21" t="n">
        <f aca="false">IF(J271&gt;0,-CUMIPMT(Rm,LoanYears*12,J271,1,(G271-O271)*12,0),0)</f>
        <v>0</v>
      </c>
      <c r="T271" s="29" t="n">
        <f aca="false">IF(C271=5,0,SUMIFS(Sch_Total,Sch_Idx,A271,Sch_Scen,E271,Sch_Year,"&lt;="&amp;G271))</f>
        <v>0</v>
      </c>
      <c r="U271" s="21" t="n">
        <f aca="false">K271+L271+R271</f>
        <v>0</v>
      </c>
      <c r="V271" s="21" t="n">
        <f aca="false">IF(C271=5,0,Q271-H271-U271)</f>
        <v>0</v>
      </c>
      <c r="W271" s="21" t="n">
        <f aca="false">IF(C271=5,0,MAX(0,IF(P271&gt;=2,IF(Q271&gt;Exempt,V271*(Q271-Exempt)/Q271,0),V271)))</f>
        <v>0</v>
      </c>
      <c r="X271" s="10" t="n">
        <f aca="false">IF(P271&gt;=2,MIN(MaxDed,MIN(0.4,HoldRate*G271)+MIN(0.4,LiveRate*P271)),IF(G271&gt;=3,MIN(0.3,0.02*G271),0))</f>
        <v>0.1</v>
      </c>
      <c r="Y271" s="21" t="n">
        <f aca="false">MAX(0,W271*(1-X271)-InitDed)</f>
        <v>0</v>
      </c>
      <c r="Z271" s="29" t="n">
        <f aca="false">SUMPRODUCT((Y271&gt;CLo)*(Y271-CLo)*CD)*(1+LocalTax)</f>
        <v>0</v>
      </c>
      <c r="AA271" s="21" t="n">
        <f aca="false">K271+T271+Z271</f>
        <v>0</v>
      </c>
      <c r="AB271" s="29" t="n">
        <f aca="false">IF(C271=5,0,(Q271-H271)-K271-L271-R271-S271-T271-Z271)</f>
        <v>0</v>
      </c>
      <c r="AC271" s="21" t="n">
        <f aca="false">IF(C271=5,0,N271*((1+DepRate*(1-DepTax))^G271-1))</f>
        <v>0</v>
      </c>
      <c r="AD271" s="29" t="n">
        <f aca="false">IF(C271=5,0,AB271-AC271+I271*(((1+DepRate*(1-DepTax))^G271-1)-((1+DepRate*(1-DepTax))^O271-1)))</f>
        <v>0</v>
      </c>
      <c r="AE271" s="30" t="n">
        <f aca="false">IF(J271&gt;0,-PMT(Rm,LoanYears*12,J271)*10000,0)</f>
        <v>0</v>
      </c>
      <c r="AF271" s="21" t="n">
        <f aca="false">IF(J271&gt;0,-PMT((Rate+Stress)/12,LoanYears*12,J271)*12/DSR,0)</f>
        <v>0</v>
      </c>
      <c r="AG271" s="20" t="n">
        <f aca="false">IF(N271&lt;=CapA,1,0)</f>
        <v>1</v>
      </c>
      <c r="AH271" s="20" t="n">
        <f aca="false">IF(N271&lt;=CapB,1,0)</f>
        <v>1</v>
      </c>
      <c r="AI271" s="20" t="n">
        <f aca="false">IF(N271&lt;=CapC,1,0)</f>
        <v>1</v>
      </c>
      <c r="AJ271" s="21" t="n">
        <f aca="false">IF(AG271=1,AD271,-999)</f>
        <v>0</v>
      </c>
      <c r="AK271" s="21" t="n">
        <f aca="false">IF(AH271=1,AD271,-999)</f>
        <v>0</v>
      </c>
      <c r="AL271" s="21" t="n">
        <f aca="false">IF(AI271=1,AD271,-999)</f>
        <v>0</v>
      </c>
      <c r="AM271" s="21" t="str">
        <f aca="false">C271&amp;"|"&amp;E271&amp;"|"&amp;G271&amp;"|"&amp;TEXT(AJ271,"0.00000")</f>
        <v>5|2|5|0.00000</v>
      </c>
      <c r="AN271" s="21" t="str">
        <f aca="false">C271&amp;"|"&amp;E271&amp;"|"&amp;G271&amp;"|"&amp;TEXT(AK271,"0.00000")</f>
        <v>5|2|5|0.00000</v>
      </c>
      <c r="AO271" s="21" t="str">
        <f aca="false">C271&amp;"|"&amp;E271&amp;"|"&amp;G271&amp;"|"&amp;TEXT(AL271,"0.00000")</f>
        <v>5|2|5|0.00000</v>
      </c>
    </row>
    <row r="272" customFormat="false" ht="15" hidden="false" customHeight="false" outlineLevel="0" collapsed="false">
      <c r="A272" s="20" t="n">
        <v>9</v>
      </c>
      <c r="B272" s="18" t="str">
        <f aca="false">INDEX(C_Name,A272)</f>
        <v>흑석한강푸르지오 84.98㎡</v>
      </c>
      <c r="C272" s="20" t="n">
        <v>5</v>
      </c>
      <c r="D272" s="21" t="str">
        <f aca="false">CHOOSE(C272,"1안 표준형(대출 최대)","2안 절충형(대출 50%)","3안 무대출형","4안 임대차 승계 후 입주","5안 매수 보류(전세 거주)")</f>
        <v>5안 매수 보류(전세 거주)</v>
      </c>
      <c r="E272" s="20" t="n">
        <v>2</v>
      </c>
      <c r="F272" s="10" t="n">
        <f aca="false">CHOOSE(E272,GrowLo,GrowMid,GrowHi)</f>
        <v>0.04</v>
      </c>
      <c r="G272" s="20" t="n">
        <v>10</v>
      </c>
      <c r="H272" s="18" t="n">
        <f aca="false">INDEX(C_Price,A272)</f>
        <v>20</v>
      </c>
      <c r="I272" s="18" t="n">
        <f aca="false">INDEX(C_Jeonse,A272)</f>
        <v>10.4</v>
      </c>
      <c r="J272" s="21" t="n">
        <f aca="false">IF(C272=5,0,IF(C272=1,INDEX(C_Loan,A272),IF(C272=2,INDEX(C_Loan,A272)*LoanShare2,IF(C272=3,0,MIN(INDEX(C_Loan,A272),I272)))))</f>
        <v>0</v>
      </c>
      <c r="K272" s="18" t="n">
        <f aca="false">IF(C272=5,0,INDEX(C_Acq,A272))</f>
        <v>0</v>
      </c>
      <c r="L272" s="18" t="n">
        <f aca="false">IF(C272=5,0,INDEX(C_Fee,A272))</f>
        <v>0</v>
      </c>
      <c r="M272" s="21" t="n">
        <f aca="false">IF(C272=4,MAX(0,I272-J272),0)</f>
        <v>0</v>
      </c>
      <c r="N272" s="21" t="n">
        <f aca="false">IF(C272=5,I272,IF(C272=4,(H272-I272)+K272+L272+M272,H272-J272+K272+L272))</f>
        <v>10.4</v>
      </c>
      <c r="O272" s="20" t="n">
        <f aca="false">IF(C272=4,RentYears,0)</f>
        <v>0</v>
      </c>
      <c r="P272" s="20" t="n">
        <f aca="false">IF(C272=5,0,MAX(0,G272-O272-NonRes))</f>
        <v>0</v>
      </c>
      <c r="Q272" s="21" t="n">
        <f aca="false">IF(C272=5,0,H272*(1+F272)^G272)</f>
        <v>0</v>
      </c>
      <c r="R272" s="21" t="n">
        <f aca="false">IF(C272=5,0,Q272*LOOKUP(Q272,FeeLo,FeeR)*(1+VAT))</f>
        <v>0</v>
      </c>
      <c r="S272" s="21" t="n">
        <f aca="false">IF(J272&gt;0,-CUMIPMT(Rm,LoanYears*12,J272,1,(G272-O272)*12,0),0)</f>
        <v>0</v>
      </c>
      <c r="T272" s="29" t="n">
        <f aca="false">IF(C272=5,0,SUMIFS(Sch_Total,Sch_Idx,A272,Sch_Scen,E272,Sch_Year,"&lt;="&amp;G272))</f>
        <v>0</v>
      </c>
      <c r="U272" s="21" t="n">
        <f aca="false">K272+L272+R272</f>
        <v>0</v>
      </c>
      <c r="V272" s="21" t="n">
        <f aca="false">IF(C272=5,0,Q272-H272-U272)</f>
        <v>0</v>
      </c>
      <c r="W272" s="21" t="n">
        <f aca="false">IF(C272=5,0,MAX(0,IF(P272&gt;=2,IF(Q272&gt;Exempt,V272*(Q272-Exempt)/Q272,0),V272)))</f>
        <v>0</v>
      </c>
      <c r="X272" s="10" t="n">
        <f aca="false">IF(P272&gt;=2,MIN(MaxDed,MIN(0.4,HoldRate*G272)+MIN(0.4,LiveRate*P272)),IF(G272&gt;=3,MIN(0.3,0.02*G272),0))</f>
        <v>0.2</v>
      </c>
      <c r="Y272" s="21" t="n">
        <f aca="false">MAX(0,W272*(1-X272)-InitDed)</f>
        <v>0</v>
      </c>
      <c r="Z272" s="29" t="n">
        <f aca="false">SUMPRODUCT((Y272&gt;CLo)*(Y272-CLo)*CD)*(1+LocalTax)</f>
        <v>0</v>
      </c>
      <c r="AA272" s="21" t="n">
        <f aca="false">K272+T272+Z272</f>
        <v>0</v>
      </c>
      <c r="AB272" s="29" t="n">
        <f aca="false">IF(C272=5,0,(Q272-H272)-K272-L272-R272-S272-T272-Z272)</f>
        <v>0</v>
      </c>
      <c r="AC272" s="21" t="n">
        <f aca="false">IF(C272=5,0,N272*((1+DepRate*(1-DepTax))^G272-1))</f>
        <v>0</v>
      </c>
      <c r="AD272" s="29" t="n">
        <f aca="false">IF(C272=5,0,AB272-AC272+I272*(((1+DepRate*(1-DepTax))^G272-1)-((1+DepRate*(1-DepTax))^O272-1)))</f>
        <v>0</v>
      </c>
      <c r="AE272" s="30" t="n">
        <f aca="false">IF(J272&gt;0,-PMT(Rm,LoanYears*12,J272)*10000,0)</f>
        <v>0</v>
      </c>
      <c r="AF272" s="21" t="n">
        <f aca="false">IF(J272&gt;0,-PMT((Rate+Stress)/12,LoanYears*12,J272)*12/DSR,0)</f>
        <v>0</v>
      </c>
      <c r="AG272" s="20" t="n">
        <f aca="false">IF(N272&lt;=CapA,1,0)</f>
        <v>1</v>
      </c>
      <c r="AH272" s="20" t="n">
        <f aca="false">IF(N272&lt;=CapB,1,0)</f>
        <v>1</v>
      </c>
      <c r="AI272" s="20" t="n">
        <f aca="false">IF(N272&lt;=CapC,1,0)</f>
        <v>1</v>
      </c>
      <c r="AJ272" s="21" t="n">
        <f aca="false">IF(AG272=1,AD272,-999)</f>
        <v>0</v>
      </c>
      <c r="AK272" s="21" t="n">
        <f aca="false">IF(AH272=1,AD272,-999)</f>
        <v>0</v>
      </c>
      <c r="AL272" s="21" t="n">
        <f aca="false">IF(AI272=1,AD272,-999)</f>
        <v>0</v>
      </c>
      <c r="AM272" s="21" t="str">
        <f aca="false">C272&amp;"|"&amp;E272&amp;"|"&amp;G272&amp;"|"&amp;TEXT(AJ272,"0.00000")</f>
        <v>5|2|10|0.00000</v>
      </c>
      <c r="AN272" s="21" t="str">
        <f aca="false">C272&amp;"|"&amp;E272&amp;"|"&amp;G272&amp;"|"&amp;TEXT(AK272,"0.00000")</f>
        <v>5|2|10|0.00000</v>
      </c>
      <c r="AO272" s="21" t="str">
        <f aca="false">C272&amp;"|"&amp;E272&amp;"|"&amp;G272&amp;"|"&amp;TEXT(AL272,"0.00000")</f>
        <v>5|2|10|0.00000</v>
      </c>
    </row>
    <row r="273" customFormat="false" ht="15" hidden="false" customHeight="false" outlineLevel="0" collapsed="false">
      <c r="A273" s="20" t="n">
        <v>9</v>
      </c>
      <c r="B273" s="18" t="str">
        <f aca="false">INDEX(C_Name,A273)</f>
        <v>흑석한강푸르지오 84.98㎡</v>
      </c>
      <c r="C273" s="20" t="n">
        <v>5</v>
      </c>
      <c r="D273" s="21" t="str">
        <f aca="false">CHOOSE(C273,"1안 표준형(대출 최대)","2안 절충형(대출 50%)","3안 무대출형","4안 임대차 승계 후 입주","5안 매수 보류(전세 거주)")</f>
        <v>5안 매수 보류(전세 거주)</v>
      </c>
      <c r="E273" s="20" t="n">
        <v>3</v>
      </c>
      <c r="F273" s="10" t="n">
        <f aca="false">CHOOSE(E273,GrowLo,GrowMid,GrowHi)</f>
        <v>0.06</v>
      </c>
      <c r="G273" s="20" t="n">
        <v>5</v>
      </c>
      <c r="H273" s="18" t="n">
        <f aca="false">INDEX(C_Price,A273)</f>
        <v>20</v>
      </c>
      <c r="I273" s="18" t="n">
        <f aca="false">INDEX(C_Jeonse,A273)</f>
        <v>10.4</v>
      </c>
      <c r="J273" s="21" t="n">
        <f aca="false">IF(C273=5,0,IF(C273=1,INDEX(C_Loan,A273),IF(C273=2,INDEX(C_Loan,A273)*LoanShare2,IF(C273=3,0,MIN(INDEX(C_Loan,A273),I273)))))</f>
        <v>0</v>
      </c>
      <c r="K273" s="18" t="n">
        <f aca="false">IF(C273=5,0,INDEX(C_Acq,A273))</f>
        <v>0</v>
      </c>
      <c r="L273" s="18" t="n">
        <f aca="false">IF(C273=5,0,INDEX(C_Fee,A273))</f>
        <v>0</v>
      </c>
      <c r="M273" s="21" t="n">
        <f aca="false">IF(C273=4,MAX(0,I273-J273),0)</f>
        <v>0</v>
      </c>
      <c r="N273" s="21" t="n">
        <f aca="false">IF(C273=5,I273,IF(C273=4,(H273-I273)+K273+L273+M273,H273-J273+K273+L273))</f>
        <v>10.4</v>
      </c>
      <c r="O273" s="20" t="n">
        <f aca="false">IF(C273=4,RentYears,0)</f>
        <v>0</v>
      </c>
      <c r="P273" s="20" t="n">
        <f aca="false">IF(C273=5,0,MAX(0,G273-O273-NonRes))</f>
        <v>0</v>
      </c>
      <c r="Q273" s="21" t="n">
        <f aca="false">IF(C273=5,0,H273*(1+F273)^G273)</f>
        <v>0</v>
      </c>
      <c r="R273" s="21" t="n">
        <f aca="false">IF(C273=5,0,Q273*LOOKUP(Q273,FeeLo,FeeR)*(1+VAT))</f>
        <v>0</v>
      </c>
      <c r="S273" s="21" t="n">
        <f aca="false">IF(J273&gt;0,-CUMIPMT(Rm,LoanYears*12,J273,1,(G273-O273)*12,0),0)</f>
        <v>0</v>
      </c>
      <c r="T273" s="29" t="n">
        <f aca="false">IF(C273=5,0,SUMIFS(Sch_Total,Sch_Idx,A273,Sch_Scen,E273,Sch_Year,"&lt;="&amp;G273))</f>
        <v>0</v>
      </c>
      <c r="U273" s="21" t="n">
        <f aca="false">K273+L273+R273</f>
        <v>0</v>
      </c>
      <c r="V273" s="21" t="n">
        <f aca="false">IF(C273=5,0,Q273-H273-U273)</f>
        <v>0</v>
      </c>
      <c r="W273" s="21" t="n">
        <f aca="false">IF(C273=5,0,MAX(0,IF(P273&gt;=2,IF(Q273&gt;Exempt,V273*(Q273-Exempt)/Q273,0),V273)))</f>
        <v>0</v>
      </c>
      <c r="X273" s="10" t="n">
        <f aca="false">IF(P273&gt;=2,MIN(MaxDed,MIN(0.4,HoldRate*G273)+MIN(0.4,LiveRate*P273)),IF(G273&gt;=3,MIN(0.3,0.02*G273),0))</f>
        <v>0.1</v>
      </c>
      <c r="Y273" s="21" t="n">
        <f aca="false">MAX(0,W273*(1-X273)-InitDed)</f>
        <v>0</v>
      </c>
      <c r="Z273" s="29" t="n">
        <f aca="false">SUMPRODUCT((Y273&gt;CLo)*(Y273-CLo)*CD)*(1+LocalTax)</f>
        <v>0</v>
      </c>
      <c r="AA273" s="21" t="n">
        <f aca="false">K273+T273+Z273</f>
        <v>0</v>
      </c>
      <c r="AB273" s="29" t="n">
        <f aca="false">IF(C273=5,0,(Q273-H273)-K273-L273-R273-S273-T273-Z273)</f>
        <v>0</v>
      </c>
      <c r="AC273" s="21" t="n">
        <f aca="false">IF(C273=5,0,N273*((1+DepRate*(1-DepTax))^G273-1))</f>
        <v>0</v>
      </c>
      <c r="AD273" s="29" t="n">
        <f aca="false">IF(C273=5,0,AB273-AC273+I273*(((1+DepRate*(1-DepTax))^G273-1)-((1+DepRate*(1-DepTax))^O273-1)))</f>
        <v>0</v>
      </c>
      <c r="AE273" s="30" t="n">
        <f aca="false">IF(J273&gt;0,-PMT(Rm,LoanYears*12,J273)*10000,0)</f>
        <v>0</v>
      </c>
      <c r="AF273" s="21" t="n">
        <f aca="false">IF(J273&gt;0,-PMT((Rate+Stress)/12,LoanYears*12,J273)*12/DSR,0)</f>
        <v>0</v>
      </c>
      <c r="AG273" s="20" t="n">
        <f aca="false">IF(N273&lt;=CapA,1,0)</f>
        <v>1</v>
      </c>
      <c r="AH273" s="20" t="n">
        <f aca="false">IF(N273&lt;=CapB,1,0)</f>
        <v>1</v>
      </c>
      <c r="AI273" s="20" t="n">
        <f aca="false">IF(N273&lt;=CapC,1,0)</f>
        <v>1</v>
      </c>
      <c r="AJ273" s="21" t="n">
        <f aca="false">IF(AG273=1,AD273,-999)</f>
        <v>0</v>
      </c>
      <c r="AK273" s="21" t="n">
        <f aca="false">IF(AH273=1,AD273,-999)</f>
        <v>0</v>
      </c>
      <c r="AL273" s="21" t="n">
        <f aca="false">IF(AI273=1,AD273,-999)</f>
        <v>0</v>
      </c>
      <c r="AM273" s="21" t="str">
        <f aca="false">C273&amp;"|"&amp;E273&amp;"|"&amp;G273&amp;"|"&amp;TEXT(AJ273,"0.00000")</f>
        <v>5|3|5|0.00000</v>
      </c>
      <c r="AN273" s="21" t="str">
        <f aca="false">C273&amp;"|"&amp;E273&amp;"|"&amp;G273&amp;"|"&amp;TEXT(AK273,"0.00000")</f>
        <v>5|3|5|0.00000</v>
      </c>
      <c r="AO273" s="21" t="str">
        <f aca="false">C273&amp;"|"&amp;E273&amp;"|"&amp;G273&amp;"|"&amp;TEXT(AL273,"0.00000")</f>
        <v>5|3|5|0.00000</v>
      </c>
    </row>
    <row r="274" customFormat="false" ht="15" hidden="false" customHeight="false" outlineLevel="0" collapsed="false">
      <c r="A274" s="20" t="n">
        <v>9</v>
      </c>
      <c r="B274" s="18" t="str">
        <f aca="false">INDEX(C_Name,A274)</f>
        <v>흑석한강푸르지오 84.98㎡</v>
      </c>
      <c r="C274" s="20" t="n">
        <v>5</v>
      </c>
      <c r="D274" s="21" t="str">
        <f aca="false">CHOOSE(C274,"1안 표준형(대출 최대)","2안 절충형(대출 50%)","3안 무대출형","4안 임대차 승계 후 입주","5안 매수 보류(전세 거주)")</f>
        <v>5안 매수 보류(전세 거주)</v>
      </c>
      <c r="E274" s="20" t="n">
        <v>3</v>
      </c>
      <c r="F274" s="10" t="n">
        <f aca="false">CHOOSE(E274,GrowLo,GrowMid,GrowHi)</f>
        <v>0.06</v>
      </c>
      <c r="G274" s="20" t="n">
        <v>10</v>
      </c>
      <c r="H274" s="18" t="n">
        <f aca="false">INDEX(C_Price,A274)</f>
        <v>20</v>
      </c>
      <c r="I274" s="18" t="n">
        <f aca="false">INDEX(C_Jeonse,A274)</f>
        <v>10.4</v>
      </c>
      <c r="J274" s="21" t="n">
        <f aca="false">IF(C274=5,0,IF(C274=1,INDEX(C_Loan,A274),IF(C274=2,INDEX(C_Loan,A274)*LoanShare2,IF(C274=3,0,MIN(INDEX(C_Loan,A274),I274)))))</f>
        <v>0</v>
      </c>
      <c r="K274" s="18" t="n">
        <f aca="false">IF(C274=5,0,INDEX(C_Acq,A274))</f>
        <v>0</v>
      </c>
      <c r="L274" s="18" t="n">
        <f aca="false">IF(C274=5,0,INDEX(C_Fee,A274))</f>
        <v>0</v>
      </c>
      <c r="M274" s="21" t="n">
        <f aca="false">IF(C274=4,MAX(0,I274-J274),0)</f>
        <v>0</v>
      </c>
      <c r="N274" s="21" t="n">
        <f aca="false">IF(C274=5,I274,IF(C274=4,(H274-I274)+K274+L274+M274,H274-J274+K274+L274))</f>
        <v>10.4</v>
      </c>
      <c r="O274" s="20" t="n">
        <f aca="false">IF(C274=4,RentYears,0)</f>
        <v>0</v>
      </c>
      <c r="P274" s="20" t="n">
        <f aca="false">IF(C274=5,0,MAX(0,G274-O274-NonRes))</f>
        <v>0</v>
      </c>
      <c r="Q274" s="21" t="n">
        <f aca="false">IF(C274=5,0,H274*(1+F274)^G274)</f>
        <v>0</v>
      </c>
      <c r="R274" s="21" t="n">
        <f aca="false">IF(C274=5,0,Q274*LOOKUP(Q274,FeeLo,FeeR)*(1+VAT))</f>
        <v>0</v>
      </c>
      <c r="S274" s="21" t="n">
        <f aca="false">IF(J274&gt;0,-CUMIPMT(Rm,LoanYears*12,J274,1,(G274-O274)*12,0),0)</f>
        <v>0</v>
      </c>
      <c r="T274" s="29" t="n">
        <f aca="false">IF(C274=5,0,SUMIFS(Sch_Total,Sch_Idx,A274,Sch_Scen,E274,Sch_Year,"&lt;="&amp;G274))</f>
        <v>0</v>
      </c>
      <c r="U274" s="21" t="n">
        <f aca="false">K274+L274+R274</f>
        <v>0</v>
      </c>
      <c r="V274" s="21" t="n">
        <f aca="false">IF(C274=5,0,Q274-H274-U274)</f>
        <v>0</v>
      </c>
      <c r="W274" s="21" t="n">
        <f aca="false">IF(C274=5,0,MAX(0,IF(P274&gt;=2,IF(Q274&gt;Exempt,V274*(Q274-Exempt)/Q274,0),V274)))</f>
        <v>0</v>
      </c>
      <c r="X274" s="10" t="n">
        <f aca="false">IF(P274&gt;=2,MIN(MaxDed,MIN(0.4,HoldRate*G274)+MIN(0.4,LiveRate*P274)),IF(G274&gt;=3,MIN(0.3,0.02*G274),0))</f>
        <v>0.2</v>
      </c>
      <c r="Y274" s="21" t="n">
        <f aca="false">MAX(0,W274*(1-X274)-InitDed)</f>
        <v>0</v>
      </c>
      <c r="Z274" s="29" t="n">
        <f aca="false">SUMPRODUCT((Y274&gt;CLo)*(Y274-CLo)*CD)*(1+LocalTax)</f>
        <v>0</v>
      </c>
      <c r="AA274" s="21" t="n">
        <f aca="false">K274+T274+Z274</f>
        <v>0</v>
      </c>
      <c r="AB274" s="29" t="n">
        <f aca="false">IF(C274=5,0,(Q274-H274)-K274-L274-R274-S274-T274-Z274)</f>
        <v>0</v>
      </c>
      <c r="AC274" s="21" t="n">
        <f aca="false">IF(C274=5,0,N274*((1+DepRate*(1-DepTax))^G274-1))</f>
        <v>0</v>
      </c>
      <c r="AD274" s="29" t="n">
        <f aca="false">IF(C274=5,0,AB274-AC274+I274*(((1+DepRate*(1-DepTax))^G274-1)-((1+DepRate*(1-DepTax))^O274-1)))</f>
        <v>0</v>
      </c>
      <c r="AE274" s="30" t="n">
        <f aca="false">IF(J274&gt;0,-PMT(Rm,LoanYears*12,J274)*10000,0)</f>
        <v>0</v>
      </c>
      <c r="AF274" s="21" t="n">
        <f aca="false">IF(J274&gt;0,-PMT((Rate+Stress)/12,LoanYears*12,J274)*12/DSR,0)</f>
        <v>0</v>
      </c>
      <c r="AG274" s="20" t="n">
        <f aca="false">IF(N274&lt;=CapA,1,0)</f>
        <v>1</v>
      </c>
      <c r="AH274" s="20" t="n">
        <f aca="false">IF(N274&lt;=CapB,1,0)</f>
        <v>1</v>
      </c>
      <c r="AI274" s="20" t="n">
        <f aca="false">IF(N274&lt;=CapC,1,0)</f>
        <v>1</v>
      </c>
      <c r="AJ274" s="21" t="n">
        <f aca="false">IF(AG274=1,AD274,-999)</f>
        <v>0</v>
      </c>
      <c r="AK274" s="21" t="n">
        <f aca="false">IF(AH274=1,AD274,-999)</f>
        <v>0</v>
      </c>
      <c r="AL274" s="21" t="n">
        <f aca="false">IF(AI274=1,AD274,-999)</f>
        <v>0</v>
      </c>
      <c r="AM274" s="21" t="str">
        <f aca="false">C274&amp;"|"&amp;E274&amp;"|"&amp;G274&amp;"|"&amp;TEXT(AJ274,"0.00000")</f>
        <v>5|3|10|0.00000</v>
      </c>
      <c r="AN274" s="21" t="str">
        <f aca="false">C274&amp;"|"&amp;E274&amp;"|"&amp;G274&amp;"|"&amp;TEXT(AK274,"0.00000")</f>
        <v>5|3|10|0.00000</v>
      </c>
      <c r="AO274" s="21" t="str">
        <f aca="false">C274&amp;"|"&amp;E274&amp;"|"&amp;G274&amp;"|"&amp;TEXT(AL274,"0.00000")</f>
        <v>5|3|10|0.00000</v>
      </c>
    </row>
    <row r="275" customFormat="false" ht="15" hidden="false" customHeight="false" outlineLevel="0" collapsed="false">
      <c r="A275" s="20" t="n">
        <v>10</v>
      </c>
      <c r="B275" s="18" t="str">
        <f aca="false">INDEX(C_Name,A275)</f>
        <v>흑석리버파크자이 85㎡</v>
      </c>
      <c r="C275" s="20" t="n">
        <v>1</v>
      </c>
      <c r="D275" s="21" t="str">
        <f aca="false">CHOOSE(C275,"1안 표준형(대출 최대)","2안 절충형(대출 50%)","3안 무대출형","4안 임대차 승계 후 입주","5안 매수 보류(전세 거주)")</f>
        <v>1안 표준형(대출 최대)</v>
      </c>
      <c r="E275" s="20" t="n">
        <v>1</v>
      </c>
      <c r="F275" s="10" t="n">
        <f aca="false">CHOOSE(E275,GrowLo,GrowMid,GrowHi)</f>
        <v>0.02</v>
      </c>
      <c r="G275" s="20" t="n">
        <v>5</v>
      </c>
      <c r="H275" s="18" t="n">
        <f aca="false">INDEX(C_Price,A275)</f>
        <v>23.07</v>
      </c>
      <c r="I275" s="18" t="n">
        <f aca="false">INDEX(C_Jeonse,A275)</f>
        <v>11.9964</v>
      </c>
      <c r="J275" s="21" t="n">
        <f aca="false">IF(C275=5,0,IF(C275=1,INDEX(C_Loan,A275),IF(C275=2,INDEX(C_Loan,A275)*LoanShare2,IF(C275=3,0,MIN(INDEX(C_Loan,A275),I275)))))</f>
        <v>4</v>
      </c>
      <c r="K275" s="18" t="n">
        <f aca="false">IF(C275=5,0,INDEX(C_Acq,A275))</f>
        <v>0.76131</v>
      </c>
      <c r="L275" s="18" t="n">
        <f aca="false">IF(C275=5,0,INDEX(C_Fee,A275))</f>
        <v>0.197639</v>
      </c>
      <c r="M275" s="21" t="n">
        <f aca="false">IF(C275=4,MAX(0,I275-J275),0)</f>
        <v>0</v>
      </c>
      <c r="N275" s="21" t="n">
        <f aca="false">IF(C275=5,I275,IF(C275=4,(H275-I275)+K275+L275+M275,H275-J275+K275+L275))</f>
        <v>20.028949</v>
      </c>
      <c r="O275" s="20" t="n">
        <f aca="false">IF(C275=4,RentYears,0)</f>
        <v>0</v>
      </c>
      <c r="P275" s="20" t="n">
        <f aca="false">IF(C275=5,0,MAX(0,G275-O275-NonRes))</f>
        <v>5</v>
      </c>
      <c r="Q275" s="21" t="n">
        <f aca="false">IF(C275=5,0,H275*(1+F275)^G275)</f>
        <v>25.471144129824</v>
      </c>
      <c r="R275" s="21" t="n">
        <f aca="false">IF(C275=5,0,Q275*LOOKUP(Q275,FeeLo,FeeR)*(1+VAT))</f>
        <v>0.196127809799645</v>
      </c>
      <c r="S275" s="21" t="n">
        <f aca="false">IF(J275&gt;0,-CUMIPMT(Rm,LoanYears*12,J275,1,(G275-O275)*12,0),0)</f>
        <v>0.76369723456074</v>
      </c>
      <c r="T275" s="29" t="n">
        <f aca="false">IF(C275=5,0,SUMIFS(Sch_Total,Sch_Idx,A275,Sch_Scen,E275,Sch_Year,"&lt;="&amp;G275))</f>
        <v>0.352916829533393</v>
      </c>
      <c r="U275" s="21" t="n">
        <f aca="false">K275+L275+R275</f>
        <v>1.15507680979964</v>
      </c>
      <c r="V275" s="21" t="n">
        <f aca="false">IF(C275=5,0,Q275-H275-U275)</f>
        <v>1.24606732002436</v>
      </c>
      <c r="W275" s="21" t="n">
        <f aca="false">IF(C275=5,0,MAX(0,IF(P275&gt;=2,IF(Q275&gt;Exempt,V275*(Q275-Exempt)/Q275,0),V275)))</f>
        <v>0.659018392654654</v>
      </c>
      <c r="X275" s="10" t="n">
        <f aca="false">IF(P275&gt;=2,MIN(MaxDed,MIN(0.4,HoldRate*G275)+MIN(0.4,LiveRate*P275)),IF(G275&gt;=3,MIN(0.3,0.02*G275),0))</f>
        <v>0.4</v>
      </c>
      <c r="Y275" s="21" t="n">
        <f aca="false">MAX(0,W275*(1-X275)-InitDed)</f>
        <v>0.370411035592792</v>
      </c>
      <c r="Z275" s="29" t="n">
        <f aca="false">SUMPRODUCT((Y275&gt;CLo)*(Y275-CLo)*CD)*(1+LocalTax)</f>
        <v>0.0472578208728107</v>
      </c>
      <c r="AA275" s="21" t="n">
        <f aca="false">K275+T275+Z275</f>
        <v>1.1614846504062</v>
      </c>
      <c r="AB275" s="29" t="n">
        <f aca="false">IF(C275=5,0,(Q275-H275)-K275-L275-R275-S275-T275-Z275)</f>
        <v>0.0821954350574118</v>
      </c>
      <c r="AC275" s="21" t="n">
        <f aca="false">IF(C275=5,0,N275*((1+DepRate*(1-DepTax))^G275-1))</f>
        <v>2.67400515430865</v>
      </c>
      <c r="AD275" s="29" t="n">
        <f aca="false">IF(C275=5,0,AB275-AC275+I275*(((1+DepRate*(1-DepTax))^G275-1)-((1+DepRate*(1-DepTax))^O275-1)))</f>
        <v>-0.990206188624228</v>
      </c>
      <c r="AE275" s="30" t="n">
        <f aca="false">IF(J275&gt;0,-PMT(Rm,LoanYears*12,J275)*10000,0)</f>
        <v>190.966118186184</v>
      </c>
      <c r="AF275" s="21" t="n">
        <f aca="false">IF(J275&gt;0,-PMT((Rate+Stress)/12,LoanYears*12,J275)*12/DSR,0)</f>
        <v>0.79836299421502</v>
      </c>
      <c r="AG275" s="20" t="n">
        <f aca="false">IF(N275&lt;=CapA,1,0)</f>
        <v>0</v>
      </c>
      <c r="AH275" s="20" t="n">
        <f aca="false">IF(N275&lt;=CapB,1,0)</f>
        <v>0</v>
      </c>
      <c r="AI275" s="20" t="n">
        <f aca="false">IF(N275&lt;=CapC,1,0)</f>
        <v>0</v>
      </c>
      <c r="AJ275" s="21" t="n">
        <f aca="false">IF(AG275=1,AD275,-999)</f>
        <v>-999</v>
      </c>
      <c r="AK275" s="21" t="n">
        <f aca="false">IF(AH275=1,AD275,-999)</f>
        <v>-999</v>
      </c>
      <c r="AL275" s="21" t="n">
        <f aca="false">IF(AI275=1,AD275,-999)</f>
        <v>-999</v>
      </c>
      <c r="AM275" s="21" t="str">
        <f aca="false">C275&amp;"|"&amp;E275&amp;"|"&amp;G275&amp;"|"&amp;TEXT(AJ275,"0.00000")</f>
        <v>1|1|5|-999.00000</v>
      </c>
      <c r="AN275" s="21" t="str">
        <f aca="false">C275&amp;"|"&amp;E275&amp;"|"&amp;G275&amp;"|"&amp;TEXT(AK275,"0.00000")</f>
        <v>1|1|5|-999.00000</v>
      </c>
      <c r="AO275" s="21" t="str">
        <f aca="false">C275&amp;"|"&amp;E275&amp;"|"&amp;G275&amp;"|"&amp;TEXT(AL275,"0.00000")</f>
        <v>1|1|5|-999.00000</v>
      </c>
    </row>
    <row r="276" customFormat="false" ht="15" hidden="false" customHeight="false" outlineLevel="0" collapsed="false">
      <c r="A276" s="20" t="n">
        <v>10</v>
      </c>
      <c r="B276" s="18" t="str">
        <f aca="false">INDEX(C_Name,A276)</f>
        <v>흑석리버파크자이 85㎡</v>
      </c>
      <c r="C276" s="20" t="n">
        <v>1</v>
      </c>
      <c r="D276" s="21" t="str">
        <f aca="false">CHOOSE(C276,"1안 표준형(대출 최대)","2안 절충형(대출 50%)","3안 무대출형","4안 임대차 승계 후 입주","5안 매수 보류(전세 거주)")</f>
        <v>1안 표준형(대출 최대)</v>
      </c>
      <c r="E276" s="20" t="n">
        <v>1</v>
      </c>
      <c r="F276" s="10" t="n">
        <f aca="false">CHOOSE(E276,GrowLo,GrowMid,GrowHi)</f>
        <v>0.02</v>
      </c>
      <c r="G276" s="20" t="n">
        <v>10</v>
      </c>
      <c r="H276" s="18" t="n">
        <f aca="false">INDEX(C_Price,A276)</f>
        <v>23.07</v>
      </c>
      <c r="I276" s="18" t="n">
        <f aca="false">INDEX(C_Jeonse,A276)</f>
        <v>11.9964</v>
      </c>
      <c r="J276" s="21" t="n">
        <f aca="false">IF(C276=5,0,IF(C276=1,INDEX(C_Loan,A276),IF(C276=2,INDEX(C_Loan,A276)*LoanShare2,IF(C276=3,0,MIN(INDEX(C_Loan,A276),I276)))))</f>
        <v>4</v>
      </c>
      <c r="K276" s="18" t="n">
        <f aca="false">IF(C276=5,0,INDEX(C_Acq,A276))</f>
        <v>0.76131</v>
      </c>
      <c r="L276" s="18" t="n">
        <f aca="false">IF(C276=5,0,INDEX(C_Fee,A276))</f>
        <v>0.197639</v>
      </c>
      <c r="M276" s="21" t="n">
        <f aca="false">IF(C276=4,MAX(0,I276-J276),0)</f>
        <v>0</v>
      </c>
      <c r="N276" s="21" t="n">
        <f aca="false">IF(C276=5,I276,IF(C276=4,(H276-I276)+K276+L276+M276,H276-J276+K276+L276))</f>
        <v>20.028949</v>
      </c>
      <c r="O276" s="20" t="n">
        <f aca="false">IF(C276=4,RentYears,0)</f>
        <v>0</v>
      </c>
      <c r="P276" s="20" t="n">
        <f aca="false">IF(C276=5,0,MAX(0,G276-O276-NonRes))</f>
        <v>10</v>
      </c>
      <c r="Q276" s="21" t="n">
        <f aca="false">IF(C276=5,0,H276*(1+F276)^G276)</f>
        <v>28.1222012692791</v>
      </c>
      <c r="R276" s="21" t="n">
        <f aca="false">IF(C276=5,0,Q276*LOOKUP(Q276,FeeLo,FeeR)*(1+VAT))</f>
        <v>0.216540949773449</v>
      </c>
      <c r="S276" s="21" t="n">
        <f aca="false">IF(J276&gt;0,-CUMIPMT(Rm,LoanYears*12,J276,1,(G276-O276)*12,0),0)</f>
        <v>1.44295178669745</v>
      </c>
      <c r="T276" s="29" t="n">
        <f aca="false">IF(C276=5,0,SUMIFS(Sch_Total,Sch_Idx,A276,Sch_Scen,E276,Sch_Year,"&lt;="&amp;G276))</f>
        <v>0.777919318219498</v>
      </c>
      <c r="U276" s="21" t="n">
        <f aca="false">K276+L276+R276</f>
        <v>1.17548994977345</v>
      </c>
      <c r="V276" s="21" t="n">
        <f aca="false">IF(C276=5,0,Q276-H276-U276)</f>
        <v>3.8767113195056</v>
      </c>
      <c r="W276" s="21" t="n">
        <f aca="false">IF(C276=5,0,MAX(0,IF(P276&gt;=2,IF(Q276&gt;Exempt,V276*(Q276-Exempt)/Q276,0),V276)))</f>
        <v>2.22248321023996</v>
      </c>
      <c r="X276" s="10" t="n">
        <f aca="false">IF(P276&gt;=2,MIN(MaxDed,MIN(0.4,HoldRate*G276)+MIN(0.4,LiveRate*P276)),IF(G276&gt;=3,MIN(0.3,0.02*G276),0))</f>
        <v>0.8</v>
      </c>
      <c r="Y276" s="21" t="n">
        <f aca="false">MAX(0,W276*(1-X276)-InitDed)</f>
        <v>0.419496642047993</v>
      </c>
      <c r="Z276" s="29" t="n">
        <f aca="false">SUMPRODUCT((Y276&gt;CLo)*(Y276-CLo)*CD)*(1+LocalTax)</f>
        <v>0.0553569459379188</v>
      </c>
      <c r="AA276" s="21" t="n">
        <f aca="false">K276+T276+Z276</f>
        <v>1.59458626415742</v>
      </c>
      <c r="AB276" s="29" t="n">
        <f aca="false">IF(C276=5,0,(Q276-H276)-K276-L276-R276-S276-T276-Z276)</f>
        <v>1.60048326865074</v>
      </c>
      <c r="AC276" s="21" t="n">
        <f aca="false">IF(C276=5,0,N276*((1+DepRate*(1-DepTax))^G276-1))</f>
        <v>5.70500874948751</v>
      </c>
      <c r="AD276" s="29" t="n">
        <f aca="false">IF(C276=5,0,AB276-AC276+I276*(((1+DepRate*(1-DepTax))^G276-1)-((1+DepRate*(1-DepTax))^O276-1)))</f>
        <v>-0.687493116215345</v>
      </c>
      <c r="AE276" s="30" t="n">
        <f aca="false">IF(J276&gt;0,-PMT(Rm,LoanYears*12,J276)*10000,0)</f>
        <v>190.966118186184</v>
      </c>
      <c r="AF276" s="21" t="n">
        <f aca="false">IF(J276&gt;0,-PMT((Rate+Stress)/12,LoanYears*12,J276)*12/DSR,0)</f>
        <v>0.79836299421502</v>
      </c>
      <c r="AG276" s="20" t="n">
        <f aca="false">IF(N276&lt;=CapA,1,0)</f>
        <v>0</v>
      </c>
      <c r="AH276" s="20" t="n">
        <f aca="false">IF(N276&lt;=CapB,1,0)</f>
        <v>0</v>
      </c>
      <c r="AI276" s="20" t="n">
        <f aca="false">IF(N276&lt;=CapC,1,0)</f>
        <v>0</v>
      </c>
      <c r="AJ276" s="21" t="n">
        <f aca="false">IF(AG276=1,AD276,-999)</f>
        <v>-999</v>
      </c>
      <c r="AK276" s="21" t="n">
        <f aca="false">IF(AH276=1,AD276,-999)</f>
        <v>-999</v>
      </c>
      <c r="AL276" s="21" t="n">
        <f aca="false">IF(AI276=1,AD276,-999)</f>
        <v>-999</v>
      </c>
      <c r="AM276" s="21" t="str">
        <f aca="false">C276&amp;"|"&amp;E276&amp;"|"&amp;G276&amp;"|"&amp;TEXT(AJ276,"0.00000")</f>
        <v>1|1|10|-999.00000</v>
      </c>
      <c r="AN276" s="21" t="str">
        <f aca="false">C276&amp;"|"&amp;E276&amp;"|"&amp;G276&amp;"|"&amp;TEXT(AK276,"0.00000")</f>
        <v>1|1|10|-999.00000</v>
      </c>
      <c r="AO276" s="21" t="str">
        <f aca="false">C276&amp;"|"&amp;E276&amp;"|"&amp;G276&amp;"|"&amp;TEXT(AL276,"0.00000")</f>
        <v>1|1|10|-999.00000</v>
      </c>
    </row>
    <row r="277" customFormat="false" ht="15" hidden="false" customHeight="false" outlineLevel="0" collapsed="false">
      <c r="A277" s="20" t="n">
        <v>10</v>
      </c>
      <c r="B277" s="18" t="str">
        <f aca="false">INDEX(C_Name,A277)</f>
        <v>흑석리버파크자이 85㎡</v>
      </c>
      <c r="C277" s="20" t="n">
        <v>1</v>
      </c>
      <c r="D277" s="21" t="str">
        <f aca="false">CHOOSE(C277,"1안 표준형(대출 최대)","2안 절충형(대출 50%)","3안 무대출형","4안 임대차 승계 후 입주","5안 매수 보류(전세 거주)")</f>
        <v>1안 표준형(대출 최대)</v>
      </c>
      <c r="E277" s="20" t="n">
        <v>2</v>
      </c>
      <c r="F277" s="10" t="n">
        <f aca="false">CHOOSE(E277,GrowLo,GrowMid,GrowHi)</f>
        <v>0.04</v>
      </c>
      <c r="G277" s="20" t="n">
        <v>5</v>
      </c>
      <c r="H277" s="18" t="n">
        <f aca="false">INDEX(C_Price,A277)</f>
        <v>23.07</v>
      </c>
      <c r="I277" s="18" t="n">
        <f aca="false">INDEX(C_Jeonse,A277)</f>
        <v>11.9964</v>
      </c>
      <c r="J277" s="21" t="n">
        <f aca="false">IF(C277=5,0,IF(C277=1,INDEX(C_Loan,A277),IF(C277=2,INDEX(C_Loan,A277)*LoanShare2,IF(C277=3,0,MIN(INDEX(C_Loan,A277),I277)))))</f>
        <v>4</v>
      </c>
      <c r="K277" s="18" t="n">
        <f aca="false">IF(C277=5,0,INDEX(C_Acq,A277))</f>
        <v>0.76131</v>
      </c>
      <c r="L277" s="18" t="n">
        <f aca="false">IF(C277=5,0,INDEX(C_Fee,A277))</f>
        <v>0.197639</v>
      </c>
      <c r="M277" s="21" t="n">
        <f aca="false">IF(C277=4,MAX(0,I277-J277),0)</f>
        <v>0</v>
      </c>
      <c r="N277" s="21" t="n">
        <f aca="false">IF(C277=5,I277,IF(C277=4,(H277-I277)+K277+L277+M277,H277-J277+K277+L277))</f>
        <v>20.028949</v>
      </c>
      <c r="O277" s="20" t="n">
        <f aca="false">IF(C277=4,RentYears,0)</f>
        <v>0</v>
      </c>
      <c r="P277" s="20" t="n">
        <f aca="false">IF(C277=5,0,MAX(0,G277-O277-NonRes))</f>
        <v>5</v>
      </c>
      <c r="Q277" s="21" t="n">
        <f aca="false">IF(C277=5,0,H277*(1+F277)^G277)</f>
        <v>28.068182458368</v>
      </c>
      <c r="R277" s="21" t="n">
        <f aca="false">IF(C277=5,0,Q277*LOOKUP(Q277,FeeLo,FeeR)*(1+VAT))</f>
        <v>0.216125004929434</v>
      </c>
      <c r="S277" s="21" t="n">
        <f aca="false">IF(J277&gt;0,-CUMIPMT(Rm,LoanYears*12,J277,1,(G277-O277)*12,0),0)</f>
        <v>0.76369723456074</v>
      </c>
      <c r="T277" s="29" t="n">
        <f aca="false">IF(C277=5,0,SUMIFS(Sch_Total,Sch_Idx,A277,Sch_Scen,E277,Sch_Year,"&lt;="&amp;G277))</f>
        <v>0.381273753203989</v>
      </c>
      <c r="U277" s="21" t="n">
        <f aca="false">K277+L277+R277</f>
        <v>1.17507400492943</v>
      </c>
      <c r="V277" s="21" t="n">
        <f aca="false">IF(C277=5,0,Q277-H277-U277)</f>
        <v>3.82310845343857</v>
      </c>
      <c r="W277" s="21" t="n">
        <f aca="false">IF(C277=5,0,MAX(0,IF(P277&gt;=2,IF(Q277&gt;Exempt,V277*(Q277-Exempt)/Q277,0),V277)))</f>
        <v>2.18861354058448</v>
      </c>
      <c r="X277" s="10" t="n">
        <f aca="false">IF(P277&gt;=2,MIN(MaxDed,MIN(0.4,HoldRate*G277)+MIN(0.4,LiveRate*P277)),IF(G277&gt;=3,MIN(0.3,0.02*G277),0))</f>
        <v>0.4</v>
      </c>
      <c r="Y277" s="21" t="n">
        <f aca="false">MAX(0,W277*(1-X277)-InitDed)</f>
        <v>1.28816812435069</v>
      </c>
      <c r="Z277" s="29" t="n">
        <f aca="false">SUMPRODUCT((Y277&gt;CLo)*(Y277-CLo)*CD)*(1+LocalTax)</f>
        <v>0.326104727875015</v>
      </c>
      <c r="AA277" s="21" t="n">
        <f aca="false">K277+T277+Z277</f>
        <v>1.468688481079</v>
      </c>
      <c r="AB277" s="29" t="n">
        <f aca="false">IF(C277=5,0,(Q277-H277)-K277-L277-R277-S277-T277-Z277)</f>
        <v>2.35203273779883</v>
      </c>
      <c r="AC277" s="21" t="n">
        <f aca="false">IF(C277=5,0,N277*((1+DepRate*(1-DepTax))^G277-1))</f>
        <v>2.67400515430865</v>
      </c>
      <c r="AD277" s="29" t="n">
        <f aca="false">IF(C277=5,0,AB277-AC277+I277*(((1+DepRate*(1-DepTax))^G277-1)-((1+DepRate*(1-DepTax))^O277-1)))</f>
        <v>1.27963111411719</v>
      </c>
      <c r="AE277" s="30" t="n">
        <f aca="false">IF(J277&gt;0,-PMT(Rm,LoanYears*12,J277)*10000,0)</f>
        <v>190.966118186184</v>
      </c>
      <c r="AF277" s="21" t="n">
        <f aca="false">IF(J277&gt;0,-PMT((Rate+Stress)/12,LoanYears*12,J277)*12/DSR,0)</f>
        <v>0.79836299421502</v>
      </c>
      <c r="AG277" s="20" t="n">
        <f aca="false">IF(N277&lt;=CapA,1,0)</f>
        <v>0</v>
      </c>
      <c r="AH277" s="20" t="n">
        <f aca="false">IF(N277&lt;=CapB,1,0)</f>
        <v>0</v>
      </c>
      <c r="AI277" s="20" t="n">
        <f aca="false">IF(N277&lt;=CapC,1,0)</f>
        <v>0</v>
      </c>
      <c r="AJ277" s="21" t="n">
        <f aca="false">IF(AG277=1,AD277,-999)</f>
        <v>-999</v>
      </c>
      <c r="AK277" s="21" t="n">
        <f aca="false">IF(AH277=1,AD277,-999)</f>
        <v>-999</v>
      </c>
      <c r="AL277" s="21" t="n">
        <f aca="false">IF(AI277=1,AD277,-999)</f>
        <v>-999</v>
      </c>
      <c r="AM277" s="21" t="str">
        <f aca="false">C277&amp;"|"&amp;E277&amp;"|"&amp;G277&amp;"|"&amp;TEXT(AJ277,"0.00000")</f>
        <v>1|2|5|-999.00000</v>
      </c>
      <c r="AN277" s="21" t="str">
        <f aca="false">C277&amp;"|"&amp;E277&amp;"|"&amp;G277&amp;"|"&amp;TEXT(AK277,"0.00000")</f>
        <v>1|2|5|-999.00000</v>
      </c>
      <c r="AO277" s="21" t="str">
        <f aca="false">C277&amp;"|"&amp;E277&amp;"|"&amp;G277&amp;"|"&amp;TEXT(AL277,"0.00000")</f>
        <v>1|2|5|-999.00000</v>
      </c>
    </row>
    <row r="278" customFormat="false" ht="15" hidden="false" customHeight="false" outlineLevel="0" collapsed="false">
      <c r="A278" s="20" t="n">
        <v>10</v>
      </c>
      <c r="B278" s="18" t="str">
        <f aca="false">INDEX(C_Name,A278)</f>
        <v>흑석리버파크자이 85㎡</v>
      </c>
      <c r="C278" s="20" t="n">
        <v>1</v>
      </c>
      <c r="D278" s="21" t="str">
        <f aca="false">CHOOSE(C278,"1안 표준형(대출 최대)","2안 절충형(대출 50%)","3안 무대출형","4안 임대차 승계 후 입주","5안 매수 보류(전세 거주)")</f>
        <v>1안 표준형(대출 최대)</v>
      </c>
      <c r="E278" s="20" t="n">
        <v>2</v>
      </c>
      <c r="F278" s="10" t="n">
        <f aca="false">CHOOSE(E278,GrowLo,GrowMid,GrowHi)</f>
        <v>0.04</v>
      </c>
      <c r="G278" s="20" t="n">
        <v>10</v>
      </c>
      <c r="H278" s="18" t="n">
        <f aca="false">INDEX(C_Price,A278)</f>
        <v>23.07</v>
      </c>
      <c r="I278" s="18" t="n">
        <f aca="false">INDEX(C_Jeonse,A278)</f>
        <v>11.9964</v>
      </c>
      <c r="J278" s="21" t="n">
        <f aca="false">IF(C278=5,0,IF(C278=1,INDEX(C_Loan,A278),IF(C278=2,INDEX(C_Loan,A278)*LoanShare2,IF(C278=3,0,MIN(INDEX(C_Loan,A278),I278)))))</f>
        <v>4</v>
      </c>
      <c r="K278" s="18" t="n">
        <f aca="false">IF(C278=5,0,INDEX(C_Acq,A278))</f>
        <v>0.76131</v>
      </c>
      <c r="L278" s="18" t="n">
        <f aca="false">IF(C278=5,0,INDEX(C_Fee,A278))</f>
        <v>0.197639</v>
      </c>
      <c r="M278" s="21" t="n">
        <f aca="false">IF(C278=4,MAX(0,I278-J278),0)</f>
        <v>0</v>
      </c>
      <c r="N278" s="21" t="n">
        <f aca="false">IF(C278=5,I278,IF(C278=4,(H278-I278)+K278+L278+M278,H278-J278+K278+L278))</f>
        <v>20.028949</v>
      </c>
      <c r="O278" s="20" t="n">
        <f aca="false">IF(C278=4,RentYears,0)</f>
        <v>0</v>
      </c>
      <c r="P278" s="20" t="n">
        <f aca="false">IF(C278=5,0,MAX(0,G278-O278-NonRes))</f>
        <v>10</v>
      </c>
      <c r="Q278" s="21" t="n">
        <f aca="false">IF(C278=5,0,H278*(1+F278)^G278)</f>
        <v>34.1492356530662</v>
      </c>
      <c r="R278" s="21" t="n">
        <f aca="false">IF(C278=5,0,Q278*LOOKUP(Q278,FeeLo,FeeR)*(1+VAT))</f>
        <v>0.26294911452861</v>
      </c>
      <c r="S278" s="21" t="n">
        <f aca="false">IF(J278&gt;0,-CUMIPMT(Rm,LoanYears*12,J278,1,(G278-O278)*12,0),0)</f>
        <v>1.44295178669745</v>
      </c>
      <c r="T278" s="29" t="n">
        <f aca="false">IF(C278=5,0,SUMIFS(Sch_Total,Sch_Idx,A278,Sch_Scen,E278,Sch_Year,"&lt;="&amp;G278))</f>
        <v>0.925400183009958</v>
      </c>
      <c r="U278" s="21" t="n">
        <f aca="false">K278+L278+R278</f>
        <v>1.22189811452861</v>
      </c>
      <c r="V278" s="21" t="n">
        <f aca="false">IF(C278=5,0,Q278-H278-U278)</f>
        <v>9.8573375385376</v>
      </c>
      <c r="W278" s="21" t="n">
        <f aca="false">IF(C278=5,0,MAX(0,IF(P278&gt;=2,IF(Q278&gt;Exempt,V278*(Q278-Exempt)/Q278,0),V278)))</f>
        <v>6.39348108025021</v>
      </c>
      <c r="X278" s="10" t="n">
        <f aca="false">IF(P278&gt;=2,MIN(MaxDed,MIN(0.4,HoldRate*G278)+MIN(0.4,LiveRate*P278)),IF(G278&gt;=3,MIN(0.3,0.02*G278),0))</f>
        <v>0.8</v>
      </c>
      <c r="Y278" s="21" t="n">
        <f aca="false">MAX(0,W278*(1-X278)-InitDed)</f>
        <v>1.25369621605004</v>
      </c>
      <c r="Z278" s="29" t="n">
        <f aca="false">SUMPRODUCT((Y278&gt;CLo)*(Y278-CLo)*CD)*(1+LocalTax)</f>
        <v>0.312833043179266</v>
      </c>
      <c r="AA278" s="21" t="n">
        <f aca="false">K278+T278+Z278</f>
        <v>1.99954322618922</v>
      </c>
      <c r="AB278" s="29" t="n">
        <f aca="false">IF(C278=5,0,(Q278-H278)-K278-L278-R278-S278-T278-Z278)</f>
        <v>7.17615252565092</v>
      </c>
      <c r="AC278" s="21" t="n">
        <f aca="false">IF(C278=5,0,N278*((1+DepRate*(1-DepTax))^G278-1))</f>
        <v>5.70500874948751</v>
      </c>
      <c r="AD278" s="29" t="n">
        <f aca="false">IF(C278=5,0,AB278-AC278+I278*(((1+DepRate*(1-DepTax))^G278-1)-((1+DepRate*(1-DepTax))^O278-1)))</f>
        <v>4.88817614078484</v>
      </c>
      <c r="AE278" s="30" t="n">
        <f aca="false">IF(J278&gt;0,-PMT(Rm,LoanYears*12,J278)*10000,0)</f>
        <v>190.966118186184</v>
      </c>
      <c r="AF278" s="21" t="n">
        <f aca="false">IF(J278&gt;0,-PMT((Rate+Stress)/12,LoanYears*12,J278)*12/DSR,0)</f>
        <v>0.79836299421502</v>
      </c>
      <c r="AG278" s="20" t="n">
        <f aca="false">IF(N278&lt;=CapA,1,0)</f>
        <v>0</v>
      </c>
      <c r="AH278" s="20" t="n">
        <f aca="false">IF(N278&lt;=CapB,1,0)</f>
        <v>0</v>
      </c>
      <c r="AI278" s="20" t="n">
        <f aca="false">IF(N278&lt;=CapC,1,0)</f>
        <v>0</v>
      </c>
      <c r="AJ278" s="21" t="n">
        <f aca="false">IF(AG278=1,AD278,-999)</f>
        <v>-999</v>
      </c>
      <c r="AK278" s="21" t="n">
        <f aca="false">IF(AH278=1,AD278,-999)</f>
        <v>-999</v>
      </c>
      <c r="AL278" s="21" t="n">
        <f aca="false">IF(AI278=1,AD278,-999)</f>
        <v>-999</v>
      </c>
      <c r="AM278" s="21" t="str">
        <f aca="false">C278&amp;"|"&amp;E278&amp;"|"&amp;G278&amp;"|"&amp;TEXT(AJ278,"0.00000")</f>
        <v>1|2|10|-999.00000</v>
      </c>
      <c r="AN278" s="21" t="str">
        <f aca="false">C278&amp;"|"&amp;E278&amp;"|"&amp;G278&amp;"|"&amp;TEXT(AK278,"0.00000")</f>
        <v>1|2|10|-999.00000</v>
      </c>
      <c r="AO278" s="21" t="str">
        <f aca="false">C278&amp;"|"&amp;E278&amp;"|"&amp;G278&amp;"|"&amp;TEXT(AL278,"0.00000")</f>
        <v>1|2|10|-999.00000</v>
      </c>
    </row>
    <row r="279" customFormat="false" ht="15" hidden="false" customHeight="false" outlineLevel="0" collapsed="false">
      <c r="A279" s="20" t="n">
        <v>10</v>
      </c>
      <c r="B279" s="18" t="str">
        <f aca="false">INDEX(C_Name,A279)</f>
        <v>흑석리버파크자이 85㎡</v>
      </c>
      <c r="C279" s="20" t="n">
        <v>1</v>
      </c>
      <c r="D279" s="21" t="str">
        <f aca="false">CHOOSE(C279,"1안 표준형(대출 최대)","2안 절충형(대출 50%)","3안 무대출형","4안 임대차 승계 후 입주","5안 매수 보류(전세 거주)")</f>
        <v>1안 표준형(대출 최대)</v>
      </c>
      <c r="E279" s="20" t="n">
        <v>3</v>
      </c>
      <c r="F279" s="10" t="n">
        <f aca="false">CHOOSE(E279,GrowLo,GrowMid,GrowHi)</f>
        <v>0.06</v>
      </c>
      <c r="G279" s="20" t="n">
        <v>5</v>
      </c>
      <c r="H279" s="18" t="n">
        <f aca="false">INDEX(C_Price,A279)</f>
        <v>23.07</v>
      </c>
      <c r="I279" s="18" t="n">
        <f aca="false">INDEX(C_Jeonse,A279)</f>
        <v>11.9964</v>
      </c>
      <c r="J279" s="21" t="n">
        <f aca="false">IF(C279=5,0,IF(C279=1,INDEX(C_Loan,A279),IF(C279=2,INDEX(C_Loan,A279)*LoanShare2,IF(C279=3,0,MIN(INDEX(C_Loan,A279),I279)))))</f>
        <v>4</v>
      </c>
      <c r="K279" s="18" t="n">
        <f aca="false">IF(C279=5,0,INDEX(C_Acq,A279))</f>
        <v>0.76131</v>
      </c>
      <c r="L279" s="18" t="n">
        <f aca="false">IF(C279=5,0,INDEX(C_Fee,A279))</f>
        <v>0.197639</v>
      </c>
      <c r="M279" s="21" t="n">
        <f aca="false">IF(C279=4,MAX(0,I279-J279),0)</f>
        <v>0</v>
      </c>
      <c r="N279" s="21" t="n">
        <f aca="false">IF(C279=5,I279,IF(C279=4,(H279-I279)+K279+L279+M279,H279-J279+K279+L279))</f>
        <v>20.028949</v>
      </c>
      <c r="O279" s="20" t="n">
        <f aca="false">IF(C279=4,RentYears,0)</f>
        <v>0</v>
      </c>
      <c r="P279" s="20" t="n">
        <f aca="false">IF(C279=5,0,MAX(0,G279-O279-NonRes))</f>
        <v>5</v>
      </c>
      <c r="Q279" s="21" t="n">
        <f aca="false">IF(C279=5,0,H279*(1+F279)^G279)</f>
        <v>30.872864075232</v>
      </c>
      <c r="R279" s="21" t="n">
        <f aca="false">IF(C279=5,0,Q279*LOOKUP(Q279,FeeLo,FeeR)*(1+VAT))</f>
        <v>0.237721053379286</v>
      </c>
      <c r="S279" s="21" t="n">
        <f aca="false">IF(J279&gt;0,-CUMIPMT(Rm,LoanYears*12,J279,1,(G279-O279)*12,0),0)</f>
        <v>0.76369723456074</v>
      </c>
      <c r="T279" s="29" t="n">
        <f aca="false">IF(C279=5,0,SUMIFS(Sch_Total,Sch_Idx,A279,Sch_Scen,E279,Sch_Year,"&lt;="&amp;G279))</f>
        <v>0.411600481818872</v>
      </c>
      <c r="U279" s="21" t="n">
        <f aca="false">K279+L279+R279</f>
        <v>1.19667005337929</v>
      </c>
      <c r="V279" s="21" t="n">
        <f aca="false">IF(C279=5,0,Q279-H279-U279)</f>
        <v>6.60619402185272</v>
      </c>
      <c r="W279" s="21" t="n">
        <f aca="false">IF(C279=5,0,MAX(0,IF(P279&gt;=2,IF(Q279&gt;Exempt,V279*(Q279-Exempt)/Q279,0),V279)))</f>
        <v>4.03842680501614</v>
      </c>
      <c r="X279" s="10" t="n">
        <f aca="false">IF(P279&gt;=2,MIN(MaxDed,MIN(0.4,HoldRate*G279)+MIN(0.4,LiveRate*P279)),IF(G279&gt;=3,MIN(0.3,0.02*G279),0))</f>
        <v>0.4</v>
      </c>
      <c r="Y279" s="21" t="n">
        <f aca="false">MAX(0,W279*(1-X279)-InitDed)</f>
        <v>2.39805608300968</v>
      </c>
      <c r="Z279" s="29" t="n">
        <f aca="false">SUMPRODUCT((Y279&gt;CLo)*(Y279-CLo)*CD)*(1+LocalTax)</f>
        <v>0.783047442698047</v>
      </c>
      <c r="AA279" s="21" t="n">
        <f aca="false">K279+T279+Z279</f>
        <v>1.95595792451692</v>
      </c>
      <c r="AB279" s="29" t="n">
        <f aca="false">IF(C279=5,0,(Q279-H279)-K279-L279-R279-S279-T279-Z279)</f>
        <v>4.64784886277506</v>
      </c>
      <c r="AC279" s="21" t="n">
        <f aca="false">IF(C279=5,0,N279*((1+DepRate*(1-DepTax))^G279-1))</f>
        <v>2.67400515430865</v>
      </c>
      <c r="AD279" s="29" t="n">
        <f aca="false">IF(C279=5,0,AB279-AC279+I279*(((1+DepRate*(1-DepTax))^G279-1)-((1+DepRate*(1-DepTax))^O279-1)))</f>
        <v>3.57544723909342</v>
      </c>
      <c r="AE279" s="30" t="n">
        <f aca="false">IF(J279&gt;0,-PMT(Rm,LoanYears*12,J279)*10000,0)</f>
        <v>190.966118186184</v>
      </c>
      <c r="AF279" s="21" t="n">
        <f aca="false">IF(J279&gt;0,-PMT((Rate+Stress)/12,LoanYears*12,J279)*12/DSR,0)</f>
        <v>0.79836299421502</v>
      </c>
      <c r="AG279" s="20" t="n">
        <f aca="false">IF(N279&lt;=CapA,1,0)</f>
        <v>0</v>
      </c>
      <c r="AH279" s="20" t="n">
        <f aca="false">IF(N279&lt;=CapB,1,0)</f>
        <v>0</v>
      </c>
      <c r="AI279" s="20" t="n">
        <f aca="false">IF(N279&lt;=CapC,1,0)</f>
        <v>0</v>
      </c>
      <c r="AJ279" s="21" t="n">
        <f aca="false">IF(AG279=1,AD279,-999)</f>
        <v>-999</v>
      </c>
      <c r="AK279" s="21" t="n">
        <f aca="false">IF(AH279=1,AD279,-999)</f>
        <v>-999</v>
      </c>
      <c r="AL279" s="21" t="n">
        <f aca="false">IF(AI279=1,AD279,-999)</f>
        <v>-999</v>
      </c>
      <c r="AM279" s="21" t="str">
        <f aca="false">C279&amp;"|"&amp;E279&amp;"|"&amp;G279&amp;"|"&amp;TEXT(AJ279,"0.00000")</f>
        <v>1|3|5|-999.00000</v>
      </c>
      <c r="AN279" s="21" t="str">
        <f aca="false">C279&amp;"|"&amp;E279&amp;"|"&amp;G279&amp;"|"&amp;TEXT(AK279,"0.00000")</f>
        <v>1|3|5|-999.00000</v>
      </c>
      <c r="AO279" s="21" t="str">
        <f aca="false">C279&amp;"|"&amp;E279&amp;"|"&amp;G279&amp;"|"&amp;TEXT(AL279,"0.00000")</f>
        <v>1|3|5|-999.00000</v>
      </c>
    </row>
    <row r="280" customFormat="false" ht="15" hidden="false" customHeight="false" outlineLevel="0" collapsed="false">
      <c r="A280" s="20" t="n">
        <v>10</v>
      </c>
      <c r="B280" s="18" t="str">
        <f aca="false">INDEX(C_Name,A280)</f>
        <v>흑석리버파크자이 85㎡</v>
      </c>
      <c r="C280" s="20" t="n">
        <v>1</v>
      </c>
      <c r="D280" s="21" t="str">
        <f aca="false">CHOOSE(C280,"1안 표준형(대출 최대)","2안 절충형(대출 50%)","3안 무대출형","4안 임대차 승계 후 입주","5안 매수 보류(전세 거주)")</f>
        <v>1안 표준형(대출 최대)</v>
      </c>
      <c r="E280" s="20" t="n">
        <v>3</v>
      </c>
      <c r="F280" s="10" t="n">
        <f aca="false">CHOOSE(E280,GrowLo,GrowMid,GrowHi)</f>
        <v>0.06</v>
      </c>
      <c r="G280" s="20" t="n">
        <v>10</v>
      </c>
      <c r="H280" s="18" t="n">
        <f aca="false">INDEX(C_Price,A280)</f>
        <v>23.07</v>
      </c>
      <c r="I280" s="18" t="n">
        <f aca="false">INDEX(C_Jeonse,A280)</f>
        <v>11.9964</v>
      </c>
      <c r="J280" s="21" t="n">
        <f aca="false">IF(C280=5,0,IF(C280=1,INDEX(C_Loan,A280),IF(C280=2,INDEX(C_Loan,A280)*LoanShare2,IF(C280=3,0,MIN(INDEX(C_Loan,A280),I280)))))</f>
        <v>4</v>
      </c>
      <c r="K280" s="18" t="n">
        <f aca="false">IF(C280=5,0,INDEX(C_Acq,A280))</f>
        <v>0.76131</v>
      </c>
      <c r="L280" s="18" t="n">
        <f aca="false">IF(C280=5,0,INDEX(C_Fee,A280))</f>
        <v>0.197639</v>
      </c>
      <c r="M280" s="21" t="n">
        <f aca="false">IF(C280=4,MAX(0,I280-J280),0)</f>
        <v>0</v>
      </c>
      <c r="N280" s="21" t="n">
        <f aca="false">IF(C280=5,I280,IF(C280=4,(H280-I280)+K280+L280+M280,H280-J280+K280+L280))</f>
        <v>20.028949</v>
      </c>
      <c r="O280" s="20" t="n">
        <f aca="false">IF(C280=4,RentYears,0)</f>
        <v>0</v>
      </c>
      <c r="P280" s="20" t="n">
        <f aca="false">IF(C280=5,0,MAX(0,G280-O280-NonRes))</f>
        <v>10</v>
      </c>
      <c r="Q280" s="21" t="n">
        <f aca="false">IF(C280=5,0,H280*(1+F280)^G280)</f>
        <v>41.3148563592437</v>
      </c>
      <c r="R280" s="21" t="n">
        <f aca="false">IF(C280=5,0,Q280*LOOKUP(Q280,FeeLo,FeeR)*(1+VAT))</f>
        <v>0.318124393966176</v>
      </c>
      <c r="S280" s="21" t="n">
        <f aca="false">IF(J280&gt;0,-CUMIPMT(Rm,LoanYears*12,J280,1,(G280-O280)*12,0),0)</f>
        <v>1.44295178669745</v>
      </c>
      <c r="T280" s="29" t="n">
        <f aca="false">IF(C280=5,0,SUMIFS(Sch_Total,Sch_Idx,A280,Sch_Scen,E280,Sch_Year,"&lt;="&amp;G280))</f>
        <v>1.11061295622733</v>
      </c>
      <c r="U280" s="21" t="n">
        <f aca="false">K280+L280+R280</f>
        <v>1.27707339396618</v>
      </c>
      <c r="V280" s="21" t="n">
        <f aca="false">IF(C280=5,0,Q280-H280-U280)</f>
        <v>16.9677829652775</v>
      </c>
      <c r="W280" s="21" t="n">
        <f aca="false">IF(C280=5,0,MAX(0,IF(P280&gt;=2,IF(Q280&gt;Exempt,V280*(Q280-Exempt)/Q280,0),V280)))</f>
        <v>12.0394493456987</v>
      </c>
      <c r="X280" s="10" t="n">
        <f aca="false">IF(P280&gt;=2,MIN(MaxDed,MIN(0.4,HoldRate*G280)+MIN(0.4,LiveRate*P280)),IF(G280&gt;=3,MIN(0.3,0.02*G280),0))</f>
        <v>0.8</v>
      </c>
      <c r="Y280" s="21" t="n">
        <f aca="false">MAX(0,W280*(1-X280)-InitDed)</f>
        <v>2.38288986913973</v>
      </c>
      <c r="Z280" s="29" t="n">
        <f aca="false">SUMPRODUCT((Y280&gt;CLo)*(Y280-CLo)*CD)*(1+LocalTax)</f>
        <v>0.776707965300409</v>
      </c>
      <c r="AA280" s="21" t="n">
        <f aca="false">K280+T280+Z280</f>
        <v>2.64863092152774</v>
      </c>
      <c r="AB280" s="29" t="n">
        <f aca="false">IF(C280=5,0,(Q280-H280)-K280-L280-R280-S280-T280-Z280)</f>
        <v>13.6375102570523</v>
      </c>
      <c r="AC280" s="21" t="n">
        <f aca="false">IF(C280=5,0,N280*((1+DepRate*(1-DepTax))^G280-1))</f>
        <v>5.70500874948751</v>
      </c>
      <c r="AD280" s="29" t="n">
        <f aca="false">IF(C280=5,0,AB280-AC280+I280*(((1+DepRate*(1-DepTax))^G280-1)-((1+DepRate*(1-DepTax))^O280-1)))</f>
        <v>11.3495338721862</v>
      </c>
      <c r="AE280" s="30" t="n">
        <f aca="false">IF(J280&gt;0,-PMT(Rm,LoanYears*12,J280)*10000,0)</f>
        <v>190.966118186184</v>
      </c>
      <c r="AF280" s="21" t="n">
        <f aca="false">IF(J280&gt;0,-PMT((Rate+Stress)/12,LoanYears*12,J280)*12/DSR,0)</f>
        <v>0.79836299421502</v>
      </c>
      <c r="AG280" s="20" t="n">
        <f aca="false">IF(N280&lt;=CapA,1,0)</f>
        <v>0</v>
      </c>
      <c r="AH280" s="20" t="n">
        <f aca="false">IF(N280&lt;=CapB,1,0)</f>
        <v>0</v>
      </c>
      <c r="AI280" s="20" t="n">
        <f aca="false">IF(N280&lt;=CapC,1,0)</f>
        <v>0</v>
      </c>
      <c r="AJ280" s="21" t="n">
        <f aca="false">IF(AG280=1,AD280,-999)</f>
        <v>-999</v>
      </c>
      <c r="AK280" s="21" t="n">
        <f aca="false">IF(AH280=1,AD280,-999)</f>
        <v>-999</v>
      </c>
      <c r="AL280" s="21" t="n">
        <f aca="false">IF(AI280=1,AD280,-999)</f>
        <v>-999</v>
      </c>
      <c r="AM280" s="21" t="str">
        <f aca="false">C280&amp;"|"&amp;E280&amp;"|"&amp;G280&amp;"|"&amp;TEXT(AJ280,"0.00000")</f>
        <v>1|3|10|-999.00000</v>
      </c>
      <c r="AN280" s="21" t="str">
        <f aca="false">C280&amp;"|"&amp;E280&amp;"|"&amp;G280&amp;"|"&amp;TEXT(AK280,"0.00000")</f>
        <v>1|3|10|-999.00000</v>
      </c>
      <c r="AO280" s="21" t="str">
        <f aca="false">C280&amp;"|"&amp;E280&amp;"|"&amp;G280&amp;"|"&amp;TEXT(AL280,"0.00000")</f>
        <v>1|3|10|-999.00000</v>
      </c>
    </row>
    <row r="281" customFormat="false" ht="15" hidden="false" customHeight="false" outlineLevel="0" collapsed="false">
      <c r="A281" s="20" t="n">
        <v>10</v>
      </c>
      <c r="B281" s="18" t="str">
        <f aca="false">INDEX(C_Name,A281)</f>
        <v>흑석리버파크자이 85㎡</v>
      </c>
      <c r="C281" s="20" t="n">
        <v>2</v>
      </c>
      <c r="D281" s="21" t="str">
        <f aca="false">CHOOSE(C281,"1안 표준형(대출 최대)","2안 절충형(대출 50%)","3안 무대출형","4안 임대차 승계 후 입주","5안 매수 보류(전세 거주)")</f>
        <v>2안 절충형(대출 50%)</v>
      </c>
      <c r="E281" s="20" t="n">
        <v>1</v>
      </c>
      <c r="F281" s="10" t="n">
        <f aca="false">CHOOSE(E281,GrowLo,GrowMid,GrowHi)</f>
        <v>0.02</v>
      </c>
      <c r="G281" s="20" t="n">
        <v>5</v>
      </c>
      <c r="H281" s="18" t="n">
        <f aca="false">INDEX(C_Price,A281)</f>
        <v>23.07</v>
      </c>
      <c r="I281" s="18" t="n">
        <f aca="false">INDEX(C_Jeonse,A281)</f>
        <v>11.9964</v>
      </c>
      <c r="J281" s="21" t="n">
        <f aca="false">IF(C281=5,0,IF(C281=1,INDEX(C_Loan,A281),IF(C281=2,INDEX(C_Loan,A281)*LoanShare2,IF(C281=3,0,MIN(INDEX(C_Loan,A281),I281)))))</f>
        <v>2</v>
      </c>
      <c r="K281" s="18" t="n">
        <f aca="false">IF(C281=5,0,INDEX(C_Acq,A281))</f>
        <v>0.76131</v>
      </c>
      <c r="L281" s="18" t="n">
        <f aca="false">IF(C281=5,0,INDEX(C_Fee,A281))</f>
        <v>0.197639</v>
      </c>
      <c r="M281" s="21" t="n">
        <f aca="false">IF(C281=4,MAX(0,I281-J281),0)</f>
        <v>0</v>
      </c>
      <c r="N281" s="21" t="n">
        <f aca="false">IF(C281=5,I281,IF(C281=4,(H281-I281)+K281+L281+M281,H281-J281+K281+L281))</f>
        <v>22.028949</v>
      </c>
      <c r="O281" s="20" t="n">
        <f aca="false">IF(C281=4,RentYears,0)</f>
        <v>0</v>
      </c>
      <c r="P281" s="20" t="n">
        <f aca="false">IF(C281=5,0,MAX(0,G281-O281-NonRes))</f>
        <v>5</v>
      </c>
      <c r="Q281" s="21" t="n">
        <f aca="false">IF(C281=5,0,H281*(1+F281)^G281)</f>
        <v>25.471144129824</v>
      </c>
      <c r="R281" s="21" t="n">
        <f aca="false">IF(C281=5,0,Q281*LOOKUP(Q281,FeeLo,FeeR)*(1+VAT))</f>
        <v>0.196127809799645</v>
      </c>
      <c r="S281" s="21" t="n">
        <f aca="false">IF(J281&gt;0,-CUMIPMT(Rm,LoanYears*12,J281,1,(G281-O281)*12,0),0)</f>
        <v>0.38184861728037</v>
      </c>
      <c r="T281" s="29" t="n">
        <f aca="false">IF(C281=5,0,SUMIFS(Sch_Total,Sch_Idx,A281,Sch_Scen,E281,Sch_Year,"&lt;="&amp;G281))</f>
        <v>0.352916829533393</v>
      </c>
      <c r="U281" s="21" t="n">
        <f aca="false">K281+L281+R281</f>
        <v>1.15507680979964</v>
      </c>
      <c r="V281" s="21" t="n">
        <f aca="false">IF(C281=5,0,Q281-H281-U281)</f>
        <v>1.24606732002436</v>
      </c>
      <c r="W281" s="21" t="n">
        <f aca="false">IF(C281=5,0,MAX(0,IF(P281&gt;=2,IF(Q281&gt;Exempt,V281*(Q281-Exempt)/Q281,0),V281)))</f>
        <v>0.659018392654654</v>
      </c>
      <c r="X281" s="10" t="n">
        <f aca="false">IF(P281&gt;=2,MIN(MaxDed,MIN(0.4,HoldRate*G281)+MIN(0.4,LiveRate*P281)),IF(G281&gt;=3,MIN(0.3,0.02*G281),0))</f>
        <v>0.4</v>
      </c>
      <c r="Y281" s="21" t="n">
        <f aca="false">MAX(0,W281*(1-X281)-InitDed)</f>
        <v>0.370411035592792</v>
      </c>
      <c r="Z281" s="29" t="n">
        <f aca="false">SUMPRODUCT((Y281&gt;CLo)*(Y281-CLo)*CD)*(1+LocalTax)</f>
        <v>0.0472578208728107</v>
      </c>
      <c r="AA281" s="21" t="n">
        <f aca="false">K281+T281+Z281</f>
        <v>1.1614846504062</v>
      </c>
      <c r="AB281" s="29" t="n">
        <f aca="false">IF(C281=5,0,(Q281-H281)-K281-L281-R281-S281-T281-Z281)</f>
        <v>0.464044052337782</v>
      </c>
      <c r="AC281" s="21" t="n">
        <f aca="false">IF(C281=5,0,N281*((1+DepRate*(1-DepTax))^G281-1))</f>
        <v>2.94101918028761</v>
      </c>
      <c r="AD281" s="29" t="n">
        <f aca="false">IF(C281=5,0,AB281-AC281+I281*(((1+DepRate*(1-DepTax))^G281-1)-((1+DepRate*(1-DepTax))^O281-1)))</f>
        <v>-0.87537159732282</v>
      </c>
      <c r="AE281" s="30" t="n">
        <f aca="false">IF(J281&gt;0,-PMT(Rm,LoanYears*12,J281)*10000,0)</f>
        <v>95.4830590930919</v>
      </c>
      <c r="AF281" s="21" t="n">
        <f aca="false">IF(J281&gt;0,-PMT((Rate+Stress)/12,LoanYears*12,J281)*12/DSR,0)</f>
        <v>0.39918149710751</v>
      </c>
      <c r="AG281" s="20" t="n">
        <f aca="false">IF(N281&lt;=CapA,1,0)</f>
        <v>0</v>
      </c>
      <c r="AH281" s="20" t="n">
        <f aca="false">IF(N281&lt;=CapB,1,0)</f>
        <v>0</v>
      </c>
      <c r="AI281" s="20" t="n">
        <f aca="false">IF(N281&lt;=CapC,1,0)</f>
        <v>0</v>
      </c>
      <c r="AJ281" s="21" t="n">
        <f aca="false">IF(AG281=1,AD281,-999)</f>
        <v>-999</v>
      </c>
      <c r="AK281" s="21" t="n">
        <f aca="false">IF(AH281=1,AD281,-999)</f>
        <v>-999</v>
      </c>
      <c r="AL281" s="21" t="n">
        <f aca="false">IF(AI281=1,AD281,-999)</f>
        <v>-999</v>
      </c>
      <c r="AM281" s="21" t="str">
        <f aca="false">C281&amp;"|"&amp;E281&amp;"|"&amp;G281&amp;"|"&amp;TEXT(AJ281,"0.00000")</f>
        <v>2|1|5|-999.00000</v>
      </c>
      <c r="AN281" s="21" t="str">
        <f aca="false">C281&amp;"|"&amp;E281&amp;"|"&amp;G281&amp;"|"&amp;TEXT(AK281,"0.00000")</f>
        <v>2|1|5|-999.00000</v>
      </c>
      <c r="AO281" s="21" t="str">
        <f aca="false">C281&amp;"|"&amp;E281&amp;"|"&amp;G281&amp;"|"&amp;TEXT(AL281,"0.00000")</f>
        <v>2|1|5|-999.00000</v>
      </c>
    </row>
    <row r="282" customFormat="false" ht="15" hidden="false" customHeight="false" outlineLevel="0" collapsed="false">
      <c r="A282" s="20" t="n">
        <v>10</v>
      </c>
      <c r="B282" s="18" t="str">
        <f aca="false">INDEX(C_Name,A282)</f>
        <v>흑석리버파크자이 85㎡</v>
      </c>
      <c r="C282" s="20" t="n">
        <v>2</v>
      </c>
      <c r="D282" s="21" t="str">
        <f aca="false">CHOOSE(C282,"1안 표준형(대출 최대)","2안 절충형(대출 50%)","3안 무대출형","4안 임대차 승계 후 입주","5안 매수 보류(전세 거주)")</f>
        <v>2안 절충형(대출 50%)</v>
      </c>
      <c r="E282" s="20" t="n">
        <v>1</v>
      </c>
      <c r="F282" s="10" t="n">
        <f aca="false">CHOOSE(E282,GrowLo,GrowMid,GrowHi)</f>
        <v>0.02</v>
      </c>
      <c r="G282" s="20" t="n">
        <v>10</v>
      </c>
      <c r="H282" s="18" t="n">
        <f aca="false">INDEX(C_Price,A282)</f>
        <v>23.07</v>
      </c>
      <c r="I282" s="18" t="n">
        <f aca="false">INDEX(C_Jeonse,A282)</f>
        <v>11.9964</v>
      </c>
      <c r="J282" s="21" t="n">
        <f aca="false">IF(C282=5,0,IF(C282=1,INDEX(C_Loan,A282),IF(C282=2,INDEX(C_Loan,A282)*LoanShare2,IF(C282=3,0,MIN(INDEX(C_Loan,A282),I282)))))</f>
        <v>2</v>
      </c>
      <c r="K282" s="18" t="n">
        <f aca="false">IF(C282=5,0,INDEX(C_Acq,A282))</f>
        <v>0.76131</v>
      </c>
      <c r="L282" s="18" t="n">
        <f aca="false">IF(C282=5,0,INDEX(C_Fee,A282))</f>
        <v>0.197639</v>
      </c>
      <c r="M282" s="21" t="n">
        <f aca="false">IF(C282=4,MAX(0,I282-J282),0)</f>
        <v>0</v>
      </c>
      <c r="N282" s="21" t="n">
        <f aca="false">IF(C282=5,I282,IF(C282=4,(H282-I282)+K282+L282+M282,H282-J282+K282+L282))</f>
        <v>22.028949</v>
      </c>
      <c r="O282" s="20" t="n">
        <f aca="false">IF(C282=4,RentYears,0)</f>
        <v>0</v>
      </c>
      <c r="P282" s="20" t="n">
        <f aca="false">IF(C282=5,0,MAX(0,G282-O282-NonRes))</f>
        <v>10</v>
      </c>
      <c r="Q282" s="21" t="n">
        <f aca="false">IF(C282=5,0,H282*(1+F282)^G282)</f>
        <v>28.1222012692791</v>
      </c>
      <c r="R282" s="21" t="n">
        <f aca="false">IF(C282=5,0,Q282*LOOKUP(Q282,FeeLo,FeeR)*(1+VAT))</f>
        <v>0.216540949773449</v>
      </c>
      <c r="S282" s="21" t="n">
        <f aca="false">IF(J282&gt;0,-CUMIPMT(Rm,LoanYears*12,J282,1,(G282-O282)*12,0),0)</f>
        <v>0.721475893348725</v>
      </c>
      <c r="T282" s="29" t="n">
        <f aca="false">IF(C282=5,0,SUMIFS(Sch_Total,Sch_Idx,A282,Sch_Scen,E282,Sch_Year,"&lt;="&amp;G282))</f>
        <v>0.777919318219498</v>
      </c>
      <c r="U282" s="21" t="n">
        <f aca="false">K282+L282+R282</f>
        <v>1.17548994977345</v>
      </c>
      <c r="V282" s="21" t="n">
        <f aca="false">IF(C282=5,0,Q282-H282-U282)</f>
        <v>3.8767113195056</v>
      </c>
      <c r="W282" s="21" t="n">
        <f aca="false">IF(C282=5,0,MAX(0,IF(P282&gt;=2,IF(Q282&gt;Exempt,V282*(Q282-Exempt)/Q282,0),V282)))</f>
        <v>2.22248321023996</v>
      </c>
      <c r="X282" s="10" t="n">
        <f aca="false">IF(P282&gt;=2,MIN(MaxDed,MIN(0.4,HoldRate*G282)+MIN(0.4,LiveRate*P282)),IF(G282&gt;=3,MIN(0.3,0.02*G282),0))</f>
        <v>0.8</v>
      </c>
      <c r="Y282" s="21" t="n">
        <f aca="false">MAX(0,W282*(1-X282)-InitDed)</f>
        <v>0.419496642047993</v>
      </c>
      <c r="Z282" s="29" t="n">
        <f aca="false">SUMPRODUCT((Y282&gt;CLo)*(Y282-CLo)*CD)*(1+LocalTax)</f>
        <v>0.0553569459379188</v>
      </c>
      <c r="AA282" s="21" t="n">
        <f aca="false">K282+T282+Z282</f>
        <v>1.59458626415742</v>
      </c>
      <c r="AB282" s="29" t="n">
        <f aca="false">IF(C282=5,0,(Q282-H282)-K282-L282-R282-S282-T282-Z282)</f>
        <v>2.32195916199946</v>
      </c>
      <c r="AC282" s="21" t="n">
        <f aca="false">IF(C282=5,0,N282*((1+DepRate*(1-DepTax))^G282-1))</f>
        <v>6.27468504648018</v>
      </c>
      <c r="AD282" s="29" t="n">
        <f aca="false">IF(C282=5,0,AB282-AC282+I282*(((1+DepRate*(1-DepTax))^G282-1)-((1+DepRate*(1-DepTax))^O282-1)))</f>
        <v>-0.535693519859289</v>
      </c>
      <c r="AE282" s="30" t="n">
        <f aca="false">IF(J282&gt;0,-PMT(Rm,LoanYears*12,J282)*10000,0)</f>
        <v>95.4830590930919</v>
      </c>
      <c r="AF282" s="21" t="n">
        <f aca="false">IF(J282&gt;0,-PMT((Rate+Stress)/12,LoanYears*12,J282)*12/DSR,0)</f>
        <v>0.39918149710751</v>
      </c>
      <c r="AG282" s="20" t="n">
        <f aca="false">IF(N282&lt;=CapA,1,0)</f>
        <v>0</v>
      </c>
      <c r="AH282" s="20" t="n">
        <f aca="false">IF(N282&lt;=CapB,1,0)</f>
        <v>0</v>
      </c>
      <c r="AI282" s="20" t="n">
        <f aca="false">IF(N282&lt;=CapC,1,0)</f>
        <v>0</v>
      </c>
      <c r="AJ282" s="21" t="n">
        <f aca="false">IF(AG282=1,AD282,-999)</f>
        <v>-999</v>
      </c>
      <c r="AK282" s="21" t="n">
        <f aca="false">IF(AH282=1,AD282,-999)</f>
        <v>-999</v>
      </c>
      <c r="AL282" s="21" t="n">
        <f aca="false">IF(AI282=1,AD282,-999)</f>
        <v>-999</v>
      </c>
      <c r="AM282" s="21" t="str">
        <f aca="false">C282&amp;"|"&amp;E282&amp;"|"&amp;G282&amp;"|"&amp;TEXT(AJ282,"0.00000")</f>
        <v>2|1|10|-999.00000</v>
      </c>
      <c r="AN282" s="21" t="str">
        <f aca="false">C282&amp;"|"&amp;E282&amp;"|"&amp;G282&amp;"|"&amp;TEXT(AK282,"0.00000")</f>
        <v>2|1|10|-999.00000</v>
      </c>
      <c r="AO282" s="21" t="str">
        <f aca="false">C282&amp;"|"&amp;E282&amp;"|"&amp;G282&amp;"|"&amp;TEXT(AL282,"0.00000")</f>
        <v>2|1|10|-999.00000</v>
      </c>
    </row>
    <row r="283" customFormat="false" ht="15" hidden="false" customHeight="false" outlineLevel="0" collapsed="false">
      <c r="A283" s="20" t="n">
        <v>10</v>
      </c>
      <c r="B283" s="18" t="str">
        <f aca="false">INDEX(C_Name,A283)</f>
        <v>흑석리버파크자이 85㎡</v>
      </c>
      <c r="C283" s="20" t="n">
        <v>2</v>
      </c>
      <c r="D283" s="21" t="str">
        <f aca="false">CHOOSE(C283,"1안 표준형(대출 최대)","2안 절충형(대출 50%)","3안 무대출형","4안 임대차 승계 후 입주","5안 매수 보류(전세 거주)")</f>
        <v>2안 절충형(대출 50%)</v>
      </c>
      <c r="E283" s="20" t="n">
        <v>2</v>
      </c>
      <c r="F283" s="10" t="n">
        <f aca="false">CHOOSE(E283,GrowLo,GrowMid,GrowHi)</f>
        <v>0.04</v>
      </c>
      <c r="G283" s="20" t="n">
        <v>5</v>
      </c>
      <c r="H283" s="18" t="n">
        <f aca="false">INDEX(C_Price,A283)</f>
        <v>23.07</v>
      </c>
      <c r="I283" s="18" t="n">
        <f aca="false">INDEX(C_Jeonse,A283)</f>
        <v>11.9964</v>
      </c>
      <c r="J283" s="21" t="n">
        <f aca="false">IF(C283=5,0,IF(C283=1,INDEX(C_Loan,A283),IF(C283=2,INDEX(C_Loan,A283)*LoanShare2,IF(C283=3,0,MIN(INDEX(C_Loan,A283),I283)))))</f>
        <v>2</v>
      </c>
      <c r="K283" s="18" t="n">
        <f aca="false">IF(C283=5,0,INDEX(C_Acq,A283))</f>
        <v>0.76131</v>
      </c>
      <c r="L283" s="18" t="n">
        <f aca="false">IF(C283=5,0,INDEX(C_Fee,A283))</f>
        <v>0.197639</v>
      </c>
      <c r="M283" s="21" t="n">
        <f aca="false">IF(C283=4,MAX(0,I283-J283),0)</f>
        <v>0</v>
      </c>
      <c r="N283" s="21" t="n">
        <f aca="false">IF(C283=5,I283,IF(C283=4,(H283-I283)+K283+L283+M283,H283-J283+K283+L283))</f>
        <v>22.028949</v>
      </c>
      <c r="O283" s="20" t="n">
        <f aca="false">IF(C283=4,RentYears,0)</f>
        <v>0</v>
      </c>
      <c r="P283" s="20" t="n">
        <f aca="false">IF(C283=5,0,MAX(0,G283-O283-NonRes))</f>
        <v>5</v>
      </c>
      <c r="Q283" s="21" t="n">
        <f aca="false">IF(C283=5,0,H283*(1+F283)^G283)</f>
        <v>28.068182458368</v>
      </c>
      <c r="R283" s="21" t="n">
        <f aca="false">IF(C283=5,0,Q283*LOOKUP(Q283,FeeLo,FeeR)*(1+VAT))</f>
        <v>0.216125004929434</v>
      </c>
      <c r="S283" s="21" t="n">
        <f aca="false">IF(J283&gt;0,-CUMIPMT(Rm,LoanYears*12,J283,1,(G283-O283)*12,0),0)</f>
        <v>0.38184861728037</v>
      </c>
      <c r="T283" s="29" t="n">
        <f aca="false">IF(C283=5,0,SUMIFS(Sch_Total,Sch_Idx,A283,Sch_Scen,E283,Sch_Year,"&lt;="&amp;G283))</f>
        <v>0.381273753203989</v>
      </c>
      <c r="U283" s="21" t="n">
        <f aca="false">K283+L283+R283</f>
        <v>1.17507400492943</v>
      </c>
      <c r="V283" s="21" t="n">
        <f aca="false">IF(C283=5,0,Q283-H283-U283)</f>
        <v>3.82310845343857</v>
      </c>
      <c r="W283" s="21" t="n">
        <f aca="false">IF(C283=5,0,MAX(0,IF(P283&gt;=2,IF(Q283&gt;Exempt,V283*(Q283-Exempt)/Q283,0),V283)))</f>
        <v>2.18861354058448</v>
      </c>
      <c r="X283" s="10" t="n">
        <f aca="false">IF(P283&gt;=2,MIN(MaxDed,MIN(0.4,HoldRate*G283)+MIN(0.4,LiveRate*P283)),IF(G283&gt;=3,MIN(0.3,0.02*G283),0))</f>
        <v>0.4</v>
      </c>
      <c r="Y283" s="21" t="n">
        <f aca="false">MAX(0,W283*(1-X283)-InitDed)</f>
        <v>1.28816812435069</v>
      </c>
      <c r="Z283" s="29" t="n">
        <f aca="false">SUMPRODUCT((Y283&gt;CLo)*(Y283-CLo)*CD)*(1+LocalTax)</f>
        <v>0.326104727875015</v>
      </c>
      <c r="AA283" s="21" t="n">
        <f aca="false">K283+T283+Z283</f>
        <v>1.468688481079</v>
      </c>
      <c r="AB283" s="29" t="n">
        <f aca="false">IF(C283=5,0,(Q283-H283)-K283-L283-R283-S283-T283-Z283)</f>
        <v>2.7338813550792</v>
      </c>
      <c r="AC283" s="21" t="n">
        <f aca="false">IF(C283=5,0,N283*((1+DepRate*(1-DepTax))^G283-1))</f>
        <v>2.94101918028761</v>
      </c>
      <c r="AD283" s="29" t="n">
        <f aca="false">IF(C283=5,0,AB283-AC283+I283*(((1+DepRate*(1-DepTax))^G283-1)-((1+DepRate*(1-DepTax))^O283-1)))</f>
        <v>1.39446570541859</v>
      </c>
      <c r="AE283" s="30" t="n">
        <f aca="false">IF(J283&gt;0,-PMT(Rm,LoanYears*12,J283)*10000,0)</f>
        <v>95.4830590930919</v>
      </c>
      <c r="AF283" s="21" t="n">
        <f aca="false">IF(J283&gt;0,-PMT((Rate+Stress)/12,LoanYears*12,J283)*12/DSR,0)</f>
        <v>0.39918149710751</v>
      </c>
      <c r="AG283" s="20" t="n">
        <f aca="false">IF(N283&lt;=CapA,1,0)</f>
        <v>0</v>
      </c>
      <c r="AH283" s="20" t="n">
        <f aca="false">IF(N283&lt;=CapB,1,0)</f>
        <v>0</v>
      </c>
      <c r="AI283" s="20" t="n">
        <f aca="false">IF(N283&lt;=CapC,1,0)</f>
        <v>0</v>
      </c>
      <c r="AJ283" s="21" t="n">
        <f aca="false">IF(AG283=1,AD283,-999)</f>
        <v>-999</v>
      </c>
      <c r="AK283" s="21" t="n">
        <f aca="false">IF(AH283=1,AD283,-999)</f>
        <v>-999</v>
      </c>
      <c r="AL283" s="21" t="n">
        <f aca="false">IF(AI283=1,AD283,-999)</f>
        <v>-999</v>
      </c>
      <c r="AM283" s="21" t="str">
        <f aca="false">C283&amp;"|"&amp;E283&amp;"|"&amp;G283&amp;"|"&amp;TEXT(AJ283,"0.00000")</f>
        <v>2|2|5|-999.00000</v>
      </c>
      <c r="AN283" s="21" t="str">
        <f aca="false">C283&amp;"|"&amp;E283&amp;"|"&amp;G283&amp;"|"&amp;TEXT(AK283,"0.00000")</f>
        <v>2|2|5|-999.00000</v>
      </c>
      <c r="AO283" s="21" t="str">
        <f aca="false">C283&amp;"|"&amp;E283&amp;"|"&amp;G283&amp;"|"&amp;TEXT(AL283,"0.00000")</f>
        <v>2|2|5|-999.00000</v>
      </c>
    </row>
    <row r="284" customFormat="false" ht="15" hidden="false" customHeight="false" outlineLevel="0" collapsed="false">
      <c r="A284" s="20" t="n">
        <v>10</v>
      </c>
      <c r="B284" s="18" t="str">
        <f aca="false">INDEX(C_Name,A284)</f>
        <v>흑석리버파크자이 85㎡</v>
      </c>
      <c r="C284" s="20" t="n">
        <v>2</v>
      </c>
      <c r="D284" s="21" t="str">
        <f aca="false">CHOOSE(C284,"1안 표준형(대출 최대)","2안 절충형(대출 50%)","3안 무대출형","4안 임대차 승계 후 입주","5안 매수 보류(전세 거주)")</f>
        <v>2안 절충형(대출 50%)</v>
      </c>
      <c r="E284" s="20" t="n">
        <v>2</v>
      </c>
      <c r="F284" s="10" t="n">
        <f aca="false">CHOOSE(E284,GrowLo,GrowMid,GrowHi)</f>
        <v>0.04</v>
      </c>
      <c r="G284" s="20" t="n">
        <v>10</v>
      </c>
      <c r="H284" s="18" t="n">
        <f aca="false">INDEX(C_Price,A284)</f>
        <v>23.07</v>
      </c>
      <c r="I284" s="18" t="n">
        <f aca="false">INDEX(C_Jeonse,A284)</f>
        <v>11.9964</v>
      </c>
      <c r="J284" s="21" t="n">
        <f aca="false">IF(C284=5,0,IF(C284=1,INDEX(C_Loan,A284),IF(C284=2,INDEX(C_Loan,A284)*LoanShare2,IF(C284=3,0,MIN(INDEX(C_Loan,A284),I284)))))</f>
        <v>2</v>
      </c>
      <c r="K284" s="18" t="n">
        <f aca="false">IF(C284=5,0,INDEX(C_Acq,A284))</f>
        <v>0.76131</v>
      </c>
      <c r="L284" s="18" t="n">
        <f aca="false">IF(C284=5,0,INDEX(C_Fee,A284))</f>
        <v>0.197639</v>
      </c>
      <c r="M284" s="21" t="n">
        <f aca="false">IF(C284=4,MAX(0,I284-J284),0)</f>
        <v>0</v>
      </c>
      <c r="N284" s="21" t="n">
        <f aca="false">IF(C284=5,I284,IF(C284=4,(H284-I284)+K284+L284+M284,H284-J284+K284+L284))</f>
        <v>22.028949</v>
      </c>
      <c r="O284" s="20" t="n">
        <f aca="false">IF(C284=4,RentYears,0)</f>
        <v>0</v>
      </c>
      <c r="P284" s="20" t="n">
        <f aca="false">IF(C284=5,0,MAX(0,G284-O284-NonRes))</f>
        <v>10</v>
      </c>
      <c r="Q284" s="21" t="n">
        <f aca="false">IF(C284=5,0,H284*(1+F284)^G284)</f>
        <v>34.1492356530662</v>
      </c>
      <c r="R284" s="21" t="n">
        <f aca="false">IF(C284=5,0,Q284*LOOKUP(Q284,FeeLo,FeeR)*(1+VAT))</f>
        <v>0.26294911452861</v>
      </c>
      <c r="S284" s="21" t="n">
        <f aca="false">IF(J284&gt;0,-CUMIPMT(Rm,LoanYears*12,J284,1,(G284-O284)*12,0),0)</f>
        <v>0.721475893348725</v>
      </c>
      <c r="T284" s="29" t="n">
        <f aca="false">IF(C284=5,0,SUMIFS(Sch_Total,Sch_Idx,A284,Sch_Scen,E284,Sch_Year,"&lt;="&amp;G284))</f>
        <v>0.925400183009958</v>
      </c>
      <c r="U284" s="21" t="n">
        <f aca="false">K284+L284+R284</f>
        <v>1.22189811452861</v>
      </c>
      <c r="V284" s="21" t="n">
        <f aca="false">IF(C284=5,0,Q284-H284-U284)</f>
        <v>9.8573375385376</v>
      </c>
      <c r="W284" s="21" t="n">
        <f aca="false">IF(C284=5,0,MAX(0,IF(P284&gt;=2,IF(Q284&gt;Exempt,V284*(Q284-Exempt)/Q284,0),V284)))</f>
        <v>6.39348108025021</v>
      </c>
      <c r="X284" s="10" t="n">
        <f aca="false">IF(P284&gt;=2,MIN(MaxDed,MIN(0.4,HoldRate*G284)+MIN(0.4,LiveRate*P284)),IF(G284&gt;=3,MIN(0.3,0.02*G284),0))</f>
        <v>0.8</v>
      </c>
      <c r="Y284" s="21" t="n">
        <f aca="false">MAX(0,W284*(1-X284)-InitDed)</f>
        <v>1.25369621605004</v>
      </c>
      <c r="Z284" s="29" t="n">
        <f aca="false">SUMPRODUCT((Y284&gt;CLo)*(Y284-CLo)*CD)*(1+LocalTax)</f>
        <v>0.312833043179266</v>
      </c>
      <c r="AA284" s="21" t="n">
        <f aca="false">K284+T284+Z284</f>
        <v>1.99954322618922</v>
      </c>
      <c r="AB284" s="29" t="n">
        <f aca="false">IF(C284=5,0,(Q284-H284)-K284-L284-R284-S284-T284-Z284)</f>
        <v>7.89762841899965</v>
      </c>
      <c r="AC284" s="21" t="n">
        <f aca="false">IF(C284=5,0,N284*((1+DepRate*(1-DepTax))^G284-1))</f>
        <v>6.27468504648018</v>
      </c>
      <c r="AD284" s="29" t="n">
        <f aca="false">IF(C284=5,0,AB284-AC284+I284*(((1+DepRate*(1-DepTax))^G284-1)-((1+DepRate*(1-DepTax))^O284-1)))</f>
        <v>5.0399757371409</v>
      </c>
      <c r="AE284" s="30" t="n">
        <f aca="false">IF(J284&gt;0,-PMT(Rm,LoanYears*12,J284)*10000,0)</f>
        <v>95.4830590930919</v>
      </c>
      <c r="AF284" s="21" t="n">
        <f aca="false">IF(J284&gt;0,-PMT((Rate+Stress)/12,LoanYears*12,J284)*12/DSR,0)</f>
        <v>0.39918149710751</v>
      </c>
      <c r="AG284" s="20" t="n">
        <f aca="false">IF(N284&lt;=CapA,1,0)</f>
        <v>0</v>
      </c>
      <c r="AH284" s="20" t="n">
        <f aca="false">IF(N284&lt;=CapB,1,0)</f>
        <v>0</v>
      </c>
      <c r="AI284" s="20" t="n">
        <f aca="false">IF(N284&lt;=CapC,1,0)</f>
        <v>0</v>
      </c>
      <c r="AJ284" s="21" t="n">
        <f aca="false">IF(AG284=1,AD284,-999)</f>
        <v>-999</v>
      </c>
      <c r="AK284" s="21" t="n">
        <f aca="false">IF(AH284=1,AD284,-999)</f>
        <v>-999</v>
      </c>
      <c r="AL284" s="21" t="n">
        <f aca="false">IF(AI284=1,AD284,-999)</f>
        <v>-999</v>
      </c>
      <c r="AM284" s="21" t="str">
        <f aca="false">C284&amp;"|"&amp;E284&amp;"|"&amp;G284&amp;"|"&amp;TEXT(AJ284,"0.00000")</f>
        <v>2|2|10|-999.00000</v>
      </c>
      <c r="AN284" s="21" t="str">
        <f aca="false">C284&amp;"|"&amp;E284&amp;"|"&amp;G284&amp;"|"&amp;TEXT(AK284,"0.00000")</f>
        <v>2|2|10|-999.00000</v>
      </c>
      <c r="AO284" s="21" t="str">
        <f aca="false">C284&amp;"|"&amp;E284&amp;"|"&amp;G284&amp;"|"&amp;TEXT(AL284,"0.00000")</f>
        <v>2|2|10|-999.00000</v>
      </c>
    </row>
    <row r="285" customFormat="false" ht="15" hidden="false" customHeight="false" outlineLevel="0" collapsed="false">
      <c r="A285" s="20" t="n">
        <v>10</v>
      </c>
      <c r="B285" s="18" t="str">
        <f aca="false">INDEX(C_Name,A285)</f>
        <v>흑석리버파크자이 85㎡</v>
      </c>
      <c r="C285" s="20" t="n">
        <v>2</v>
      </c>
      <c r="D285" s="21" t="str">
        <f aca="false">CHOOSE(C285,"1안 표준형(대출 최대)","2안 절충형(대출 50%)","3안 무대출형","4안 임대차 승계 후 입주","5안 매수 보류(전세 거주)")</f>
        <v>2안 절충형(대출 50%)</v>
      </c>
      <c r="E285" s="20" t="n">
        <v>3</v>
      </c>
      <c r="F285" s="10" t="n">
        <f aca="false">CHOOSE(E285,GrowLo,GrowMid,GrowHi)</f>
        <v>0.06</v>
      </c>
      <c r="G285" s="20" t="n">
        <v>5</v>
      </c>
      <c r="H285" s="18" t="n">
        <f aca="false">INDEX(C_Price,A285)</f>
        <v>23.07</v>
      </c>
      <c r="I285" s="18" t="n">
        <f aca="false">INDEX(C_Jeonse,A285)</f>
        <v>11.9964</v>
      </c>
      <c r="J285" s="21" t="n">
        <f aca="false">IF(C285=5,0,IF(C285=1,INDEX(C_Loan,A285),IF(C285=2,INDEX(C_Loan,A285)*LoanShare2,IF(C285=3,0,MIN(INDEX(C_Loan,A285),I285)))))</f>
        <v>2</v>
      </c>
      <c r="K285" s="18" t="n">
        <f aca="false">IF(C285=5,0,INDEX(C_Acq,A285))</f>
        <v>0.76131</v>
      </c>
      <c r="L285" s="18" t="n">
        <f aca="false">IF(C285=5,0,INDEX(C_Fee,A285))</f>
        <v>0.197639</v>
      </c>
      <c r="M285" s="21" t="n">
        <f aca="false">IF(C285=4,MAX(0,I285-J285),0)</f>
        <v>0</v>
      </c>
      <c r="N285" s="21" t="n">
        <f aca="false">IF(C285=5,I285,IF(C285=4,(H285-I285)+K285+L285+M285,H285-J285+K285+L285))</f>
        <v>22.028949</v>
      </c>
      <c r="O285" s="20" t="n">
        <f aca="false">IF(C285=4,RentYears,0)</f>
        <v>0</v>
      </c>
      <c r="P285" s="20" t="n">
        <f aca="false">IF(C285=5,0,MAX(0,G285-O285-NonRes))</f>
        <v>5</v>
      </c>
      <c r="Q285" s="21" t="n">
        <f aca="false">IF(C285=5,0,H285*(1+F285)^G285)</f>
        <v>30.872864075232</v>
      </c>
      <c r="R285" s="21" t="n">
        <f aca="false">IF(C285=5,0,Q285*LOOKUP(Q285,FeeLo,FeeR)*(1+VAT))</f>
        <v>0.237721053379286</v>
      </c>
      <c r="S285" s="21" t="n">
        <f aca="false">IF(J285&gt;0,-CUMIPMT(Rm,LoanYears*12,J285,1,(G285-O285)*12,0),0)</f>
        <v>0.38184861728037</v>
      </c>
      <c r="T285" s="29" t="n">
        <f aca="false">IF(C285=5,0,SUMIFS(Sch_Total,Sch_Idx,A285,Sch_Scen,E285,Sch_Year,"&lt;="&amp;G285))</f>
        <v>0.411600481818872</v>
      </c>
      <c r="U285" s="21" t="n">
        <f aca="false">K285+L285+R285</f>
        <v>1.19667005337929</v>
      </c>
      <c r="V285" s="21" t="n">
        <f aca="false">IF(C285=5,0,Q285-H285-U285)</f>
        <v>6.60619402185272</v>
      </c>
      <c r="W285" s="21" t="n">
        <f aca="false">IF(C285=5,0,MAX(0,IF(P285&gt;=2,IF(Q285&gt;Exempt,V285*(Q285-Exempt)/Q285,0),V285)))</f>
        <v>4.03842680501614</v>
      </c>
      <c r="X285" s="10" t="n">
        <f aca="false">IF(P285&gt;=2,MIN(MaxDed,MIN(0.4,HoldRate*G285)+MIN(0.4,LiveRate*P285)),IF(G285&gt;=3,MIN(0.3,0.02*G285),0))</f>
        <v>0.4</v>
      </c>
      <c r="Y285" s="21" t="n">
        <f aca="false">MAX(0,W285*(1-X285)-InitDed)</f>
        <v>2.39805608300968</v>
      </c>
      <c r="Z285" s="29" t="n">
        <f aca="false">SUMPRODUCT((Y285&gt;CLo)*(Y285-CLo)*CD)*(1+LocalTax)</f>
        <v>0.783047442698047</v>
      </c>
      <c r="AA285" s="21" t="n">
        <f aca="false">K285+T285+Z285</f>
        <v>1.95595792451692</v>
      </c>
      <c r="AB285" s="29" t="n">
        <f aca="false">IF(C285=5,0,(Q285-H285)-K285-L285-R285-S285-T285-Z285)</f>
        <v>5.02969748005543</v>
      </c>
      <c r="AC285" s="21" t="n">
        <f aca="false">IF(C285=5,0,N285*((1+DepRate*(1-DepTax))^G285-1))</f>
        <v>2.94101918028761</v>
      </c>
      <c r="AD285" s="29" t="n">
        <f aca="false">IF(C285=5,0,AB285-AC285+I285*(((1+DepRate*(1-DepTax))^G285-1)-((1+DepRate*(1-DepTax))^O285-1)))</f>
        <v>3.69028183039483</v>
      </c>
      <c r="AE285" s="30" t="n">
        <f aca="false">IF(J285&gt;0,-PMT(Rm,LoanYears*12,J285)*10000,0)</f>
        <v>95.4830590930919</v>
      </c>
      <c r="AF285" s="21" t="n">
        <f aca="false">IF(J285&gt;0,-PMT((Rate+Stress)/12,LoanYears*12,J285)*12/DSR,0)</f>
        <v>0.39918149710751</v>
      </c>
      <c r="AG285" s="20" t="n">
        <f aca="false">IF(N285&lt;=CapA,1,0)</f>
        <v>0</v>
      </c>
      <c r="AH285" s="20" t="n">
        <f aca="false">IF(N285&lt;=CapB,1,0)</f>
        <v>0</v>
      </c>
      <c r="AI285" s="20" t="n">
        <f aca="false">IF(N285&lt;=CapC,1,0)</f>
        <v>0</v>
      </c>
      <c r="AJ285" s="21" t="n">
        <f aca="false">IF(AG285=1,AD285,-999)</f>
        <v>-999</v>
      </c>
      <c r="AK285" s="21" t="n">
        <f aca="false">IF(AH285=1,AD285,-999)</f>
        <v>-999</v>
      </c>
      <c r="AL285" s="21" t="n">
        <f aca="false">IF(AI285=1,AD285,-999)</f>
        <v>-999</v>
      </c>
      <c r="AM285" s="21" t="str">
        <f aca="false">C285&amp;"|"&amp;E285&amp;"|"&amp;G285&amp;"|"&amp;TEXT(AJ285,"0.00000")</f>
        <v>2|3|5|-999.00000</v>
      </c>
      <c r="AN285" s="21" t="str">
        <f aca="false">C285&amp;"|"&amp;E285&amp;"|"&amp;G285&amp;"|"&amp;TEXT(AK285,"0.00000")</f>
        <v>2|3|5|-999.00000</v>
      </c>
      <c r="AO285" s="21" t="str">
        <f aca="false">C285&amp;"|"&amp;E285&amp;"|"&amp;G285&amp;"|"&amp;TEXT(AL285,"0.00000")</f>
        <v>2|3|5|-999.00000</v>
      </c>
    </row>
    <row r="286" customFormat="false" ht="15" hidden="false" customHeight="false" outlineLevel="0" collapsed="false">
      <c r="A286" s="20" t="n">
        <v>10</v>
      </c>
      <c r="B286" s="18" t="str">
        <f aca="false">INDEX(C_Name,A286)</f>
        <v>흑석리버파크자이 85㎡</v>
      </c>
      <c r="C286" s="20" t="n">
        <v>2</v>
      </c>
      <c r="D286" s="21" t="str">
        <f aca="false">CHOOSE(C286,"1안 표준형(대출 최대)","2안 절충형(대출 50%)","3안 무대출형","4안 임대차 승계 후 입주","5안 매수 보류(전세 거주)")</f>
        <v>2안 절충형(대출 50%)</v>
      </c>
      <c r="E286" s="20" t="n">
        <v>3</v>
      </c>
      <c r="F286" s="10" t="n">
        <f aca="false">CHOOSE(E286,GrowLo,GrowMid,GrowHi)</f>
        <v>0.06</v>
      </c>
      <c r="G286" s="20" t="n">
        <v>10</v>
      </c>
      <c r="H286" s="18" t="n">
        <f aca="false">INDEX(C_Price,A286)</f>
        <v>23.07</v>
      </c>
      <c r="I286" s="18" t="n">
        <f aca="false">INDEX(C_Jeonse,A286)</f>
        <v>11.9964</v>
      </c>
      <c r="J286" s="21" t="n">
        <f aca="false">IF(C286=5,0,IF(C286=1,INDEX(C_Loan,A286),IF(C286=2,INDEX(C_Loan,A286)*LoanShare2,IF(C286=3,0,MIN(INDEX(C_Loan,A286),I286)))))</f>
        <v>2</v>
      </c>
      <c r="K286" s="18" t="n">
        <f aca="false">IF(C286=5,0,INDEX(C_Acq,A286))</f>
        <v>0.76131</v>
      </c>
      <c r="L286" s="18" t="n">
        <f aca="false">IF(C286=5,0,INDEX(C_Fee,A286))</f>
        <v>0.197639</v>
      </c>
      <c r="M286" s="21" t="n">
        <f aca="false">IF(C286=4,MAX(0,I286-J286),0)</f>
        <v>0</v>
      </c>
      <c r="N286" s="21" t="n">
        <f aca="false">IF(C286=5,I286,IF(C286=4,(H286-I286)+K286+L286+M286,H286-J286+K286+L286))</f>
        <v>22.028949</v>
      </c>
      <c r="O286" s="20" t="n">
        <f aca="false">IF(C286=4,RentYears,0)</f>
        <v>0</v>
      </c>
      <c r="P286" s="20" t="n">
        <f aca="false">IF(C286=5,0,MAX(0,G286-O286-NonRes))</f>
        <v>10</v>
      </c>
      <c r="Q286" s="21" t="n">
        <f aca="false">IF(C286=5,0,H286*(1+F286)^G286)</f>
        <v>41.3148563592437</v>
      </c>
      <c r="R286" s="21" t="n">
        <f aca="false">IF(C286=5,0,Q286*LOOKUP(Q286,FeeLo,FeeR)*(1+VAT))</f>
        <v>0.318124393966176</v>
      </c>
      <c r="S286" s="21" t="n">
        <f aca="false">IF(J286&gt;0,-CUMIPMT(Rm,LoanYears*12,J286,1,(G286-O286)*12,0),0)</f>
        <v>0.721475893348725</v>
      </c>
      <c r="T286" s="29" t="n">
        <f aca="false">IF(C286=5,0,SUMIFS(Sch_Total,Sch_Idx,A286,Sch_Scen,E286,Sch_Year,"&lt;="&amp;G286))</f>
        <v>1.11061295622733</v>
      </c>
      <c r="U286" s="21" t="n">
        <f aca="false">K286+L286+R286</f>
        <v>1.27707339396618</v>
      </c>
      <c r="V286" s="21" t="n">
        <f aca="false">IF(C286=5,0,Q286-H286-U286)</f>
        <v>16.9677829652775</v>
      </c>
      <c r="W286" s="21" t="n">
        <f aca="false">IF(C286=5,0,MAX(0,IF(P286&gt;=2,IF(Q286&gt;Exempt,V286*(Q286-Exempt)/Q286,0),V286)))</f>
        <v>12.0394493456987</v>
      </c>
      <c r="X286" s="10" t="n">
        <f aca="false">IF(P286&gt;=2,MIN(MaxDed,MIN(0.4,HoldRate*G286)+MIN(0.4,LiveRate*P286)),IF(G286&gt;=3,MIN(0.3,0.02*G286),0))</f>
        <v>0.8</v>
      </c>
      <c r="Y286" s="21" t="n">
        <f aca="false">MAX(0,W286*(1-X286)-InitDed)</f>
        <v>2.38288986913973</v>
      </c>
      <c r="Z286" s="29" t="n">
        <f aca="false">SUMPRODUCT((Y286&gt;CLo)*(Y286-CLo)*CD)*(1+LocalTax)</f>
        <v>0.776707965300409</v>
      </c>
      <c r="AA286" s="21" t="n">
        <f aca="false">K286+T286+Z286</f>
        <v>2.64863092152774</v>
      </c>
      <c r="AB286" s="29" t="n">
        <f aca="false">IF(C286=5,0,(Q286-H286)-K286-L286-R286-S286-T286-Z286)</f>
        <v>14.358986150401</v>
      </c>
      <c r="AC286" s="21" t="n">
        <f aca="false">IF(C286=5,0,N286*((1+DepRate*(1-DepTax))^G286-1))</f>
        <v>6.27468504648018</v>
      </c>
      <c r="AD286" s="29" t="n">
        <f aca="false">IF(C286=5,0,AB286-AC286+I286*(((1+DepRate*(1-DepTax))^G286-1)-((1+DepRate*(1-DepTax))^O286-1)))</f>
        <v>11.5013334685423</v>
      </c>
      <c r="AE286" s="30" t="n">
        <f aca="false">IF(J286&gt;0,-PMT(Rm,LoanYears*12,J286)*10000,0)</f>
        <v>95.4830590930919</v>
      </c>
      <c r="AF286" s="21" t="n">
        <f aca="false">IF(J286&gt;0,-PMT((Rate+Stress)/12,LoanYears*12,J286)*12/DSR,0)</f>
        <v>0.39918149710751</v>
      </c>
      <c r="AG286" s="20" t="n">
        <f aca="false">IF(N286&lt;=CapA,1,0)</f>
        <v>0</v>
      </c>
      <c r="AH286" s="20" t="n">
        <f aca="false">IF(N286&lt;=CapB,1,0)</f>
        <v>0</v>
      </c>
      <c r="AI286" s="20" t="n">
        <f aca="false">IF(N286&lt;=CapC,1,0)</f>
        <v>0</v>
      </c>
      <c r="AJ286" s="21" t="n">
        <f aca="false">IF(AG286=1,AD286,-999)</f>
        <v>-999</v>
      </c>
      <c r="AK286" s="21" t="n">
        <f aca="false">IF(AH286=1,AD286,-999)</f>
        <v>-999</v>
      </c>
      <c r="AL286" s="21" t="n">
        <f aca="false">IF(AI286=1,AD286,-999)</f>
        <v>-999</v>
      </c>
      <c r="AM286" s="21" t="str">
        <f aca="false">C286&amp;"|"&amp;E286&amp;"|"&amp;G286&amp;"|"&amp;TEXT(AJ286,"0.00000")</f>
        <v>2|3|10|-999.00000</v>
      </c>
      <c r="AN286" s="21" t="str">
        <f aca="false">C286&amp;"|"&amp;E286&amp;"|"&amp;G286&amp;"|"&amp;TEXT(AK286,"0.00000")</f>
        <v>2|3|10|-999.00000</v>
      </c>
      <c r="AO286" s="21" t="str">
        <f aca="false">C286&amp;"|"&amp;E286&amp;"|"&amp;G286&amp;"|"&amp;TEXT(AL286,"0.00000")</f>
        <v>2|3|10|-999.00000</v>
      </c>
    </row>
    <row r="287" customFormat="false" ht="15" hidden="false" customHeight="false" outlineLevel="0" collapsed="false">
      <c r="A287" s="20" t="n">
        <v>10</v>
      </c>
      <c r="B287" s="18" t="str">
        <f aca="false">INDEX(C_Name,A287)</f>
        <v>흑석리버파크자이 85㎡</v>
      </c>
      <c r="C287" s="20" t="n">
        <v>3</v>
      </c>
      <c r="D287" s="21" t="str">
        <f aca="false">CHOOSE(C287,"1안 표준형(대출 최대)","2안 절충형(대출 50%)","3안 무대출형","4안 임대차 승계 후 입주","5안 매수 보류(전세 거주)")</f>
        <v>3안 무대출형</v>
      </c>
      <c r="E287" s="20" t="n">
        <v>1</v>
      </c>
      <c r="F287" s="10" t="n">
        <f aca="false">CHOOSE(E287,GrowLo,GrowMid,GrowHi)</f>
        <v>0.02</v>
      </c>
      <c r="G287" s="20" t="n">
        <v>5</v>
      </c>
      <c r="H287" s="18" t="n">
        <f aca="false">INDEX(C_Price,A287)</f>
        <v>23.07</v>
      </c>
      <c r="I287" s="18" t="n">
        <f aca="false">INDEX(C_Jeonse,A287)</f>
        <v>11.9964</v>
      </c>
      <c r="J287" s="21" t="n">
        <f aca="false">IF(C287=5,0,IF(C287=1,INDEX(C_Loan,A287),IF(C287=2,INDEX(C_Loan,A287)*LoanShare2,IF(C287=3,0,MIN(INDEX(C_Loan,A287),I287)))))</f>
        <v>0</v>
      </c>
      <c r="K287" s="18" t="n">
        <f aca="false">IF(C287=5,0,INDEX(C_Acq,A287))</f>
        <v>0.76131</v>
      </c>
      <c r="L287" s="18" t="n">
        <f aca="false">IF(C287=5,0,INDEX(C_Fee,A287))</f>
        <v>0.197639</v>
      </c>
      <c r="M287" s="21" t="n">
        <f aca="false">IF(C287=4,MAX(0,I287-J287),0)</f>
        <v>0</v>
      </c>
      <c r="N287" s="21" t="n">
        <f aca="false">IF(C287=5,I287,IF(C287=4,(H287-I287)+K287+L287+M287,H287-J287+K287+L287))</f>
        <v>24.028949</v>
      </c>
      <c r="O287" s="20" t="n">
        <f aca="false">IF(C287=4,RentYears,0)</f>
        <v>0</v>
      </c>
      <c r="P287" s="20" t="n">
        <f aca="false">IF(C287=5,0,MAX(0,G287-O287-NonRes))</f>
        <v>5</v>
      </c>
      <c r="Q287" s="21" t="n">
        <f aca="false">IF(C287=5,0,H287*(1+F287)^G287)</f>
        <v>25.471144129824</v>
      </c>
      <c r="R287" s="21" t="n">
        <f aca="false">IF(C287=5,0,Q287*LOOKUP(Q287,FeeLo,FeeR)*(1+VAT))</f>
        <v>0.196127809799645</v>
      </c>
      <c r="S287" s="21" t="n">
        <f aca="false">IF(J287&gt;0,-CUMIPMT(Rm,LoanYears*12,J287,1,(G287-O287)*12,0),0)</f>
        <v>0</v>
      </c>
      <c r="T287" s="29" t="n">
        <f aca="false">IF(C287=5,0,SUMIFS(Sch_Total,Sch_Idx,A287,Sch_Scen,E287,Sch_Year,"&lt;="&amp;G287))</f>
        <v>0.352916829533393</v>
      </c>
      <c r="U287" s="21" t="n">
        <f aca="false">K287+L287+R287</f>
        <v>1.15507680979964</v>
      </c>
      <c r="V287" s="21" t="n">
        <f aca="false">IF(C287=5,0,Q287-H287-U287)</f>
        <v>1.24606732002436</v>
      </c>
      <c r="W287" s="21" t="n">
        <f aca="false">IF(C287=5,0,MAX(0,IF(P287&gt;=2,IF(Q287&gt;Exempt,V287*(Q287-Exempt)/Q287,0),V287)))</f>
        <v>0.659018392654654</v>
      </c>
      <c r="X287" s="10" t="n">
        <f aca="false">IF(P287&gt;=2,MIN(MaxDed,MIN(0.4,HoldRate*G287)+MIN(0.4,LiveRate*P287)),IF(G287&gt;=3,MIN(0.3,0.02*G287),0))</f>
        <v>0.4</v>
      </c>
      <c r="Y287" s="21" t="n">
        <f aca="false">MAX(0,W287*(1-X287)-InitDed)</f>
        <v>0.370411035592792</v>
      </c>
      <c r="Z287" s="29" t="n">
        <f aca="false">SUMPRODUCT((Y287&gt;CLo)*(Y287-CLo)*CD)*(1+LocalTax)</f>
        <v>0.0472578208728107</v>
      </c>
      <c r="AA287" s="21" t="n">
        <f aca="false">K287+T287+Z287</f>
        <v>1.1614846504062</v>
      </c>
      <c r="AB287" s="29" t="n">
        <f aca="false">IF(C287=5,0,(Q287-H287)-K287-L287-R287-S287-T287-Z287)</f>
        <v>0.845892669618152</v>
      </c>
      <c r="AC287" s="21" t="n">
        <f aca="false">IF(C287=5,0,N287*((1+DepRate*(1-DepTax))^G287-1))</f>
        <v>3.20803320626657</v>
      </c>
      <c r="AD287" s="29" t="n">
        <f aca="false">IF(C287=5,0,AB287-AC287+I287*(((1+DepRate*(1-DepTax))^G287-1)-((1+DepRate*(1-DepTax))^O287-1)))</f>
        <v>-0.760537006021411</v>
      </c>
      <c r="AE287" s="30" t="n">
        <f aca="false">IF(J287&gt;0,-PMT(Rm,LoanYears*12,J287)*10000,0)</f>
        <v>0</v>
      </c>
      <c r="AF287" s="21" t="n">
        <f aca="false">IF(J287&gt;0,-PMT((Rate+Stress)/12,LoanYears*12,J287)*12/DSR,0)</f>
        <v>0</v>
      </c>
      <c r="AG287" s="20" t="n">
        <f aca="false">IF(N287&lt;=CapA,1,0)</f>
        <v>0</v>
      </c>
      <c r="AH287" s="20" t="n">
        <f aca="false">IF(N287&lt;=CapB,1,0)</f>
        <v>0</v>
      </c>
      <c r="AI287" s="20" t="n">
        <f aca="false">IF(N287&lt;=CapC,1,0)</f>
        <v>0</v>
      </c>
      <c r="AJ287" s="21" t="n">
        <f aca="false">IF(AG287=1,AD287,-999)</f>
        <v>-999</v>
      </c>
      <c r="AK287" s="21" t="n">
        <f aca="false">IF(AH287=1,AD287,-999)</f>
        <v>-999</v>
      </c>
      <c r="AL287" s="21" t="n">
        <f aca="false">IF(AI287=1,AD287,-999)</f>
        <v>-999</v>
      </c>
      <c r="AM287" s="21" t="str">
        <f aca="false">C287&amp;"|"&amp;E287&amp;"|"&amp;G287&amp;"|"&amp;TEXT(AJ287,"0.00000")</f>
        <v>3|1|5|-999.00000</v>
      </c>
      <c r="AN287" s="21" t="str">
        <f aca="false">C287&amp;"|"&amp;E287&amp;"|"&amp;G287&amp;"|"&amp;TEXT(AK287,"0.00000")</f>
        <v>3|1|5|-999.00000</v>
      </c>
      <c r="AO287" s="21" t="str">
        <f aca="false">C287&amp;"|"&amp;E287&amp;"|"&amp;G287&amp;"|"&amp;TEXT(AL287,"0.00000")</f>
        <v>3|1|5|-999.00000</v>
      </c>
    </row>
    <row r="288" customFormat="false" ht="15" hidden="false" customHeight="false" outlineLevel="0" collapsed="false">
      <c r="A288" s="20" t="n">
        <v>10</v>
      </c>
      <c r="B288" s="18" t="str">
        <f aca="false">INDEX(C_Name,A288)</f>
        <v>흑석리버파크자이 85㎡</v>
      </c>
      <c r="C288" s="20" t="n">
        <v>3</v>
      </c>
      <c r="D288" s="21" t="str">
        <f aca="false">CHOOSE(C288,"1안 표준형(대출 최대)","2안 절충형(대출 50%)","3안 무대출형","4안 임대차 승계 후 입주","5안 매수 보류(전세 거주)")</f>
        <v>3안 무대출형</v>
      </c>
      <c r="E288" s="20" t="n">
        <v>1</v>
      </c>
      <c r="F288" s="10" t="n">
        <f aca="false">CHOOSE(E288,GrowLo,GrowMid,GrowHi)</f>
        <v>0.02</v>
      </c>
      <c r="G288" s="20" t="n">
        <v>10</v>
      </c>
      <c r="H288" s="18" t="n">
        <f aca="false">INDEX(C_Price,A288)</f>
        <v>23.07</v>
      </c>
      <c r="I288" s="18" t="n">
        <f aca="false">INDEX(C_Jeonse,A288)</f>
        <v>11.9964</v>
      </c>
      <c r="J288" s="21" t="n">
        <f aca="false">IF(C288=5,0,IF(C288=1,INDEX(C_Loan,A288),IF(C288=2,INDEX(C_Loan,A288)*LoanShare2,IF(C288=3,0,MIN(INDEX(C_Loan,A288),I288)))))</f>
        <v>0</v>
      </c>
      <c r="K288" s="18" t="n">
        <f aca="false">IF(C288=5,0,INDEX(C_Acq,A288))</f>
        <v>0.76131</v>
      </c>
      <c r="L288" s="18" t="n">
        <f aca="false">IF(C288=5,0,INDEX(C_Fee,A288))</f>
        <v>0.197639</v>
      </c>
      <c r="M288" s="21" t="n">
        <f aca="false">IF(C288=4,MAX(0,I288-J288),0)</f>
        <v>0</v>
      </c>
      <c r="N288" s="21" t="n">
        <f aca="false">IF(C288=5,I288,IF(C288=4,(H288-I288)+K288+L288+M288,H288-J288+K288+L288))</f>
        <v>24.028949</v>
      </c>
      <c r="O288" s="20" t="n">
        <f aca="false">IF(C288=4,RentYears,0)</f>
        <v>0</v>
      </c>
      <c r="P288" s="20" t="n">
        <f aca="false">IF(C288=5,0,MAX(0,G288-O288-NonRes))</f>
        <v>10</v>
      </c>
      <c r="Q288" s="21" t="n">
        <f aca="false">IF(C288=5,0,H288*(1+F288)^G288)</f>
        <v>28.1222012692791</v>
      </c>
      <c r="R288" s="21" t="n">
        <f aca="false">IF(C288=5,0,Q288*LOOKUP(Q288,FeeLo,FeeR)*(1+VAT))</f>
        <v>0.216540949773449</v>
      </c>
      <c r="S288" s="21" t="n">
        <f aca="false">IF(J288&gt;0,-CUMIPMT(Rm,LoanYears*12,J288,1,(G288-O288)*12,0),0)</f>
        <v>0</v>
      </c>
      <c r="T288" s="29" t="n">
        <f aca="false">IF(C288=5,0,SUMIFS(Sch_Total,Sch_Idx,A288,Sch_Scen,E288,Sch_Year,"&lt;="&amp;G288))</f>
        <v>0.777919318219498</v>
      </c>
      <c r="U288" s="21" t="n">
        <f aca="false">K288+L288+R288</f>
        <v>1.17548994977345</v>
      </c>
      <c r="V288" s="21" t="n">
        <f aca="false">IF(C288=5,0,Q288-H288-U288)</f>
        <v>3.8767113195056</v>
      </c>
      <c r="W288" s="21" t="n">
        <f aca="false">IF(C288=5,0,MAX(0,IF(P288&gt;=2,IF(Q288&gt;Exempt,V288*(Q288-Exempt)/Q288,0),V288)))</f>
        <v>2.22248321023996</v>
      </c>
      <c r="X288" s="10" t="n">
        <f aca="false">IF(P288&gt;=2,MIN(MaxDed,MIN(0.4,HoldRate*G288)+MIN(0.4,LiveRate*P288)),IF(G288&gt;=3,MIN(0.3,0.02*G288),0))</f>
        <v>0.8</v>
      </c>
      <c r="Y288" s="21" t="n">
        <f aca="false">MAX(0,W288*(1-X288)-InitDed)</f>
        <v>0.419496642047993</v>
      </c>
      <c r="Z288" s="29" t="n">
        <f aca="false">SUMPRODUCT((Y288&gt;CLo)*(Y288-CLo)*CD)*(1+LocalTax)</f>
        <v>0.0553569459379188</v>
      </c>
      <c r="AA288" s="21" t="n">
        <f aca="false">K288+T288+Z288</f>
        <v>1.59458626415742</v>
      </c>
      <c r="AB288" s="29" t="n">
        <f aca="false">IF(C288=5,0,(Q288-H288)-K288-L288-R288-S288-T288-Z288)</f>
        <v>3.04343505534819</v>
      </c>
      <c r="AC288" s="21" t="n">
        <f aca="false">IF(C288=5,0,N288*((1+DepRate*(1-DepTax))^G288-1))</f>
        <v>6.84436134347285</v>
      </c>
      <c r="AD288" s="29" t="n">
        <f aca="false">IF(C288=5,0,AB288-AC288+I288*(((1+DepRate*(1-DepTax))^G288-1)-((1+DepRate*(1-DepTax))^O288-1)))</f>
        <v>-0.383893923503233</v>
      </c>
      <c r="AE288" s="30" t="n">
        <f aca="false">IF(J288&gt;0,-PMT(Rm,LoanYears*12,J288)*10000,0)</f>
        <v>0</v>
      </c>
      <c r="AF288" s="21" t="n">
        <f aca="false">IF(J288&gt;0,-PMT((Rate+Stress)/12,LoanYears*12,J288)*12/DSR,0)</f>
        <v>0</v>
      </c>
      <c r="AG288" s="20" t="n">
        <f aca="false">IF(N288&lt;=CapA,1,0)</f>
        <v>0</v>
      </c>
      <c r="AH288" s="20" t="n">
        <f aca="false">IF(N288&lt;=CapB,1,0)</f>
        <v>0</v>
      </c>
      <c r="AI288" s="20" t="n">
        <f aca="false">IF(N288&lt;=CapC,1,0)</f>
        <v>0</v>
      </c>
      <c r="AJ288" s="21" t="n">
        <f aca="false">IF(AG288=1,AD288,-999)</f>
        <v>-999</v>
      </c>
      <c r="AK288" s="21" t="n">
        <f aca="false">IF(AH288=1,AD288,-999)</f>
        <v>-999</v>
      </c>
      <c r="AL288" s="21" t="n">
        <f aca="false">IF(AI288=1,AD288,-999)</f>
        <v>-999</v>
      </c>
      <c r="AM288" s="21" t="str">
        <f aca="false">C288&amp;"|"&amp;E288&amp;"|"&amp;G288&amp;"|"&amp;TEXT(AJ288,"0.00000")</f>
        <v>3|1|10|-999.00000</v>
      </c>
      <c r="AN288" s="21" t="str">
        <f aca="false">C288&amp;"|"&amp;E288&amp;"|"&amp;G288&amp;"|"&amp;TEXT(AK288,"0.00000")</f>
        <v>3|1|10|-999.00000</v>
      </c>
      <c r="AO288" s="21" t="str">
        <f aca="false">C288&amp;"|"&amp;E288&amp;"|"&amp;G288&amp;"|"&amp;TEXT(AL288,"0.00000")</f>
        <v>3|1|10|-999.00000</v>
      </c>
    </row>
    <row r="289" customFormat="false" ht="15" hidden="false" customHeight="false" outlineLevel="0" collapsed="false">
      <c r="A289" s="20" t="n">
        <v>10</v>
      </c>
      <c r="B289" s="18" t="str">
        <f aca="false">INDEX(C_Name,A289)</f>
        <v>흑석리버파크자이 85㎡</v>
      </c>
      <c r="C289" s="20" t="n">
        <v>3</v>
      </c>
      <c r="D289" s="21" t="str">
        <f aca="false">CHOOSE(C289,"1안 표준형(대출 최대)","2안 절충형(대출 50%)","3안 무대출형","4안 임대차 승계 후 입주","5안 매수 보류(전세 거주)")</f>
        <v>3안 무대출형</v>
      </c>
      <c r="E289" s="20" t="n">
        <v>2</v>
      </c>
      <c r="F289" s="10" t="n">
        <f aca="false">CHOOSE(E289,GrowLo,GrowMid,GrowHi)</f>
        <v>0.04</v>
      </c>
      <c r="G289" s="20" t="n">
        <v>5</v>
      </c>
      <c r="H289" s="18" t="n">
        <f aca="false">INDEX(C_Price,A289)</f>
        <v>23.07</v>
      </c>
      <c r="I289" s="18" t="n">
        <f aca="false">INDEX(C_Jeonse,A289)</f>
        <v>11.9964</v>
      </c>
      <c r="J289" s="21" t="n">
        <f aca="false">IF(C289=5,0,IF(C289=1,INDEX(C_Loan,A289),IF(C289=2,INDEX(C_Loan,A289)*LoanShare2,IF(C289=3,0,MIN(INDEX(C_Loan,A289),I289)))))</f>
        <v>0</v>
      </c>
      <c r="K289" s="18" t="n">
        <f aca="false">IF(C289=5,0,INDEX(C_Acq,A289))</f>
        <v>0.76131</v>
      </c>
      <c r="L289" s="18" t="n">
        <f aca="false">IF(C289=5,0,INDEX(C_Fee,A289))</f>
        <v>0.197639</v>
      </c>
      <c r="M289" s="21" t="n">
        <f aca="false">IF(C289=4,MAX(0,I289-J289),0)</f>
        <v>0</v>
      </c>
      <c r="N289" s="21" t="n">
        <f aca="false">IF(C289=5,I289,IF(C289=4,(H289-I289)+K289+L289+M289,H289-J289+K289+L289))</f>
        <v>24.028949</v>
      </c>
      <c r="O289" s="20" t="n">
        <f aca="false">IF(C289=4,RentYears,0)</f>
        <v>0</v>
      </c>
      <c r="P289" s="20" t="n">
        <f aca="false">IF(C289=5,0,MAX(0,G289-O289-NonRes))</f>
        <v>5</v>
      </c>
      <c r="Q289" s="21" t="n">
        <f aca="false">IF(C289=5,0,H289*(1+F289)^G289)</f>
        <v>28.068182458368</v>
      </c>
      <c r="R289" s="21" t="n">
        <f aca="false">IF(C289=5,0,Q289*LOOKUP(Q289,FeeLo,FeeR)*(1+VAT))</f>
        <v>0.216125004929434</v>
      </c>
      <c r="S289" s="21" t="n">
        <f aca="false">IF(J289&gt;0,-CUMIPMT(Rm,LoanYears*12,J289,1,(G289-O289)*12,0),0)</f>
        <v>0</v>
      </c>
      <c r="T289" s="29" t="n">
        <f aca="false">IF(C289=5,0,SUMIFS(Sch_Total,Sch_Idx,A289,Sch_Scen,E289,Sch_Year,"&lt;="&amp;G289))</f>
        <v>0.381273753203989</v>
      </c>
      <c r="U289" s="21" t="n">
        <f aca="false">K289+L289+R289</f>
        <v>1.17507400492943</v>
      </c>
      <c r="V289" s="21" t="n">
        <f aca="false">IF(C289=5,0,Q289-H289-U289)</f>
        <v>3.82310845343857</v>
      </c>
      <c r="W289" s="21" t="n">
        <f aca="false">IF(C289=5,0,MAX(0,IF(P289&gt;=2,IF(Q289&gt;Exempt,V289*(Q289-Exempt)/Q289,0),V289)))</f>
        <v>2.18861354058448</v>
      </c>
      <c r="X289" s="10" t="n">
        <f aca="false">IF(P289&gt;=2,MIN(MaxDed,MIN(0.4,HoldRate*G289)+MIN(0.4,LiveRate*P289)),IF(G289&gt;=3,MIN(0.3,0.02*G289),0))</f>
        <v>0.4</v>
      </c>
      <c r="Y289" s="21" t="n">
        <f aca="false">MAX(0,W289*(1-X289)-InitDed)</f>
        <v>1.28816812435069</v>
      </c>
      <c r="Z289" s="29" t="n">
        <f aca="false">SUMPRODUCT((Y289&gt;CLo)*(Y289-CLo)*CD)*(1+LocalTax)</f>
        <v>0.326104727875015</v>
      </c>
      <c r="AA289" s="21" t="n">
        <f aca="false">K289+T289+Z289</f>
        <v>1.468688481079</v>
      </c>
      <c r="AB289" s="29" t="n">
        <f aca="false">IF(C289=5,0,(Q289-H289)-K289-L289-R289-S289-T289-Z289)</f>
        <v>3.11572997235957</v>
      </c>
      <c r="AC289" s="21" t="n">
        <f aca="false">IF(C289=5,0,N289*((1+DepRate*(1-DepTax))^G289-1))</f>
        <v>3.20803320626657</v>
      </c>
      <c r="AD289" s="29" t="n">
        <f aca="false">IF(C289=5,0,AB289-AC289+I289*(((1+DepRate*(1-DepTax))^G289-1)-((1+DepRate*(1-DepTax))^O289-1)))</f>
        <v>1.50930029672</v>
      </c>
      <c r="AE289" s="30" t="n">
        <f aca="false">IF(J289&gt;0,-PMT(Rm,LoanYears*12,J289)*10000,0)</f>
        <v>0</v>
      </c>
      <c r="AF289" s="21" t="n">
        <f aca="false">IF(J289&gt;0,-PMT((Rate+Stress)/12,LoanYears*12,J289)*12/DSR,0)</f>
        <v>0</v>
      </c>
      <c r="AG289" s="20" t="n">
        <f aca="false">IF(N289&lt;=CapA,1,0)</f>
        <v>0</v>
      </c>
      <c r="AH289" s="20" t="n">
        <f aca="false">IF(N289&lt;=CapB,1,0)</f>
        <v>0</v>
      </c>
      <c r="AI289" s="20" t="n">
        <f aca="false">IF(N289&lt;=CapC,1,0)</f>
        <v>0</v>
      </c>
      <c r="AJ289" s="21" t="n">
        <f aca="false">IF(AG289=1,AD289,-999)</f>
        <v>-999</v>
      </c>
      <c r="AK289" s="21" t="n">
        <f aca="false">IF(AH289=1,AD289,-999)</f>
        <v>-999</v>
      </c>
      <c r="AL289" s="21" t="n">
        <f aca="false">IF(AI289=1,AD289,-999)</f>
        <v>-999</v>
      </c>
      <c r="AM289" s="21" t="str">
        <f aca="false">C289&amp;"|"&amp;E289&amp;"|"&amp;G289&amp;"|"&amp;TEXT(AJ289,"0.00000")</f>
        <v>3|2|5|-999.00000</v>
      </c>
      <c r="AN289" s="21" t="str">
        <f aca="false">C289&amp;"|"&amp;E289&amp;"|"&amp;G289&amp;"|"&amp;TEXT(AK289,"0.00000")</f>
        <v>3|2|5|-999.00000</v>
      </c>
      <c r="AO289" s="21" t="str">
        <f aca="false">C289&amp;"|"&amp;E289&amp;"|"&amp;G289&amp;"|"&amp;TEXT(AL289,"0.00000")</f>
        <v>3|2|5|-999.00000</v>
      </c>
    </row>
    <row r="290" customFormat="false" ht="15" hidden="false" customHeight="false" outlineLevel="0" collapsed="false">
      <c r="A290" s="20" t="n">
        <v>10</v>
      </c>
      <c r="B290" s="18" t="str">
        <f aca="false">INDEX(C_Name,A290)</f>
        <v>흑석리버파크자이 85㎡</v>
      </c>
      <c r="C290" s="20" t="n">
        <v>3</v>
      </c>
      <c r="D290" s="21" t="str">
        <f aca="false">CHOOSE(C290,"1안 표준형(대출 최대)","2안 절충형(대출 50%)","3안 무대출형","4안 임대차 승계 후 입주","5안 매수 보류(전세 거주)")</f>
        <v>3안 무대출형</v>
      </c>
      <c r="E290" s="20" t="n">
        <v>2</v>
      </c>
      <c r="F290" s="10" t="n">
        <f aca="false">CHOOSE(E290,GrowLo,GrowMid,GrowHi)</f>
        <v>0.04</v>
      </c>
      <c r="G290" s="20" t="n">
        <v>10</v>
      </c>
      <c r="H290" s="18" t="n">
        <f aca="false">INDEX(C_Price,A290)</f>
        <v>23.07</v>
      </c>
      <c r="I290" s="18" t="n">
        <f aca="false">INDEX(C_Jeonse,A290)</f>
        <v>11.9964</v>
      </c>
      <c r="J290" s="21" t="n">
        <f aca="false">IF(C290=5,0,IF(C290=1,INDEX(C_Loan,A290),IF(C290=2,INDEX(C_Loan,A290)*LoanShare2,IF(C290=3,0,MIN(INDEX(C_Loan,A290),I290)))))</f>
        <v>0</v>
      </c>
      <c r="K290" s="18" t="n">
        <f aca="false">IF(C290=5,0,INDEX(C_Acq,A290))</f>
        <v>0.76131</v>
      </c>
      <c r="L290" s="18" t="n">
        <f aca="false">IF(C290=5,0,INDEX(C_Fee,A290))</f>
        <v>0.197639</v>
      </c>
      <c r="M290" s="21" t="n">
        <f aca="false">IF(C290=4,MAX(0,I290-J290),0)</f>
        <v>0</v>
      </c>
      <c r="N290" s="21" t="n">
        <f aca="false">IF(C290=5,I290,IF(C290=4,(H290-I290)+K290+L290+M290,H290-J290+K290+L290))</f>
        <v>24.028949</v>
      </c>
      <c r="O290" s="20" t="n">
        <f aca="false">IF(C290=4,RentYears,0)</f>
        <v>0</v>
      </c>
      <c r="P290" s="20" t="n">
        <f aca="false">IF(C290=5,0,MAX(0,G290-O290-NonRes))</f>
        <v>10</v>
      </c>
      <c r="Q290" s="21" t="n">
        <f aca="false">IF(C290=5,0,H290*(1+F290)^G290)</f>
        <v>34.1492356530662</v>
      </c>
      <c r="R290" s="21" t="n">
        <f aca="false">IF(C290=5,0,Q290*LOOKUP(Q290,FeeLo,FeeR)*(1+VAT))</f>
        <v>0.26294911452861</v>
      </c>
      <c r="S290" s="21" t="n">
        <f aca="false">IF(J290&gt;0,-CUMIPMT(Rm,LoanYears*12,J290,1,(G290-O290)*12,0),0)</f>
        <v>0</v>
      </c>
      <c r="T290" s="29" t="n">
        <f aca="false">IF(C290=5,0,SUMIFS(Sch_Total,Sch_Idx,A290,Sch_Scen,E290,Sch_Year,"&lt;="&amp;G290))</f>
        <v>0.925400183009958</v>
      </c>
      <c r="U290" s="21" t="n">
        <f aca="false">K290+L290+R290</f>
        <v>1.22189811452861</v>
      </c>
      <c r="V290" s="21" t="n">
        <f aca="false">IF(C290=5,0,Q290-H290-U290)</f>
        <v>9.8573375385376</v>
      </c>
      <c r="W290" s="21" t="n">
        <f aca="false">IF(C290=5,0,MAX(0,IF(P290&gt;=2,IF(Q290&gt;Exempt,V290*(Q290-Exempt)/Q290,0),V290)))</f>
        <v>6.39348108025021</v>
      </c>
      <c r="X290" s="10" t="n">
        <f aca="false">IF(P290&gt;=2,MIN(MaxDed,MIN(0.4,HoldRate*G290)+MIN(0.4,LiveRate*P290)),IF(G290&gt;=3,MIN(0.3,0.02*G290),0))</f>
        <v>0.8</v>
      </c>
      <c r="Y290" s="21" t="n">
        <f aca="false">MAX(0,W290*(1-X290)-InitDed)</f>
        <v>1.25369621605004</v>
      </c>
      <c r="Z290" s="29" t="n">
        <f aca="false">SUMPRODUCT((Y290&gt;CLo)*(Y290-CLo)*CD)*(1+LocalTax)</f>
        <v>0.312833043179266</v>
      </c>
      <c r="AA290" s="21" t="n">
        <f aca="false">K290+T290+Z290</f>
        <v>1.99954322618922</v>
      </c>
      <c r="AB290" s="29" t="n">
        <f aca="false">IF(C290=5,0,(Q290-H290)-K290-L290-R290-S290-T290-Z290)</f>
        <v>8.61910431234837</v>
      </c>
      <c r="AC290" s="21" t="n">
        <f aca="false">IF(C290=5,0,N290*((1+DepRate*(1-DepTax))^G290-1))</f>
        <v>6.84436134347285</v>
      </c>
      <c r="AD290" s="29" t="n">
        <f aca="false">IF(C290=5,0,AB290-AC290+I290*(((1+DepRate*(1-DepTax))^G290-1)-((1+DepRate*(1-DepTax))^O290-1)))</f>
        <v>5.19177533349695</v>
      </c>
      <c r="AE290" s="30" t="n">
        <f aca="false">IF(J290&gt;0,-PMT(Rm,LoanYears*12,J290)*10000,0)</f>
        <v>0</v>
      </c>
      <c r="AF290" s="21" t="n">
        <f aca="false">IF(J290&gt;0,-PMT((Rate+Stress)/12,LoanYears*12,J290)*12/DSR,0)</f>
        <v>0</v>
      </c>
      <c r="AG290" s="20" t="n">
        <f aca="false">IF(N290&lt;=CapA,1,0)</f>
        <v>0</v>
      </c>
      <c r="AH290" s="20" t="n">
        <f aca="false">IF(N290&lt;=CapB,1,0)</f>
        <v>0</v>
      </c>
      <c r="AI290" s="20" t="n">
        <f aca="false">IF(N290&lt;=CapC,1,0)</f>
        <v>0</v>
      </c>
      <c r="AJ290" s="21" t="n">
        <f aca="false">IF(AG290=1,AD290,-999)</f>
        <v>-999</v>
      </c>
      <c r="AK290" s="21" t="n">
        <f aca="false">IF(AH290=1,AD290,-999)</f>
        <v>-999</v>
      </c>
      <c r="AL290" s="21" t="n">
        <f aca="false">IF(AI290=1,AD290,-999)</f>
        <v>-999</v>
      </c>
      <c r="AM290" s="21" t="str">
        <f aca="false">C290&amp;"|"&amp;E290&amp;"|"&amp;G290&amp;"|"&amp;TEXT(AJ290,"0.00000")</f>
        <v>3|2|10|-999.00000</v>
      </c>
      <c r="AN290" s="21" t="str">
        <f aca="false">C290&amp;"|"&amp;E290&amp;"|"&amp;G290&amp;"|"&amp;TEXT(AK290,"0.00000")</f>
        <v>3|2|10|-999.00000</v>
      </c>
      <c r="AO290" s="21" t="str">
        <f aca="false">C290&amp;"|"&amp;E290&amp;"|"&amp;G290&amp;"|"&amp;TEXT(AL290,"0.00000")</f>
        <v>3|2|10|-999.00000</v>
      </c>
    </row>
    <row r="291" customFormat="false" ht="15" hidden="false" customHeight="false" outlineLevel="0" collapsed="false">
      <c r="A291" s="20" t="n">
        <v>10</v>
      </c>
      <c r="B291" s="18" t="str">
        <f aca="false">INDEX(C_Name,A291)</f>
        <v>흑석리버파크자이 85㎡</v>
      </c>
      <c r="C291" s="20" t="n">
        <v>3</v>
      </c>
      <c r="D291" s="21" t="str">
        <f aca="false">CHOOSE(C291,"1안 표준형(대출 최대)","2안 절충형(대출 50%)","3안 무대출형","4안 임대차 승계 후 입주","5안 매수 보류(전세 거주)")</f>
        <v>3안 무대출형</v>
      </c>
      <c r="E291" s="20" t="n">
        <v>3</v>
      </c>
      <c r="F291" s="10" t="n">
        <f aca="false">CHOOSE(E291,GrowLo,GrowMid,GrowHi)</f>
        <v>0.06</v>
      </c>
      <c r="G291" s="20" t="n">
        <v>5</v>
      </c>
      <c r="H291" s="18" t="n">
        <f aca="false">INDEX(C_Price,A291)</f>
        <v>23.07</v>
      </c>
      <c r="I291" s="18" t="n">
        <f aca="false">INDEX(C_Jeonse,A291)</f>
        <v>11.9964</v>
      </c>
      <c r="J291" s="21" t="n">
        <f aca="false">IF(C291=5,0,IF(C291=1,INDEX(C_Loan,A291),IF(C291=2,INDEX(C_Loan,A291)*LoanShare2,IF(C291=3,0,MIN(INDEX(C_Loan,A291),I291)))))</f>
        <v>0</v>
      </c>
      <c r="K291" s="18" t="n">
        <f aca="false">IF(C291=5,0,INDEX(C_Acq,A291))</f>
        <v>0.76131</v>
      </c>
      <c r="L291" s="18" t="n">
        <f aca="false">IF(C291=5,0,INDEX(C_Fee,A291))</f>
        <v>0.197639</v>
      </c>
      <c r="M291" s="21" t="n">
        <f aca="false">IF(C291=4,MAX(0,I291-J291),0)</f>
        <v>0</v>
      </c>
      <c r="N291" s="21" t="n">
        <f aca="false">IF(C291=5,I291,IF(C291=4,(H291-I291)+K291+L291+M291,H291-J291+K291+L291))</f>
        <v>24.028949</v>
      </c>
      <c r="O291" s="20" t="n">
        <f aca="false">IF(C291=4,RentYears,0)</f>
        <v>0</v>
      </c>
      <c r="P291" s="20" t="n">
        <f aca="false">IF(C291=5,0,MAX(0,G291-O291-NonRes))</f>
        <v>5</v>
      </c>
      <c r="Q291" s="21" t="n">
        <f aca="false">IF(C291=5,0,H291*(1+F291)^G291)</f>
        <v>30.872864075232</v>
      </c>
      <c r="R291" s="21" t="n">
        <f aca="false">IF(C291=5,0,Q291*LOOKUP(Q291,FeeLo,FeeR)*(1+VAT))</f>
        <v>0.237721053379286</v>
      </c>
      <c r="S291" s="21" t="n">
        <f aca="false">IF(J291&gt;0,-CUMIPMT(Rm,LoanYears*12,J291,1,(G291-O291)*12,0),0)</f>
        <v>0</v>
      </c>
      <c r="T291" s="29" t="n">
        <f aca="false">IF(C291=5,0,SUMIFS(Sch_Total,Sch_Idx,A291,Sch_Scen,E291,Sch_Year,"&lt;="&amp;G291))</f>
        <v>0.411600481818872</v>
      </c>
      <c r="U291" s="21" t="n">
        <f aca="false">K291+L291+R291</f>
        <v>1.19667005337929</v>
      </c>
      <c r="V291" s="21" t="n">
        <f aca="false">IF(C291=5,0,Q291-H291-U291)</f>
        <v>6.60619402185272</v>
      </c>
      <c r="W291" s="21" t="n">
        <f aca="false">IF(C291=5,0,MAX(0,IF(P291&gt;=2,IF(Q291&gt;Exempt,V291*(Q291-Exempt)/Q291,0),V291)))</f>
        <v>4.03842680501614</v>
      </c>
      <c r="X291" s="10" t="n">
        <f aca="false">IF(P291&gt;=2,MIN(MaxDed,MIN(0.4,HoldRate*G291)+MIN(0.4,LiveRate*P291)),IF(G291&gt;=3,MIN(0.3,0.02*G291),0))</f>
        <v>0.4</v>
      </c>
      <c r="Y291" s="21" t="n">
        <f aca="false">MAX(0,W291*(1-X291)-InitDed)</f>
        <v>2.39805608300968</v>
      </c>
      <c r="Z291" s="29" t="n">
        <f aca="false">SUMPRODUCT((Y291&gt;CLo)*(Y291-CLo)*CD)*(1+LocalTax)</f>
        <v>0.783047442698047</v>
      </c>
      <c r="AA291" s="21" t="n">
        <f aca="false">K291+T291+Z291</f>
        <v>1.95595792451692</v>
      </c>
      <c r="AB291" s="29" t="n">
        <f aca="false">IF(C291=5,0,(Q291-H291)-K291-L291-R291-S291-T291-Z291)</f>
        <v>5.4115460973358</v>
      </c>
      <c r="AC291" s="21" t="n">
        <f aca="false">IF(C291=5,0,N291*((1+DepRate*(1-DepTax))^G291-1))</f>
        <v>3.20803320626657</v>
      </c>
      <c r="AD291" s="29" t="n">
        <f aca="false">IF(C291=5,0,AB291-AC291+I291*(((1+DepRate*(1-DepTax))^G291-1)-((1+DepRate*(1-DepTax))^O291-1)))</f>
        <v>3.80511642169624</v>
      </c>
      <c r="AE291" s="30" t="n">
        <f aca="false">IF(J291&gt;0,-PMT(Rm,LoanYears*12,J291)*10000,0)</f>
        <v>0</v>
      </c>
      <c r="AF291" s="21" t="n">
        <f aca="false">IF(J291&gt;0,-PMT((Rate+Stress)/12,LoanYears*12,J291)*12/DSR,0)</f>
        <v>0</v>
      </c>
      <c r="AG291" s="20" t="n">
        <f aca="false">IF(N291&lt;=CapA,1,0)</f>
        <v>0</v>
      </c>
      <c r="AH291" s="20" t="n">
        <f aca="false">IF(N291&lt;=CapB,1,0)</f>
        <v>0</v>
      </c>
      <c r="AI291" s="20" t="n">
        <f aca="false">IF(N291&lt;=CapC,1,0)</f>
        <v>0</v>
      </c>
      <c r="AJ291" s="21" t="n">
        <f aca="false">IF(AG291=1,AD291,-999)</f>
        <v>-999</v>
      </c>
      <c r="AK291" s="21" t="n">
        <f aca="false">IF(AH291=1,AD291,-999)</f>
        <v>-999</v>
      </c>
      <c r="AL291" s="21" t="n">
        <f aca="false">IF(AI291=1,AD291,-999)</f>
        <v>-999</v>
      </c>
      <c r="AM291" s="21" t="str">
        <f aca="false">C291&amp;"|"&amp;E291&amp;"|"&amp;G291&amp;"|"&amp;TEXT(AJ291,"0.00000")</f>
        <v>3|3|5|-999.00000</v>
      </c>
      <c r="AN291" s="21" t="str">
        <f aca="false">C291&amp;"|"&amp;E291&amp;"|"&amp;G291&amp;"|"&amp;TEXT(AK291,"0.00000")</f>
        <v>3|3|5|-999.00000</v>
      </c>
      <c r="AO291" s="21" t="str">
        <f aca="false">C291&amp;"|"&amp;E291&amp;"|"&amp;G291&amp;"|"&amp;TEXT(AL291,"0.00000")</f>
        <v>3|3|5|-999.00000</v>
      </c>
    </row>
    <row r="292" customFormat="false" ht="15" hidden="false" customHeight="false" outlineLevel="0" collapsed="false">
      <c r="A292" s="20" t="n">
        <v>10</v>
      </c>
      <c r="B292" s="18" t="str">
        <f aca="false">INDEX(C_Name,A292)</f>
        <v>흑석리버파크자이 85㎡</v>
      </c>
      <c r="C292" s="20" t="n">
        <v>3</v>
      </c>
      <c r="D292" s="21" t="str">
        <f aca="false">CHOOSE(C292,"1안 표준형(대출 최대)","2안 절충형(대출 50%)","3안 무대출형","4안 임대차 승계 후 입주","5안 매수 보류(전세 거주)")</f>
        <v>3안 무대출형</v>
      </c>
      <c r="E292" s="20" t="n">
        <v>3</v>
      </c>
      <c r="F292" s="10" t="n">
        <f aca="false">CHOOSE(E292,GrowLo,GrowMid,GrowHi)</f>
        <v>0.06</v>
      </c>
      <c r="G292" s="20" t="n">
        <v>10</v>
      </c>
      <c r="H292" s="18" t="n">
        <f aca="false">INDEX(C_Price,A292)</f>
        <v>23.07</v>
      </c>
      <c r="I292" s="18" t="n">
        <f aca="false">INDEX(C_Jeonse,A292)</f>
        <v>11.9964</v>
      </c>
      <c r="J292" s="21" t="n">
        <f aca="false">IF(C292=5,0,IF(C292=1,INDEX(C_Loan,A292),IF(C292=2,INDEX(C_Loan,A292)*LoanShare2,IF(C292=3,0,MIN(INDEX(C_Loan,A292),I292)))))</f>
        <v>0</v>
      </c>
      <c r="K292" s="18" t="n">
        <f aca="false">IF(C292=5,0,INDEX(C_Acq,A292))</f>
        <v>0.76131</v>
      </c>
      <c r="L292" s="18" t="n">
        <f aca="false">IF(C292=5,0,INDEX(C_Fee,A292))</f>
        <v>0.197639</v>
      </c>
      <c r="M292" s="21" t="n">
        <f aca="false">IF(C292=4,MAX(0,I292-J292),0)</f>
        <v>0</v>
      </c>
      <c r="N292" s="21" t="n">
        <f aca="false">IF(C292=5,I292,IF(C292=4,(H292-I292)+K292+L292+M292,H292-J292+K292+L292))</f>
        <v>24.028949</v>
      </c>
      <c r="O292" s="20" t="n">
        <f aca="false">IF(C292=4,RentYears,0)</f>
        <v>0</v>
      </c>
      <c r="P292" s="20" t="n">
        <f aca="false">IF(C292=5,0,MAX(0,G292-O292-NonRes))</f>
        <v>10</v>
      </c>
      <c r="Q292" s="21" t="n">
        <f aca="false">IF(C292=5,0,H292*(1+F292)^G292)</f>
        <v>41.3148563592437</v>
      </c>
      <c r="R292" s="21" t="n">
        <f aca="false">IF(C292=5,0,Q292*LOOKUP(Q292,FeeLo,FeeR)*(1+VAT))</f>
        <v>0.318124393966176</v>
      </c>
      <c r="S292" s="21" t="n">
        <f aca="false">IF(J292&gt;0,-CUMIPMT(Rm,LoanYears*12,J292,1,(G292-O292)*12,0),0)</f>
        <v>0</v>
      </c>
      <c r="T292" s="29" t="n">
        <f aca="false">IF(C292=5,0,SUMIFS(Sch_Total,Sch_Idx,A292,Sch_Scen,E292,Sch_Year,"&lt;="&amp;G292))</f>
        <v>1.11061295622733</v>
      </c>
      <c r="U292" s="21" t="n">
        <f aca="false">K292+L292+R292</f>
        <v>1.27707339396618</v>
      </c>
      <c r="V292" s="21" t="n">
        <f aca="false">IF(C292=5,0,Q292-H292-U292)</f>
        <v>16.9677829652775</v>
      </c>
      <c r="W292" s="21" t="n">
        <f aca="false">IF(C292=5,0,MAX(0,IF(P292&gt;=2,IF(Q292&gt;Exempt,V292*(Q292-Exempt)/Q292,0),V292)))</f>
        <v>12.0394493456987</v>
      </c>
      <c r="X292" s="10" t="n">
        <f aca="false">IF(P292&gt;=2,MIN(MaxDed,MIN(0.4,HoldRate*G292)+MIN(0.4,LiveRate*P292)),IF(G292&gt;=3,MIN(0.3,0.02*G292),0))</f>
        <v>0.8</v>
      </c>
      <c r="Y292" s="21" t="n">
        <f aca="false">MAX(0,W292*(1-X292)-InitDed)</f>
        <v>2.38288986913973</v>
      </c>
      <c r="Z292" s="29" t="n">
        <f aca="false">SUMPRODUCT((Y292&gt;CLo)*(Y292-CLo)*CD)*(1+LocalTax)</f>
        <v>0.776707965300409</v>
      </c>
      <c r="AA292" s="21" t="n">
        <f aca="false">K292+T292+Z292</f>
        <v>2.64863092152774</v>
      </c>
      <c r="AB292" s="29" t="n">
        <f aca="false">IF(C292=5,0,(Q292-H292)-K292-L292-R292-S292-T292-Z292)</f>
        <v>15.0804620437497</v>
      </c>
      <c r="AC292" s="21" t="n">
        <f aca="false">IF(C292=5,0,N292*((1+DepRate*(1-DepTax))^G292-1))</f>
        <v>6.84436134347285</v>
      </c>
      <c r="AD292" s="29" t="n">
        <f aca="false">IF(C292=5,0,AB292-AC292+I292*(((1+DepRate*(1-DepTax))^G292-1)-((1+DepRate*(1-DepTax))^O292-1)))</f>
        <v>11.6531330648983</v>
      </c>
      <c r="AE292" s="30" t="n">
        <f aca="false">IF(J292&gt;0,-PMT(Rm,LoanYears*12,J292)*10000,0)</f>
        <v>0</v>
      </c>
      <c r="AF292" s="21" t="n">
        <f aca="false">IF(J292&gt;0,-PMT((Rate+Stress)/12,LoanYears*12,J292)*12/DSR,0)</f>
        <v>0</v>
      </c>
      <c r="AG292" s="20" t="n">
        <f aca="false">IF(N292&lt;=CapA,1,0)</f>
        <v>0</v>
      </c>
      <c r="AH292" s="20" t="n">
        <f aca="false">IF(N292&lt;=CapB,1,0)</f>
        <v>0</v>
      </c>
      <c r="AI292" s="20" t="n">
        <f aca="false">IF(N292&lt;=CapC,1,0)</f>
        <v>0</v>
      </c>
      <c r="AJ292" s="21" t="n">
        <f aca="false">IF(AG292=1,AD292,-999)</f>
        <v>-999</v>
      </c>
      <c r="AK292" s="21" t="n">
        <f aca="false">IF(AH292=1,AD292,-999)</f>
        <v>-999</v>
      </c>
      <c r="AL292" s="21" t="n">
        <f aca="false">IF(AI292=1,AD292,-999)</f>
        <v>-999</v>
      </c>
      <c r="AM292" s="21" t="str">
        <f aca="false">C292&amp;"|"&amp;E292&amp;"|"&amp;G292&amp;"|"&amp;TEXT(AJ292,"0.00000")</f>
        <v>3|3|10|-999.00000</v>
      </c>
      <c r="AN292" s="21" t="str">
        <f aca="false">C292&amp;"|"&amp;E292&amp;"|"&amp;G292&amp;"|"&amp;TEXT(AK292,"0.00000")</f>
        <v>3|3|10|-999.00000</v>
      </c>
      <c r="AO292" s="21" t="str">
        <f aca="false">C292&amp;"|"&amp;E292&amp;"|"&amp;G292&amp;"|"&amp;TEXT(AL292,"0.00000")</f>
        <v>3|3|10|-999.00000</v>
      </c>
    </row>
    <row r="293" customFormat="false" ht="15" hidden="false" customHeight="false" outlineLevel="0" collapsed="false">
      <c r="A293" s="20" t="n">
        <v>10</v>
      </c>
      <c r="B293" s="18" t="str">
        <f aca="false">INDEX(C_Name,A293)</f>
        <v>흑석리버파크자이 85㎡</v>
      </c>
      <c r="C293" s="20" t="n">
        <v>4</v>
      </c>
      <c r="D293" s="21" t="str">
        <f aca="false">CHOOSE(C293,"1안 표준형(대출 최대)","2안 절충형(대출 50%)","3안 무대출형","4안 임대차 승계 후 입주","5안 매수 보류(전세 거주)")</f>
        <v>4안 임대차 승계 후 입주</v>
      </c>
      <c r="E293" s="20" t="n">
        <v>1</v>
      </c>
      <c r="F293" s="10" t="n">
        <f aca="false">CHOOSE(E293,GrowLo,GrowMid,GrowHi)</f>
        <v>0.02</v>
      </c>
      <c r="G293" s="20" t="n">
        <v>5</v>
      </c>
      <c r="H293" s="18" t="n">
        <f aca="false">INDEX(C_Price,A293)</f>
        <v>23.07</v>
      </c>
      <c r="I293" s="18" t="n">
        <f aca="false">INDEX(C_Jeonse,A293)</f>
        <v>11.9964</v>
      </c>
      <c r="J293" s="21" t="n">
        <f aca="false">IF(C293=5,0,IF(C293=1,INDEX(C_Loan,A293),IF(C293=2,INDEX(C_Loan,A293)*LoanShare2,IF(C293=3,0,MIN(INDEX(C_Loan,A293),I293)))))</f>
        <v>4</v>
      </c>
      <c r="K293" s="18" t="n">
        <f aca="false">IF(C293=5,0,INDEX(C_Acq,A293))</f>
        <v>0.76131</v>
      </c>
      <c r="L293" s="18" t="n">
        <f aca="false">IF(C293=5,0,INDEX(C_Fee,A293))</f>
        <v>0.197639</v>
      </c>
      <c r="M293" s="21" t="n">
        <f aca="false">IF(C293=4,MAX(0,I293-J293),0)</f>
        <v>7.9964</v>
      </c>
      <c r="N293" s="21" t="n">
        <f aca="false">IF(C293=5,I293,IF(C293=4,(H293-I293)+K293+L293+M293,H293-J293+K293+L293))</f>
        <v>20.028949</v>
      </c>
      <c r="O293" s="20" t="n">
        <f aca="false">IF(C293=4,RentYears,0)</f>
        <v>2</v>
      </c>
      <c r="P293" s="20" t="n">
        <f aca="false">IF(C293=5,0,MAX(0,G293-O293-NonRes))</f>
        <v>3</v>
      </c>
      <c r="Q293" s="21" t="n">
        <f aca="false">IF(C293=5,0,H293*(1+F293)^G293)</f>
        <v>25.471144129824</v>
      </c>
      <c r="R293" s="21" t="n">
        <f aca="false">IF(C293=5,0,Q293*LOOKUP(Q293,FeeLo,FeeR)*(1+VAT))</f>
        <v>0.196127809799645</v>
      </c>
      <c r="S293" s="21" t="n">
        <f aca="false">IF(J293&gt;0,-CUMIPMT(Rm,LoanYears*12,J293,1,(G293-O293)*12,0),0)</f>
        <v>0.467427048612969</v>
      </c>
      <c r="T293" s="29" t="n">
        <f aca="false">IF(C293=5,0,SUMIFS(Sch_Total,Sch_Idx,A293,Sch_Scen,E293,Sch_Year,"&lt;="&amp;G293))</f>
        <v>0.352916829533393</v>
      </c>
      <c r="U293" s="21" t="n">
        <f aca="false">K293+L293+R293</f>
        <v>1.15507680979964</v>
      </c>
      <c r="V293" s="21" t="n">
        <f aca="false">IF(C293=5,0,Q293-H293-U293)</f>
        <v>1.24606732002436</v>
      </c>
      <c r="W293" s="21" t="n">
        <f aca="false">IF(C293=5,0,MAX(0,IF(P293&gt;=2,IF(Q293&gt;Exempt,V293*(Q293-Exempt)/Q293,0),V293)))</f>
        <v>0.659018392654654</v>
      </c>
      <c r="X293" s="10" t="n">
        <f aca="false">IF(P293&gt;=2,MIN(MaxDed,MIN(0.4,HoldRate*G293)+MIN(0.4,LiveRate*P293)),IF(G293&gt;=3,MIN(0.3,0.02*G293),0))</f>
        <v>0.32</v>
      </c>
      <c r="Y293" s="21" t="n">
        <f aca="false">MAX(0,W293*(1-X293)-InitDed)</f>
        <v>0.423132507005164</v>
      </c>
      <c r="Z293" s="29" t="n">
        <f aca="false">SUMPRODUCT((Y293&gt;CLo)*(Y293-CLo)*CD)*(1+LocalTax)</f>
        <v>0.0559568636558521</v>
      </c>
      <c r="AA293" s="21" t="n">
        <f aca="false">K293+T293+Z293</f>
        <v>1.17018369318925</v>
      </c>
      <c r="AB293" s="29" t="n">
        <f aca="false">IF(C293=5,0,(Q293-H293)-K293-L293-R293-S293-T293-Z293)</f>
        <v>0.369766578222142</v>
      </c>
      <c r="AC293" s="21" t="n">
        <f aca="false">IF(C293=5,0,N293*((1+DepRate*(1-DepTax))^G293-1))</f>
        <v>2.67400515430865</v>
      </c>
      <c r="AD293" s="29" t="n">
        <f aca="false">IF(C293=5,0,AB293-AC293+I293*(((1+DepRate*(1-DepTax))^G293-1)-((1+DepRate*(1-DepTax))^O293-1)))</f>
        <v>-1.31929972333966</v>
      </c>
      <c r="AE293" s="30" t="n">
        <f aca="false">IF(J293&gt;0,-PMT(Rm,LoanYears*12,J293)*10000,0)</f>
        <v>190.966118186184</v>
      </c>
      <c r="AF293" s="21" t="n">
        <f aca="false">IF(J293&gt;0,-PMT((Rate+Stress)/12,LoanYears*12,J293)*12/DSR,0)</f>
        <v>0.79836299421502</v>
      </c>
      <c r="AG293" s="20" t="n">
        <f aca="false">IF(N293&lt;=CapA,1,0)</f>
        <v>0</v>
      </c>
      <c r="AH293" s="20" t="n">
        <f aca="false">IF(N293&lt;=CapB,1,0)</f>
        <v>0</v>
      </c>
      <c r="AI293" s="20" t="n">
        <f aca="false">IF(N293&lt;=CapC,1,0)</f>
        <v>0</v>
      </c>
      <c r="AJ293" s="21" t="n">
        <f aca="false">IF(AG293=1,AD293,-999)</f>
        <v>-999</v>
      </c>
      <c r="AK293" s="21" t="n">
        <f aca="false">IF(AH293=1,AD293,-999)</f>
        <v>-999</v>
      </c>
      <c r="AL293" s="21" t="n">
        <f aca="false">IF(AI293=1,AD293,-999)</f>
        <v>-999</v>
      </c>
      <c r="AM293" s="21" t="str">
        <f aca="false">C293&amp;"|"&amp;E293&amp;"|"&amp;G293&amp;"|"&amp;TEXT(AJ293,"0.00000")</f>
        <v>4|1|5|-999.00000</v>
      </c>
      <c r="AN293" s="21" t="str">
        <f aca="false">C293&amp;"|"&amp;E293&amp;"|"&amp;G293&amp;"|"&amp;TEXT(AK293,"0.00000")</f>
        <v>4|1|5|-999.00000</v>
      </c>
      <c r="AO293" s="21" t="str">
        <f aca="false">C293&amp;"|"&amp;E293&amp;"|"&amp;G293&amp;"|"&amp;TEXT(AL293,"0.00000")</f>
        <v>4|1|5|-999.00000</v>
      </c>
    </row>
    <row r="294" customFormat="false" ht="15" hidden="false" customHeight="false" outlineLevel="0" collapsed="false">
      <c r="A294" s="20" t="n">
        <v>10</v>
      </c>
      <c r="B294" s="18" t="str">
        <f aca="false">INDEX(C_Name,A294)</f>
        <v>흑석리버파크자이 85㎡</v>
      </c>
      <c r="C294" s="20" t="n">
        <v>4</v>
      </c>
      <c r="D294" s="21" t="str">
        <f aca="false">CHOOSE(C294,"1안 표준형(대출 최대)","2안 절충형(대출 50%)","3안 무대출형","4안 임대차 승계 후 입주","5안 매수 보류(전세 거주)")</f>
        <v>4안 임대차 승계 후 입주</v>
      </c>
      <c r="E294" s="20" t="n">
        <v>1</v>
      </c>
      <c r="F294" s="10" t="n">
        <f aca="false">CHOOSE(E294,GrowLo,GrowMid,GrowHi)</f>
        <v>0.02</v>
      </c>
      <c r="G294" s="20" t="n">
        <v>10</v>
      </c>
      <c r="H294" s="18" t="n">
        <f aca="false">INDEX(C_Price,A294)</f>
        <v>23.07</v>
      </c>
      <c r="I294" s="18" t="n">
        <f aca="false">INDEX(C_Jeonse,A294)</f>
        <v>11.9964</v>
      </c>
      <c r="J294" s="21" t="n">
        <f aca="false">IF(C294=5,0,IF(C294=1,INDEX(C_Loan,A294),IF(C294=2,INDEX(C_Loan,A294)*LoanShare2,IF(C294=3,0,MIN(INDEX(C_Loan,A294),I294)))))</f>
        <v>4</v>
      </c>
      <c r="K294" s="18" t="n">
        <f aca="false">IF(C294=5,0,INDEX(C_Acq,A294))</f>
        <v>0.76131</v>
      </c>
      <c r="L294" s="18" t="n">
        <f aca="false">IF(C294=5,0,INDEX(C_Fee,A294))</f>
        <v>0.197639</v>
      </c>
      <c r="M294" s="21" t="n">
        <f aca="false">IF(C294=4,MAX(0,I294-J294),0)</f>
        <v>7.9964</v>
      </c>
      <c r="N294" s="21" t="n">
        <f aca="false">IF(C294=5,I294,IF(C294=4,(H294-I294)+K294+L294+M294,H294-J294+K294+L294))</f>
        <v>20.028949</v>
      </c>
      <c r="O294" s="20" t="n">
        <f aca="false">IF(C294=4,RentYears,0)</f>
        <v>2</v>
      </c>
      <c r="P294" s="20" t="n">
        <f aca="false">IF(C294=5,0,MAX(0,G294-O294-NonRes))</f>
        <v>8</v>
      </c>
      <c r="Q294" s="21" t="n">
        <f aca="false">IF(C294=5,0,H294*(1+F294)^G294)</f>
        <v>28.1222012692791</v>
      </c>
      <c r="R294" s="21" t="n">
        <f aca="false">IF(C294=5,0,Q294*LOOKUP(Q294,FeeLo,FeeR)*(1+VAT))</f>
        <v>0.216540949773449</v>
      </c>
      <c r="S294" s="21" t="n">
        <f aca="false">IF(J294&gt;0,-CUMIPMT(Rm,LoanYears*12,J294,1,(G294-O294)*12,0),0)</f>
        <v>1.18249376679461</v>
      </c>
      <c r="T294" s="29" t="n">
        <f aca="false">IF(C294=5,0,SUMIFS(Sch_Total,Sch_Idx,A294,Sch_Scen,E294,Sch_Year,"&lt;="&amp;G294))</f>
        <v>0.777919318219498</v>
      </c>
      <c r="U294" s="21" t="n">
        <f aca="false">K294+L294+R294</f>
        <v>1.17548994977345</v>
      </c>
      <c r="V294" s="21" t="n">
        <f aca="false">IF(C294=5,0,Q294-H294-U294)</f>
        <v>3.8767113195056</v>
      </c>
      <c r="W294" s="21" t="n">
        <f aca="false">IF(C294=5,0,MAX(0,IF(P294&gt;=2,IF(Q294&gt;Exempt,V294*(Q294-Exempt)/Q294,0),V294)))</f>
        <v>2.22248321023996</v>
      </c>
      <c r="X294" s="10" t="n">
        <f aca="false">IF(P294&gt;=2,MIN(MaxDed,MIN(0.4,HoldRate*G294)+MIN(0.4,LiveRate*P294)),IF(G294&gt;=3,MIN(0.3,0.02*G294),0))</f>
        <v>0.72</v>
      </c>
      <c r="Y294" s="21" t="n">
        <f aca="false">MAX(0,W294*(1-X294)-InitDed)</f>
        <v>0.59729529886719</v>
      </c>
      <c r="Z294" s="29" t="n">
        <f aca="false">SUMPRODUCT((Y294&gt;CLo)*(Y294-CLo)*CD)*(1+LocalTax)</f>
        <v>0.0943259589009382</v>
      </c>
      <c r="AA294" s="21" t="n">
        <f aca="false">K294+T294+Z294</f>
        <v>1.63355527712044</v>
      </c>
      <c r="AB294" s="29" t="n">
        <f aca="false">IF(C294=5,0,(Q294-H294)-K294-L294-R294-S294-T294-Z294)</f>
        <v>1.82197227559056</v>
      </c>
      <c r="AC294" s="21" t="n">
        <f aca="false">IF(C294=5,0,N294*((1+DepRate*(1-DepTax))^G294-1))</f>
        <v>5.70500874948751</v>
      </c>
      <c r="AD294" s="29" t="n">
        <f aca="false">IF(C294=5,0,AB294-AC294+I294*(((1+DepRate*(1-DepTax))^G294-1)-((1+DepRate*(1-DepTax))^O294-1)))</f>
        <v>-1.08266878715568</v>
      </c>
      <c r="AE294" s="30" t="n">
        <f aca="false">IF(J294&gt;0,-PMT(Rm,LoanYears*12,J294)*10000,0)</f>
        <v>190.966118186184</v>
      </c>
      <c r="AF294" s="21" t="n">
        <f aca="false">IF(J294&gt;0,-PMT((Rate+Stress)/12,LoanYears*12,J294)*12/DSR,0)</f>
        <v>0.79836299421502</v>
      </c>
      <c r="AG294" s="20" t="n">
        <f aca="false">IF(N294&lt;=CapA,1,0)</f>
        <v>0</v>
      </c>
      <c r="AH294" s="20" t="n">
        <f aca="false">IF(N294&lt;=CapB,1,0)</f>
        <v>0</v>
      </c>
      <c r="AI294" s="20" t="n">
        <f aca="false">IF(N294&lt;=CapC,1,0)</f>
        <v>0</v>
      </c>
      <c r="AJ294" s="21" t="n">
        <f aca="false">IF(AG294=1,AD294,-999)</f>
        <v>-999</v>
      </c>
      <c r="AK294" s="21" t="n">
        <f aca="false">IF(AH294=1,AD294,-999)</f>
        <v>-999</v>
      </c>
      <c r="AL294" s="21" t="n">
        <f aca="false">IF(AI294=1,AD294,-999)</f>
        <v>-999</v>
      </c>
      <c r="AM294" s="21" t="str">
        <f aca="false">C294&amp;"|"&amp;E294&amp;"|"&amp;G294&amp;"|"&amp;TEXT(AJ294,"0.00000")</f>
        <v>4|1|10|-999.00000</v>
      </c>
      <c r="AN294" s="21" t="str">
        <f aca="false">C294&amp;"|"&amp;E294&amp;"|"&amp;G294&amp;"|"&amp;TEXT(AK294,"0.00000")</f>
        <v>4|1|10|-999.00000</v>
      </c>
      <c r="AO294" s="21" t="str">
        <f aca="false">C294&amp;"|"&amp;E294&amp;"|"&amp;G294&amp;"|"&amp;TEXT(AL294,"0.00000")</f>
        <v>4|1|10|-999.00000</v>
      </c>
    </row>
    <row r="295" customFormat="false" ht="15" hidden="false" customHeight="false" outlineLevel="0" collapsed="false">
      <c r="A295" s="20" t="n">
        <v>10</v>
      </c>
      <c r="B295" s="18" t="str">
        <f aca="false">INDEX(C_Name,A295)</f>
        <v>흑석리버파크자이 85㎡</v>
      </c>
      <c r="C295" s="20" t="n">
        <v>4</v>
      </c>
      <c r="D295" s="21" t="str">
        <f aca="false">CHOOSE(C295,"1안 표준형(대출 최대)","2안 절충형(대출 50%)","3안 무대출형","4안 임대차 승계 후 입주","5안 매수 보류(전세 거주)")</f>
        <v>4안 임대차 승계 후 입주</v>
      </c>
      <c r="E295" s="20" t="n">
        <v>2</v>
      </c>
      <c r="F295" s="10" t="n">
        <f aca="false">CHOOSE(E295,GrowLo,GrowMid,GrowHi)</f>
        <v>0.04</v>
      </c>
      <c r="G295" s="20" t="n">
        <v>5</v>
      </c>
      <c r="H295" s="18" t="n">
        <f aca="false">INDEX(C_Price,A295)</f>
        <v>23.07</v>
      </c>
      <c r="I295" s="18" t="n">
        <f aca="false">INDEX(C_Jeonse,A295)</f>
        <v>11.9964</v>
      </c>
      <c r="J295" s="21" t="n">
        <f aca="false">IF(C295=5,0,IF(C295=1,INDEX(C_Loan,A295),IF(C295=2,INDEX(C_Loan,A295)*LoanShare2,IF(C295=3,0,MIN(INDEX(C_Loan,A295),I295)))))</f>
        <v>4</v>
      </c>
      <c r="K295" s="18" t="n">
        <f aca="false">IF(C295=5,0,INDEX(C_Acq,A295))</f>
        <v>0.76131</v>
      </c>
      <c r="L295" s="18" t="n">
        <f aca="false">IF(C295=5,0,INDEX(C_Fee,A295))</f>
        <v>0.197639</v>
      </c>
      <c r="M295" s="21" t="n">
        <f aca="false">IF(C295=4,MAX(0,I295-J295),0)</f>
        <v>7.9964</v>
      </c>
      <c r="N295" s="21" t="n">
        <f aca="false">IF(C295=5,I295,IF(C295=4,(H295-I295)+K295+L295+M295,H295-J295+K295+L295))</f>
        <v>20.028949</v>
      </c>
      <c r="O295" s="20" t="n">
        <f aca="false">IF(C295=4,RentYears,0)</f>
        <v>2</v>
      </c>
      <c r="P295" s="20" t="n">
        <f aca="false">IF(C295=5,0,MAX(0,G295-O295-NonRes))</f>
        <v>3</v>
      </c>
      <c r="Q295" s="21" t="n">
        <f aca="false">IF(C295=5,0,H295*(1+F295)^G295)</f>
        <v>28.068182458368</v>
      </c>
      <c r="R295" s="21" t="n">
        <f aca="false">IF(C295=5,0,Q295*LOOKUP(Q295,FeeLo,FeeR)*(1+VAT))</f>
        <v>0.216125004929434</v>
      </c>
      <c r="S295" s="21" t="n">
        <f aca="false">IF(J295&gt;0,-CUMIPMT(Rm,LoanYears*12,J295,1,(G295-O295)*12,0),0)</f>
        <v>0.467427048612969</v>
      </c>
      <c r="T295" s="29" t="n">
        <f aca="false">IF(C295=5,0,SUMIFS(Sch_Total,Sch_Idx,A295,Sch_Scen,E295,Sch_Year,"&lt;="&amp;G295))</f>
        <v>0.381273753203989</v>
      </c>
      <c r="U295" s="21" t="n">
        <f aca="false">K295+L295+R295</f>
        <v>1.17507400492943</v>
      </c>
      <c r="V295" s="21" t="n">
        <f aca="false">IF(C295=5,0,Q295-H295-U295)</f>
        <v>3.82310845343857</v>
      </c>
      <c r="W295" s="21" t="n">
        <f aca="false">IF(C295=5,0,MAX(0,IF(P295&gt;=2,IF(Q295&gt;Exempt,V295*(Q295-Exempt)/Q295,0),V295)))</f>
        <v>2.18861354058448</v>
      </c>
      <c r="X295" s="10" t="n">
        <f aca="false">IF(P295&gt;=2,MIN(MaxDed,MIN(0.4,HoldRate*G295)+MIN(0.4,LiveRate*P295)),IF(G295&gt;=3,MIN(0.3,0.02*G295),0))</f>
        <v>0.32</v>
      </c>
      <c r="Y295" s="21" t="n">
        <f aca="false">MAX(0,W295*(1-X295)-InitDed)</f>
        <v>1.46325720759745</v>
      </c>
      <c r="Z295" s="29" t="n">
        <f aca="false">SUMPRODUCT((Y295&gt;CLo)*(Y295-CLo)*CD)*(1+LocalTax)</f>
        <v>0.393514024925017</v>
      </c>
      <c r="AA295" s="21" t="n">
        <f aca="false">K295+T295+Z295</f>
        <v>1.53609777812901</v>
      </c>
      <c r="AB295" s="29" t="n">
        <f aca="false">IF(C295=5,0,(Q295-H295)-K295-L295-R295-S295-T295-Z295)</f>
        <v>2.5808936266966</v>
      </c>
      <c r="AC295" s="21" t="n">
        <f aca="false">IF(C295=5,0,N295*((1+DepRate*(1-DepTax))^G295-1))</f>
        <v>2.67400515430865</v>
      </c>
      <c r="AD295" s="29" t="n">
        <f aca="false">IF(C295=5,0,AB295-AC295+I295*(((1+DepRate*(1-DepTax))^G295-1)-((1+DepRate*(1-DepTax))^O295-1)))</f>
        <v>0.891827325134796</v>
      </c>
      <c r="AE295" s="30" t="n">
        <f aca="false">IF(J295&gt;0,-PMT(Rm,LoanYears*12,J295)*10000,0)</f>
        <v>190.966118186184</v>
      </c>
      <c r="AF295" s="21" t="n">
        <f aca="false">IF(J295&gt;0,-PMT((Rate+Stress)/12,LoanYears*12,J295)*12/DSR,0)</f>
        <v>0.79836299421502</v>
      </c>
      <c r="AG295" s="20" t="n">
        <f aca="false">IF(N295&lt;=CapA,1,0)</f>
        <v>0</v>
      </c>
      <c r="AH295" s="20" t="n">
        <f aca="false">IF(N295&lt;=CapB,1,0)</f>
        <v>0</v>
      </c>
      <c r="AI295" s="20" t="n">
        <f aca="false">IF(N295&lt;=CapC,1,0)</f>
        <v>0</v>
      </c>
      <c r="AJ295" s="21" t="n">
        <f aca="false">IF(AG295=1,AD295,-999)</f>
        <v>-999</v>
      </c>
      <c r="AK295" s="21" t="n">
        <f aca="false">IF(AH295=1,AD295,-999)</f>
        <v>-999</v>
      </c>
      <c r="AL295" s="21" t="n">
        <f aca="false">IF(AI295=1,AD295,-999)</f>
        <v>-999</v>
      </c>
      <c r="AM295" s="21" t="str">
        <f aca="false">C295&amp;"|"&amp;E295&amp;"|"&amp;G295&amp;"|"&amp;TEXT(AJ295,"0.00000")</f>
        <v>4|2|5|-999.00000</v>
      </c>
      <c r="AN295" s="21" t="str">
        <f aca="false">C295&amp;"|"&amp;E295&amp;"|"&amp;G295&amp;"|"&amp;TEXT(AK295,"0.00000")</f>
        <v>4|2|5|-999.00000</v>
      </c>
      <c r="AO295" s="21" t="str">
        <f aca="false">C295&amp;"|"&amp;E295&amp;"|"&amp;G295&amp;"|"&amp;TEXT(AL295,"0.00000")</f>
        <v>4|2|5|-999.00000</v>
      </c>
    </row>
    <row r="296" customFormat="false" ht="15" hidden="false" customHeight="false" outlineLevel="0" collapsed="false">
      <c r="A296" s="20" t="n">
        <v>10</v>
      </c>
      <c r="B296" s="18" t="str">
        <f aca="false">INDEX(C_Name,A296)</f>
        <v>흑석리버파크자이 85㎡</v>
      </c>
      <c r="C296" s="20" t="n">
        <v>4</v>
      </c>
      <c r="D296" s="21" t="str">
        <f aca="false">CHOOSE(C296,"1안 표준형(대출 최대)","2안 절충형(대출 50%)","3안 무대출형","4안 임대차 승계 후 입주","5안 매수 보류(전세 거주)")</f>
        <v>4안 임대차 승계 후 입주</v>
      </c>
      <c r="E296" s="20" t="n">
        <v>2</v>
      </c>
      <c r="F296" s="10" t="n">
        <f aca="false">CHOOSE(E296,GrowLo,GrowMid,GrowHi)</f>
        <v>0.04</v>
      </c>
      <c r="G296" s="20" t="n">
        <v>10</v>
      </c>
      <c r="H296" s="18" t="n">
        <f aca="false">INDEX(C_Price,A296)</f>
        <v>23.07</v>
      </c>
      <c r="I296" s="18" t="n">
        <f aca="false">INDEX(C_Jeonse,A296)</f>
        <v>11.9964</v>
      </c>
      <c r="J296" s="21" t="n">
        <f aca="false">IF(C296=5,0,IF(C296=1,INDEX(C_Loan,A296),IF(C296=2,INDEX(C_Loan,A296)*LoanShare2,IF(C296=3,0,MIN(INDEX(C_Loan,A296),I296)))))</f>
        <v>4</v>
      </c>
      <c r="K296" s="18" t="n">
        <f aca="false">IF(C296=5,0,INDEX(C_Acq,A296))</f>
        <v>0.76131</v>
      </c>
      <c r="L296" s="18" t="n">
        <f aca="false">IF(C296=5,0,INDEX(C_Fee,A296))</f>
        <v>0.197639</v>
      </c>
      <c r="M296" s="21" t="n">
        <f aca="false">IF(C296=4,MAX(0,I296-J296),0)</f>
        <v>7.9964</v>
      </c>
      <c r="N296" s="21" t="n">
        <f aca="false">IF(C296=5,I296,IF(C296=4,(H296-I296)+K296+L296+M296,H296-J296+K296+L296))</f>
        <v>20.028949</v>
      </c>
      <c r="O296" s="20" t="n">
        <f aca="false">IF(C296=4,RentYears,0)</f>
        <v>2</v>
      </c>
      <c r="P296" s="20" t="n">
        <f aca="false">IF(C296=5,0,MAX(0,G296-O296-NonRes))</f>
        <v>8</v>
      </c>
      <c r="Q296" s="21" t="n">
        <f aca="false">IF(C296=5,0,H296*(1+F296)^G296)</f>
        <v>34.1492356530662</v>
      </c>
      <c r="R296" s="21" t="n">
        <f aca="false">IF(C296=5,0,Q296*LOOKUP(Q296,FeeLo,FeeR)*(1+VAT))</f>
        <v>0.26294911452861</v>
      </c>
      <c r="S296" s="21" t="n">
        <f aca="false">IF(J296&gt;0,-CUMIPMT(Rm,LoanYears*12,J296,1,(G296-O296)*12,0),0)</f>
        <v>1.18249376679461</v>
      </c>
      <c r="T296" s="29" t="n">
        <f aca="false">IF(C296=5,0,SUMIFS(Sch_Total,Sch_Idx,A296,Sch_Scen,E296,Sch_Year,"&lt;="&amp;G296))</f>
        <v>0.925400183009958</v>
      </c>
      <c r="U296" s="21" t="n">
        <f aca="false">K296+L296+R296</f>
        <v>1.22189811452861</v>
      </c>
      <c r="V296" s="21" t="n">
        <f aca="false">IF(C296=5,0,Q296-H296-U296)</f>
        <v>9.8573375385376</v>
      </c>
      <c r="W296" s="21" t="n">
        <f aca="false">IF(C296=5,0,MAX(0,IF(P296&gt;=2,IF(Q296&gt;Exempt,V296*(Q296-Exempt)/Q296,0),V296)))</f>
        <v>6.39348108025021</v>
      </c>
      <c r="X296" s="10" t="n">
        <f aca="false">IF(P296&gt;=2,MIN(MaxDed,MIN(0.4,HoldRate*G296)+MIN(0.4,LiveRate*P296)),IF(G296&gt;=3,MIN(0.3,0.02*G296),0))</f>
        <v>0.72</v>
      </c>
      <c r="Y296" s="21" t="n">
        <f aca="false">MAX(0,W296*(1-X296)-InitDed)</f>
        <v>1.76517470247006</v>
      </c>
      <c r="Z296" s="29" t="n">
        <f aca="false">SUMPRODUCT((Y296&gt;CLo)*(Y296-CLo)*CD)*(1+LocalTax)</f>
        <v>0.518503025632485</v>
      </c>
      <c r="AA296" s="21" t="n">
        <f aca="false">K296+T296+Z296</f>
        <v>2.20521320864244</v>
      </c>
      <c r="AB296" s="29" t="n">
        <f aca="false">IF(C296=5,0,(Q296-H296)-K296-L296-R296-S296-T296-Z296)</f>
        <v>7.23094056310054</v>
      </c>
      <c r="AC296" s="21" t="n">
        <f aca="false">IF(C296=5,0,N296*((1+DepRate*(1-DepTax))^G296-1))</f>
        <v>5.70500874948751</v>
      </c>
      <c r="AD296" s="29" t="n">
        <f aca="false">IF(C296=5,0,AB296-AC296+I296*(((1+DepRate*(1-DepTax))^G296-1)-((1+DepRate*(1-DepTax))^O296-1)))</f>
        <v>4.3262995003543</v>
      </c>
      <c r="AE296" s="30" t="n">
        <f aca="false">IF(J296&gt;0,-PMT(Rm,LoanYears*12,J296)*10000,0)</f>
        <v>190.966118186184</v>
      </c>
      <c r="AF296" s="21" t="n">
        <f aca="false">IF(J296&gt;0,-PMT((Rate+Stress)/12,LoanYears*12,J296)*12/DSR,0)</f>
        <v>0.79836299421502</v>
      </c>
      <c r="AG296" s="20" t="n">
        <f aca="false">IF(N296&lt;=CapA,1,0)</f>
        <v>0</v>
      </c>
      <c r="AH296" s="20" t="n">
        <f aca="false">IF(N296&lt;=CapB,1,0)</f>
        <v>0</v>
      </c>
      <c r="AI296" s="20" t="n">
        <f aca="false">IF(N296&lt;=CapC,1,0)</f>
        <v>0</v>
      </c>
      <c r="AJ296" s="21" t="n">
        <f aca="false">IF(AG296=1,AD296,-999)</f>
        <v>-999</v>
      </c>
      <c r="AK296" s="21" t="n">
        <f aca="false">IF(AH296=1,AD296,-999)</f>
        <v>-999</v>
      </c>
      <c r="AL296" s="21" t="n">
        <f aca="false">IF(AI296=1,AD296,-999)</f>
        <v>-999</v>
      </c>
      <c r="AM296" s="21" t="str">
        <f aca="false">C296&amp;"|"&amp;E296&amp;"|"&amp;G296&amp;"|"&amp;TEXT(AJ296,"0.00000")</f>
        <v>4|2|10|-999.00000</v>
      </c>
      <c r="AN296" s="21" t="str">
        <f aca="false">C296&amp;"|"&amp;E296&amp;"|"&amp;G296&amp;"|"&amp;TEXT(AK296,"0.00000")</f>
        <v>4|2|10|-999.00000</v>
      </c>
      <c r="AO296" s="21" t="str">
        <f aca="false">C296&amp;"|"&amp;E296&amp;"|"&amp;G296&amp;"|"&amp;TEXT(AL296,"0.00000")</f>
        <v>4|2|10|-999.00000</v>
      </c>
    </row>
    <row r="297" customFormat="false" ht="15" hidden="false" customHeight="false" outlineLevel="0" collapsed="false">
      <c r="A297" s="20" t="n">
        <v>10</v>
      </c>
      <c r="B297" s="18" t="str">
        <f aca="false">INDEX(C_Name,A297)</f>
        <v>흑석리버파크자이 85㎡</v>
      </c>
      <c r="C297" s="20" t="n">
        <v>4</v>
      </c>
      <c r="D297" s="21" t="str">
        <f aca="false">CHOOSE(C297,"1안 표준형(대출 최대)","2안 절충형(대출 50%)","3안 무대출형","4안 임대차 승계 후 입주","5안 매수 보류(전세 거주)")</f>
        <v>4안 임대차 승계 후 입주</v>
      </c>
      <c r="E297" s="20" t="n">
        <v>3</v>
      </c>
      <c r="F297" s="10" t="n">
        <f aca="false">CHOOSE(E297,GrowLo,GrowMid,GrowHi)</f>
        <v>0.06</v>
      </c>
      <c r="G297" s="20" t="n">
        <v>5</v>
      </c>
      <c r="H297" s="18" t="n">
        <f aca="false">INDEX(C_Price,A297)</f>
        <v>23.07</v>
      </c>
      <c r="I297" s="18" t="n">
        <f aca="false">INDEX(C_Jeonse,A297)</f>
        <v>11.9964</v>
      </c>
      <c r="J297" s="21" t="n">
        <f aca="false">IF(C297=5,0,IF(C297=1,INDEX(C_Loan,A297),IF(C297=2,INDEX(C_Loan,A297)*LoanShare2,IF(C297=3,0,MIN(INDEX(C_Loan,A297),I297)))))</f>
        <v>4</v>
      </c>
      <c r="K297" s="18" t="n">
        <f aca="false">IF(C297=5,0,INDEX(C_Acq,A297))</f>
        <v>0.76131</v>
      </c>
      <c r="L297" s="18" t="n">
        <f aca="false">IF(C297=5,0,INDEX(C_Fee,A297))</f>
        <v>0.197639</v>
      </c>
      <c r="M297" s="21" t="n">
        <f aca="false">IF(C297=4,MAX(0,I297-J297),0)</f>
        <v>7.9964</v>
      </c>
      <c r="N297" s="21" t="n">
        <f aca="false">IF(C297=5,I297,IF(C297=4,(H297-I297)+K297+L297+M297,H297-J297+K297+L297))</f>
        <v>20.028949</v>
      </c>
      <c r="O297" s="20" t="n">
        <f aca="false">IF(C297=4,RentYears,0)</f>
        <v>2</v>
      </c>
      <c r="P297" s="20" t="n">
        <f aca="false">IF(C297=5,0,MAX(0,G297-O297-NonRes))</f>
        <v>3</v>
      </c>
      <c r="Q297" s="21" t="n">
        <f aca="false">IF(C297=5,0,H297*(1+F297)^G297)</f>
        <v>30.872864075232</v>
      </c>
      <c r="R297" s="21" t="n">
        <f aca="false">IF(C297=5,0,Q297*LOOKUP(Q297,FeeLo,FeeR)*(1+VAT))</f>
        <v>0.237721053379286</v>
      </c>
      <c r="S297" s="21" t="n">
        <f aca="false">IF(J297&gt;0,-CUMIPMT(Rm,LoanYears*12,J297,1,(G297-O297)*12,0),0)</f>
        <v>0.467427048612969</v>
      </c>
      <c r="T297" s="29" t="n">
        <f aca="false">IF(C297=5,0,SUMIFS(Sch_Total,Sch_Idx,A297,Sch_Scen,E297,Sch_Year,"&lt;="&amp;G297))</f>
        <v>0.411600481818872</v>
      </c>
      <c r="U297" s="21" t="n">
        <f aca="false">K297+L297+R297</f>
        <v>1.19667005337929</v>
      </c>
      <c r="V297" s="21" t="n">
        <f aca="false">IF(C297=5,0,Q297-H297-U297)</f>
        <v>6.60619402185272</v>
      </c>
      <c r="W297" s="21" t="n">
        <f aca="false">IF(C297=5,0,MAX(0,IF(P297&gt;=2,IF(Q297&gt;Exempt,V297*(Q297-Exempt)/Q297,0),V297)))</f>
        <v>4.03842680501614</v>
      </c>
      <c r="X297" s="10" t="n">
        <f aca="false">IF(P297&gt;=2,MIN(MaxDed,MIN(0.4,HoldRate*G297)+MIN(0.4,LiveRate*P297)),IF(G297&gt;=3,MIN(0.3,0.02*G297),0))</f>
        <v>0.32</v>
      </c>
      <c r="Y297" s="21" t="n">
        <f aca="false">MAX(0,W297*(1-X297)-InitDed)</f>
        <v>2.72113022741097</v>
      </c>
      <c r="Z297" s="29" t="n">
        <f aca="false">SUMPRODUCT((Y297&gt;CLo)*(Y297-CLo)*CD)*(1+LocalTax)</f>
        <v>0.918092435057787</v>
      </c>
      <c r="AA297" s="21" t="n">
        <f aca="false">K297+T297+Z297</f>
        <v>2.09100291687666</v>
      </c>
      <c r="AB297" s="29" t="n">
        <f aca="false">IF(C297=5,0,(Q297-H297)-K297-L297-R297-S297-T297-Z297)</f>
        <v>4.80907405636309</v>
      </c>
      <c r="AC297" s="21" t="n">
        <f aca="false">IF(C297=5,0,N297*((1+DepRate*(1-DepTax))^G297-1))</f>
        <v>2.67400515430865</v>
      </c>
      <c r="AD297" s="29" t="n">
        <f aca="false">IF(C297=5,0,AB297-AC297+I297*(((1+DepRate*(1-DepTax))^G297-1)-((1+DepRate*(1-DepTax))^O297-1)))</f>
        <v>3.12000775480129</v>
      </c>
      <c r="AE297" s="30" t="n">
        <f aca="false">IF(J297&gt;0,-PMT(Rm,LoanYears*12,J297)*10000,0)</f>
        <v>190.966118186184</v>
      </c>
      <c r="AF297" s="21" t="n">
        <f aca="false">IF(J297&gt;0,-PMT((Rate+Stress)/12,LoanYears*12,J297)*12/DSR,0)</f>
        <v>0.79836299421502</v>
      </c>
      <c r="AG297" s="20" t="n">
        <f aca="false">IF(N297&lt;=CapA,1,0)</f>
        <v>0</v>
      </c>
      <c r="AH297" s="20" t="n">
        <f aca="false">IF(N297&lt;=CapB,1,0)</f>
        <v>0</v>
      </c>
      <c r="AI297" s="20" t="n">
        <f aca="false">IF(N297&lt;=CapC,1,0)</f>
        <v>0</v>
      </c>
      <c r="AJ297" s="21" t="n">
        <f aca="false">IF(AG297=1,AD297,-999)</f>
        <v>-999</v>
      </c>
      <c r="AK297" s="21" t="n">
        <f aca="false">IF(AH297=1,AD297,-999)</f>
        <v>-999</v>
      </c>
      <c r="AL297" s="21" t="n">
        <f aca="false">IF(AI297=1,AD297,-999)</f>
        <v>-999</v>
      </c>
      <c r="AM297" s="21" t="str">
        <f aca="false">C297&amp;"|"&amp;E297&amp;"|"&amp;G297&amp;"|"&amp;TEXT(AJ297,"0.00000")</f>
        <v>4|3|5|-999.00000</v>
      </c>
      <c r="AN297" s="21" t="str">
        <f aca="false">C297&amp;"|"&amp;E297&amp;"|"&amp;G297&amp;"|"&amp;TEXT(AK297,"0.00000")</f>
        <v>4|3|5|-999.00000</v>
      </c>
      <c r="AO297" s="21" t="str">
        <f aca="false">C297&amp;"|"&amp;E297&amp;"|"&amp;G297&amp;"|"&amp;TEXT(AL297,"0.00000")</f>
        <v>4|3|5|-999.00000</v>
      </c>
    </row>
    <row r="298" customFormat="false" ht="15" hidden="false" customHeight="false" outlineLevel="0" collapsed="false">
      <c r="A298" s="20" t="n">
        <v>10</v>
      </c>
      <c r="B298" s="18" t="str">
        <f aca="false">INDEX(C_Name,A298)</f>
        <v>흑석리버파크자이 85㎡</v>
      </c>
      <c r="C298" s="20" t="n">
        <v>4</v>
      </c>
      <c r="D298" s="21" t="str">
        <f aca="false">CHOOSE(C298,"1안 표준형(대출 최대)","2안 절충형(대출 50%)","3안 무대출형","4안 임대차 승계 후 입주","5안 매수 보류(전세 거주)")</f>
        <v>4안 임대차 승계 후 입주</v>
      </c>
      <c r="E298" s="20" t="n">
        <v>3</v>
      </c>
      <c r="F298" s="10" t="n">
        <f aca="false">CHOOSE(E298,GrowLo,GrowMid,GrowHi)</f>
        <v>0.06</v>
      </c>
      <c r="G298" s="20" t="n">
        <v>10</v>
      </c>
      <c r="H298" s="18" t="n">
        <f aca="false">INDEX(C_Price,A298)</f>
        <v>23.07</v>
      </c>
      <c r="I298" s="18" t="n">
        <f aca="false">INDEX(C_Jeonse,A298)</f>
        <v>11.9964</v>
      </c>
      <c r="J298" s="21" t="n">
        <f aca="false">IF(C298=5,0,IF(C298=1,INDEX(C_Loan,A298),IF(C298=2,INDEX(C_Loan,A298)*LoanShare2,IF(C298=3,0,MIN(INDEX(C_Loan,A298),I298)))))</f>
        <v>4</v>
      </c>
      <c r="K298" s="18" t="n">
        <f aca="false">IF(C298=5,0,INDEX(C_Acq,A298))</f>
        <v>0.76131</v>
      </c>
      <c r="L298" s="18" t="n">
        <f aca="false">IF(C298=5,0,INDEX(C_Fee,A298))</f>
        <v>0.197639</v>
      </c>
      <c r="M298" s="21" t="n">
        <f aca="false">IF(C298=4,MAX(0,I298-J298),0)</f>
        <v>7.9964</v>
      </c>
      <c r="N298" s="21" t="n">
        <f aca="false">IF(C298=5,I298,IF(C298=4,(H298-I298)+K298+L298+M298,H298-J298+K298+L298))</f>
        <v>20.028949</v>
      </c>
      <c r="O298" s="20" t="n">
        <f aca="false">IF(C298=4,RentYears,0)</f>
        <v>2</v>
      </c>
      <c r="P298" s="20" t="n">
        <f aca="false">IF(C298=5,0,MAX(0,G298-O298-NonRes))</f>
        <v>8</v>
      </c>
      <c r="Q298" s="21" t="n">
        <f aca="false">IF(C298=5,0,H298*(1+F298)^G298)</f>
        <v>41.3148563592437</v>
      </c>
      <c r="R298" s="21" t="n">
        <f aca="false">IF(C298=5,0,Q298*LOOKUP(Q298,FeeLo,FeeR)*(1+VAT))</f>
        <v>0.318124393966176</v>
      </c>
      <c r="S298" s="21" t="n">
        <f aca="false">IF(J298&gt;0,-CUMIPMT(Rm,LoanYears*12,J298,1,(G298-O298)*12,0),0)</f>
        <v>1.18249376679461</v>
      </c>
      <c r="T298" s="29" t="n">
        <f aca="false">IF(C298=5,0,SUMIFS(Sch_Total,Sch_Idx,A298,Sch_Scen,E298,Sch_Year,"&lt;="&amp;G298))</f>
        <v>1.11061295622733</v>
      </c>
      <c r="U298" s="21" t="n">
        <f aca="false">K298+L298+R298</f>
        <v>1.27707339396618</v>
      </c>
      <c r="V298" s="21" t="n">
        <f aca="false">IF(C298=5,0,Q298-H298-U298)</f>
        <v>16.9677829652775</v>
      </c>
      <c r="W298" s="21" t="n">
        <f aca="false">IF(C298=5,0,MAX(0,IF(P298&gt;=2,IF(Q298&gt;Exempt,V298*(Q298-Exempt)/Q298,0),V298)))</f>
        <v>12.0394493456987</v>
      </c>
      <c r="X298" s="10" t="n">
        <f aca="false">IF(P298&gt;=2,MIN(MaxDed,MIN(0.4,HoldRate*G298)+MIN(0.4,LiveRate*P298)),IF(G298&gt;=3,MIN(0.3,0.02*G298),0))</f>
        <v>0.72</v>
      </c>
      <c r="Y298" s="21" t="n">
        <f aca="false">MAX(0,W298*(1-X298)-InitDed)</f>
        <v>3.34604581679563</v>
      </c>
      <c r="Z298" s="29" t="n">
        <f aca="false">SUMPRODUCT((Y298&gt;CLo)*(Y298-CLo)*CD)*(1+LocalTax)</f>
        <v>1.18692015939008</v>
      </c>
      <c r="AA298" s="21" t="n">
        <f aca="false">K298+T298+Z298</f>
        <v>3.0588431156174</v>
      </c>
      <c r="AB298" s="29" t="n">
        <f aca="false">IF(C298=5,0,(Q298-H298)-K298-L298-R298-S298-T298-Z298)</f>
        <v>13.4877560828655</v>
      </c>
      <c r="AC298" s="21" t="n">
        <f aca="false">IF(C298=5,0,N298*((1+DepRate*(1-DepTax))^G298-1))</f>
        <v>5.70500874948751</v>
      </c>
      <c r="AD298" s="29" t="n">
        <f aca="false">IF(C298=5,0,AB298-AC298+I298*(((1+DepRate*(1-DepTax))^G298-1)-((1+DepRate*(1-DepTax))^O298-1)))</f>
        <v>10.5831150201192</v>
      </c>
      <c r="AE298" s="30" t="n">
        <f aca="false">IF(J298&gt;0,-PMT(Rm,LoanYears*12,J298)*10000,0)</f>
        <v>190.966118186184</v>
      </c>
      <c r="AF298" s="21" t="n">
        <f aca="false">IF(J298&gt;0,-PMT((Rate+Stress)/12,LoanYears*12,J298)*12/DSR,0)</f>
        <v>0.79836299421502</v>
      </c>
      <c r="AG298" s="20" t="n">
        <f aca="false">IF(N298&lt;=CapA,1,0)</f>
        <v>0</v>
      </c>
      <c r="AH298" s="20" t="n">
        <f aca="false">IF(N298&lt;=CapB,1,0)</f>
        <v>0</v>
      </c>
      <c r="AI298" s="20" t="n">
        <f aca="false">IF(N298&lt;=CapC,1,0)</f>
        <v>0</v>
      </c>
      <c r="AJ298" s="21" t="n">
        <f aca="false">IF(AG298=1,AD298,-999)</f>
        <v>-999</v>
      </c>
      <c r="AK298" s="21" t="n">
        <f aca="false">IF(AH298=1,AD298,-999)</f>
        <v>-999</v>
      </c>
      <c r="AL298" s="21" t="n">
        <f aca="false">IF(AI298=1,AD298,-999)</f>
        <v>-999</v>
      </c>
      <c r="AM298" s="21" t="str">
        <f aca="false">C298&amp;"|"&amp;E298&amp;"|"&amp;G298&amp;"|"&amp;TEXT(AJ298,"0.00000")</f>
        <v>4|3|10|-999.00000</v>
      </c>
      <c r="AN298" s="21" t="str">
        <f aca="false">C298&amp;"|"&amp;E298&amp;"|"&amp;G298&amp;"|"&amp;TEXT(AK298,"0.00000")</f>
        <v>4|3|10|-999.00000</v>
      </c>
      <c r="AO298" s="21" t="str">
        <f aca="false">C298&amp;"|"&amp;E298&amp;"|"&amp;G298&amp;"|"&amp;TEXT(AL298,"0.00000")</f>
        <v>4|3|10|-999.00000</v>
      </c>
    </row>
    <row r="299" customFormat="false" ht="15" hidden="false" customHeight="false" outlineLevel="0" collapsed="false">
      <c r="A299" s="20" t="n">
        <v>10</v>
      </c>
      <c r="B299" s="18" t="str">
        <f aca="false">INDEX(C_Name,A299)</f>
        <v>흑석리버파크자이 85㎡</v>
      </c>
      <c r="C299" s="20" t="n">
        <v>5</v>
      </c>
      <c r="D299" s="21" t="str">
        <f aca="false">CHOOSE(C299,"1안 표준형(대출 최대)","2안 절충형(대출 50%)","3안 무대출형","4안 임대차 승계 후 입주","5안 매수 보류(전세 거주)")</f>
        <v>5안 매수 보류(전세 거주)</v>
      </c>
      <c r="E299" s="20" t="n">
        <v>1</v>
      </c>
      <c r="F299" s="10" t="n">
        <f aca="false">CHOOSE(E299,GrowLo,GrowMid,GrowHi)</f>
        <v>0.02</v>
      </c>
      <c r="G299" s="20" t="n">
        <v>5</v>
      </c>
      <c r="H299" s="18" t="n">
        <f aca="false">INDEX(C_Price,A299)</f>
        <v>23.07</v>
      </c>
      <c r="I299" s="18" t="n">
        <f aca="false">INDEX(C_Jeonse,A299)</f>
        <v>11.9964</v>
      </c>
      <c r="J299" s="21" t="n">
        <f aca="false">IF(C299=5,0,IF(C299=1,INDEX(C_Loan,A299),IF(C299=2,INDEX(C_Loan,A299)*LoanShare2,IF(C299=3,0,MIN(INDEX(C_Loan,A299),I299)))))</f>
        <v>0</v>
      </c>
      <c r="K299" s="18" t="n">
        <f aca="false">IF(C299=5,0,INDEX(C_Acq,A299))</f>
        <v>0</v>
      </c>
      <c r="L299" s="18" t="n">
        <f aca="false">IF(C299=5,0,INDEX(C_Fee,A299))</f>
        <v>0</v>
      </c>
      <c r="M299" s="21" t="n">
        <f aca="false">IF(C299=4,MAX(0,I299-J299),0)</f>
        <v>0</v>
      </c>
      <c r="N299" s="21" t="n">
        <f aca="false">IF(C299=5,I299,IF(C299=4,(H299-I299)+K299+L299+M299,H299-J299+K299+L299))</f>
        <v>11.9964</v>
      </c>
      <c r="O299" s="20" t="n">
        <f aca="false">IF(C299=4,RentYears,0)</f>
        <v>0</v>
      </c>
      <c r="P299" s="20" t="n">
        <f aca="false">IF(C299=5,0,MAX(0,G299-O299-NonRes))</f>
        <v>0</v>
      </c>
      <c r="Q299" s="21" t="n">
        <f aca="false">IF(C299=5,0,H299*(1+F299)^G299)</f>
        <v>0</v>
      </c>
      <c r="R299" s="21" t="n">
        <f aca="false">IF(C299=5,0,Q299*LOOKUP(Q299,FeeLo,FeeR)*(1+VAT))</f>
        <v>0</v>
      </c>
      <c r="S299" s="21" t="n">
        <f aca="false">IF(J299&gt;0,-CUMIPMT(Rm,LoanYears*12,J299,1,(G299-O299)*12,0),0)</f>
        <v>0</v>
      </c>
      <c r="T299" s="29" t="n">
        <f aca="false">IF(C299=5,0,SUMIFS(Sch_Total,Sch_Idx,A299,Sch_Scen,E299,Sch_Year,"&lt;="&amp;G299))</f>
        <v>0</v>
      </c>
      <c r="U299" s="21" t="n">
        <f aca="false">K299+L299+R299</f>
        <v>0</v>
      </c>
      <c r="V299" s="21" t="n">
        <f aca="false">IF(C299=5,0,Q299-H299-U299)</f>
        <v>0</v>
      </c>
      <c r="W299" s="21" t="n">
        <f aca="false">IF(C299=5,0,MAX(0,IF(P299&gt;=2,IF(Q299&gt;Exempt,V299*(Q299-Exempt)/Q299,0),V299)))</f>
        <v>0</v>
      </c>
      <c r="X299" s="10" t="n">
        <f aca="false">IF(P299&gt;=2,MIN(MaxDed,MIN(0.4,HoldRate*G299)+MIN(0.4,LiveRate*P299)),IF(G299&gt;=3,MIN(0.3,0.02*G299),0))</f>
        <v>0.1</v>
      </c>
      <c r="Y299" s="21" t="n">
        <f aca="false">MAX(0,W299*(1-X299)-InitDed)</f>
        <v>0</v>
      </c>
      <c r="Z299" s="29" t="n">
        <f aca="false">SUMPRODUCT((Y299&gt;CLo)*(Y299-CLo)*CD)*(1+LocalTax)</f>
        <v>0</v>
      </c>
      <c r="AA299" s="21" t="n">
        <f aca="false">K299+T299+Z299</f>
        <v>0</v>
      </c>
      <c r="AB299" s="29" t="n">
        <f aca="false">IF(C299=5,0,(Q299-H299)-K299-L299-R299-S299-T299-Z299)</f>
        <v>0</v>
      </c>
      <c r="AC299" s="21" t="n">
        <f aca="false">IF(C299=5,0,N299*((1+DepRate*(1-DepTax))^G299-1))</f>
        <v>0</v>
      </c>
      <c r="AD299" s="29" t="n">
        <f aca="false">IF(C299=5,0,AB299-AC299+I299*(((1+DepRate*(1-DepTax))^G299-1)-((1+DepRate*(1-DepTax))^O299-1)))</f>
        <v>0</v>
      </c>
      <c r="AE299" s="30" t="n">
        <f aca="false">IF(J299&gt;0,-PMT(Rm,LoanYears*12,J299)*10000,0)</f>
        <v>0</v>
      </c>
      <c r="AF299" s="21" t="n">
        <f aca="false">IF(J299&gt;0,-PMT((Rate+Stress)/12,LoanYears*12,J299)*12/DSR,0)</f>
        <v>0</v>
      </c>
      <c r="AG299" s="20" t="n">
        <f aca="false">IF(N299&lt;=CapA,1,0)</f>
        <v>1</v>
      </c>
      <c r="AH299" s="20" t="n">
        <f aca="false">IF(N299&lt;=CapB,1,0)</f>
        <v>1</v>
      </c>
      <c r="AI299" s="20" t="n">
        <f aca="false">IF(N299&lt;=CapC,1,0)</f>
        <v>1</v>
      </c>
      <c r="AJ299" s="21" t="n">
        <f aca="false">IF(AG299=1,AD299,-999)</f>
        <v>0</v>
      </c>
      <c r="AK299" s="21" t="n">
        <f aca="false">IF(AH299=1,AD299,-999)</f>
        <v>0</v>
      </c>
      <c r="AL299" s="21" t="n">
        <f aca="false">IF(AI299=1,AD299,-999)</f>
        <v>0</v>
      </c>
      <c r="AM299" s="21" t="str">
        <f aca="false">C299&amp;"|"&amp;E299&amp;"|"&amp;G299&amp;"|"&amp;TEXT(AJ299,"0.00000")</f>
        <v>5|1|5|0.00000</v>
      </c>
      <c r="AN299" s="21" t="str">
        <f aca="false">C299&amp;"|"&amp;E299&amp;"|"&amp;G299&amp;"|"&amp;TEXT(AK299,"0.00000")</f>
        <v>5|1|5|0.00000</v>
      </c>
      <c r="AO299" s="21" t="str">
        <f aca="false">C299&amp;"|"&amp;E299&amp;"|"&amp;G299&amp;"|"&amp;TEXT(AL299,"0.00000")</f>
        <v>5|1|5|0.00000</v>
      </c>
    </row>
    <row r="300" customFormat="false" ht="15" hidden="false" customHeight="false" outlineLevel="0" collapsed="false">
      <c r="A300" s="20" t="n">
        <v>10</v>
      </c>
      <c r="B300" s="18" t="str">
        <f aca="false">INDEX(C_Name,A300)</f>
        <v>흑석리버파크자이 85㎡</v>
      </c>
      <c r="C300" s="20" t="n">
        <v>5</v>
      </c>
      <c r="D300" s="21" t="str">
        <f aca="false">CHOOSE(C300,"1안 표준형(대출 최대)","2안 절충형(대출 50%)","3안 무대출형","4안 임대차 승계 후 입주","5안 매수 보류(전세 거주)")</f>
        <v>5안 매수 보류(전세 거주)</v>
      </c>
      <c r="E300" s="20" t="n">
        <v>1</v>
      </c>
      <c r="F300" s="10" t="n">
        <f aca="false">CHOOSE(E300,GrowLo,GrowMid,GrowHi)</f>
        <v>0.02</v>
      </c>
      <c r="G300" s="20" t="n">
        <v>10</v>
      </c>
      <c r="H300" s="18" t="n">
        <f aca="false">INDEX(C_Price,A300)</f>
        <v>23.07</v>
      </c>
      <c r="I300" s="18" t="n">
        <f aca="false">INDEX(C_Jeonse,A300)</f>
        <v>11.9964</v>
      </c>
      <c r="J300" s="21" t="n">
        <f aca="false">IF(C300=5,0,IF(C300=1,INDEX(C_Loan,A300),IF(C300=2,INDEX(C_Loan,A300)*LoanShare2,IF(C300=3,0,MIN(INDEX(C_Loan,A300),I300)))))</f>
        <v>0</v>
      </c>
      <c r="K300" s="18" t="n">
        <f aca="false">IF(C300=5,0,INDEX(C_Acq,A300))</f>
        <v>0</v>
      </c>
      <c r="L300" s="18" t="n">
        <f aca="false">IF(C300=5,0,INDEX(C_Fee,A300))</f>
        <v>0</v>
      </c>
      <c r="M300" s="21" t="n">
        <f aca="false">IF(C300=4,MAX(0,I300-J300),0)</f>
        <v>0</v>
      </c>
      <c r="N300" s="21" t="n">
        <f aca="false">IF(C300=5,I300,IF(C300=4,(H300-I300)+K300+L300+M300,H300-J300+K300+L300))</f>
        <v>11.9964</v>
      </c>
      <c r="O300" s="20" t="n">
        <f aca="false">IF(C300=4,RentYears,0)</f>
        <v>0</v>
      </c>
      <c r="P300" s="20" t="n">
        <f aca="false">IF(C300=5,0,MAX(0,G300-O300-NonRes))</f>
        <v>0</v>
      </c>
      <c r="Q300" s="21" t="n">
        <f aca="false">IF(C300=5,0,H300*(1+F300)^G300)</f>
        <v>0</v>
      </c>
      <c r="R300" s="21" t="n">
        <f aca="false">IF(C300=5,0,Q300*LOOKUP(Q300,FeeLo,FeeR)*(1+VAT))</f>
        <v>0</v>
      </c>
      <c r="S300" s="21" t="n">
        <f aca="false">IF(J300&gt;0,-CUMIPMT(Rm,LoanYears*12,J300,1,(G300-O300)*12,0),0)</f>
        <v>0</v>
      </c>
      <c r="T300" s="29" t="n">
        <f aca="false">IF(C300=5,0,SUMIFS(Sch_Total,Sch_Idx,A300,Sch_Scen,E300,Sch_Year,"&lt;="&amp;G300))</f>
        <v>0</v>
      </c>
      <c r="U300" s="21" t="n">
        <f aca="false">K300+L300+R300</f>
        <v>0</v>
      </c>
      <c r="V300" s="21" t="n">
        <f aca="false">IF(C300=5,0,Q300-H300-U300)</f>
        <v>0</v>
      </c>
      <c r="W300" s="21" t="n">
        <f aca="false">IF(C300=5,0,MAX(0,IF(P300&gt;=2,IF(Q300&gt;Exempt,V300*(Q300-Exempt)/Q300,0),V300)))</f>
        <v>0</v>
      </c>
      <c r="X300" s="10" t="n">
        <f aca="false">IF(P300&gt;=2,MIN(MaxDed,MIN(0.4,HoldRate*G300)+MIN(0.4,LiveRate*P300)),IF(G300&gt;=3,MIN(0.3,0.02*G300),0))</f>
        <v>0.2</v>
      </c>
      <c r="Y300" s="21" t="n">
        <f aca="false">MAX(0,W300*(1-X300)-InitDed)</f>
        <v>0</v>
      </c>
      <c r="Z300" s="29" t="n">
        <f aca="false">SUMPRODUCT((Y300&gt;CLo)*(Y300-CLo)*CD)*(1+LocalTax)</f>
        <v>0</v>
      </c>
      <c r="AA300" s="21" t="n">
        <f aca="false">K300+T300+Z300</f>
        <v>0</v>
      </c>
      <c r="AB300" s="29" t="n">
        <f aca="false">IF(C300=5,0,(Q300-H300)-K300-L300-R300-S300-T300-Z300)</f>
        <v>0</v>
      </c>
      <c r="AC300" s="21" t="n">
        <f aca="false">IF(C300=5,0,N300*((1+DepRate*(1-DepTax))^G300-1))</f>
        <v>0</v>
      </c>
      <c r="AD300" s="29" t="n">
        <f aca="false">IF(C300=5,0,AB300-AC300+I300*(((1+DepRate*(1-DepTax))^G300-1)-((1+DepRate*(1-DepTax))^O300-1)))</f>
        <v>0</v>
      </c>
      <c r="AE300" s="30" t="n">
        <f aca="false">IF(J300&gt;0,-PMT(Rm,LoanYears*12,J300)*10000,0)</f>
        <v>0</v>
      </c>
      <c r="AF300" s="21" t="n">
        <f aca="false">IF(J300&gt;0,-PMT((Rate+Stress)/12,LoanYears*12,J300)*12/DSR,0)</f>
        <v>0</v>
      </c>
      <c r="AG300" s="20" t="n">
        <f aca="false">IF(N300&lt;=CapA,1,0)</f>
        <v>1</v>
      </c>
      <c r="AH300" s="20" t="n">
        <f aca="false">IF(N300&lt;=CapB,1,0)</f>
        <v>1</v>
      </c>
      <c r="AI300" s="20" t="n">
        <f aca="false">IF(N300&lt;=CapC,1,0)</f>
        <v>1</v>
      </c>
      <c r="AJ300" s="21" t="n">
        <f aca="false">IF(AG300=1,AD300,-999)</f>
        <v>0</v>
      </c>
      <c r="AK300" s="21" t="n">
        <f aca="false">IF(AH300=1,AD300,-999)</f>
        <v>0</v>
      </c>
      <c r="AL300" s="21" t="n">
        <f aca="false">IF(AI300=1,AD300,-999)</f>
        <v>0</v>
      </c>
      <c r="AM300" s="21" t="str">
        <f aca="false">C300&amp;"|"&amp;E300&amp;"|"&amp;G300&amp;"|"&amp;TEXT(AJ300,"0.00000")</f>
        <v>5|1|10|0.00000</v>
      </c>
      <c r="AN300" s="21" t="str">
        <f aca="false">C300&amp;"|"&amp;E300&amp;"|"&amp;G300&amp;"|"&amp;TEXT(AK300,"0.00000")</f>
        <v>5|1|10|0.00000</v>
      </c>
      <c r="AO300" s="21" t="str">
        <f aca="false">C300&amp;"|"&amp;E300&amp;"|"&amp;G300&amp;"|"&amp;TEXT(AL300,"0.00000")</f>
        <v>5|1|10|0.00000</v>
      </c>
    </row>
    <row r="301" customFormat="false" ht="15" hidden="false" customHeight="false" outlineLevel="0" collapsed="false">
      <c r="A301" s="20" t="n">
        <v>10</v>
      </c>
      <c r="B301" s="18" t="str">
        <f aca="false">INDEX(C_Name,A301)</f>
        <v>흑석리버파크자이 85㎡</v>
      </c>
      <c r="C301" s="20" t="n">
        <v>5</v>
      </c>
      <c r="D301" s="21" t="str">
        <f aca="false">CHOOSE(C301,"1안 표준형(대출 최대)","2안 절충형(대출 50%)","3안 무대출형","4안 임대차 승계 후 입주","5안 매수 보류(전세 거주)")</f>
        <v>5안 매수 보류(전세 거주)</v>
      </c>
      <c r="E301" s="20" t="n">
        <v>2</v>
      </c>
      <c r="F301" s="10" t="n">
        <f aca="false">CHOOSE(E301,GrowLo,GrowMid,GrowHi)</f>
        <v>0.04</v>
      </c>
      <c r="G301" s="20" t="n">
        <v>5</v>
      </c>
      <c r="H301" s="18" t="n">
        <f aca="false">INDEX(C_Price,A301)</f>
        <v>23.07</v>
      </c>
      <c r="I301" s="18" t="n">
        <f aca="false">INDEX(C_Jeonse,A301)</f>
        <v>11.9964</v>
      </c>
      <c r="J301" s="21" t="n">
        <f aca="false">IF(C301=5,0,IF(C301=1,INDEX(C_Loan,A301),IF(C301=2,INDEX(C_Loan,A301)*LoanShare2,IF(C301=3,0,MIN(INDEX(C_Loan,A301),I301)))))</f>
        <v>0</v>
      </c>
      <c r="K301" s="18" t="n">
        <f aca="false">IF(C301=5,0,INDEX(C_Acq,A301))</f>
        <v>0</v>
      </c>
      <c r="L301" s="18" t="n">
        <f aca="false">IF(C301=5,0,INDEX(C_Fee,A301))</f>
        <v>0</v>
      </c>
      <c r="M301" s="21" t="n">
        <f aca="false">IF(C301=4,MAX(0,I301-J301),0)</f>
        <v>0</v>
      </c>
      <c r="N301" s="21" t="n">
        <f aca="false">IF(C301=5,I301,IF(C301=4,(H301-I301)+K301+L301+M301,H301-J301+K301+L301))</f>
        <v>11.9964</v>
      </c>
      <c r="O301" s="20" t="n">
        <f aca="false">IF(C301=4,RentYears,0)</f>
        <v>0</v>
      </c>
      <c r="P301" s="20" t="n">
        <f aca="false">IF(C301=5,0,MAX(0,G301-O301-NonRes))</f>
        <v>0</v>
      </c>
      <c r="Q301" s="21" t="n">
        <f aca="false">IF(C301=5,0,H301*(1+F301)^G301)</f>
        <v>0</v>
      </c>
      <c r="R301" s="21" t="n">
        <f aca="false">IF(C301=5,0,Q301*LOOKUP(Q301,FeeLo,FeeR)*(1+VAT))</f>
        <v>0</v>
      </c>
      <c r="S301" s="21" t="n">
        <f aca="false">IF(J301&gt;0,-CUMIPMT(Rm,LoanYears*12,J301,1,(G301-O301)*12,0),0)</f>
        <v>0</v>
      </c>
      <c r="T301" s="29" t="n">
        <f aca="false">IF(C301=5,0,SUMIFS(Sch_Total,Sch_Idx,A301,Sch_Scen,E301,Sch_Year,"&lt;="&amp;G301))</f>
        <v>0</v>
      </c>
      <c r="U301" s="21" t="n">
        <f aca="false">K301+L301+R301</f>
        <v>0</v>
      </c>
      <c r="V301" s="21" t="n">
        <f aca="false">IF(C301=5,0,Q301-H301-U301)</f>
        <v>0</v>
      </c>
      <c r="W301" s="21" t="n">
        <f aca="false">IF(C301=5,0,MAX(0,IF(P301&gt;=2,IF(Q301&gt;Exempt,V301*(Q301-Exempt)/Q301,0),V301)))</f>
        <v>0</v>
      </c>
      <c r="X301" s="10" t="n">
        <f aca="false">IF(P301&gt;=2,MIN(MaxDed,MIN(0.4,HoldRate*G301)+MIN(0.4,LiveRate*P301)),IF(G301&gt;=3,MIN(0.3,0.02*G301),0))</f>
        <v>0.1</v>
      </c>
      <c r="Y301" s="21" t="n">
        <f aca="false">MAX(0,W301*(1-X301)-InitDed)</f>
        <v>0</v>
      </c>
      <c r="Z301" s="29" t="n">
        <f aca="false">SUMPRODUCT((Y301&gt;CLo)*(Y301-CLo)*CD)*(1+LocalTax)</f>
        <v>0</v>
      </c>
      <c r="AA301" s="21" t="n">
        <f aca="false">K301+T301+Z301</f>
        <v>0</v>
      </c>
      <c r="AB301" s="29" t="n">
        <f aca="false">IF(C301=5,0,(Q301-H301)-K301-L301-R301-S301-T301-Z301)</f>
        <v>0</v>
      </c>
      <c r="AC301" s="21" t="n">
        <f aca="false">IF(C301=5,0,N301*((1+DepRate*(1-DepTax))^G301-1))</f>
        <v>0</v>
      </c>
      <c r="AD301" s="29" t="n">
        <f aca="false">IF(C301=5,0,AB301-AC301+I301*(((1+DepRate*(1-DepTax))^G301-1)-((1+DepRate*(1-DepTax))^O301-1)))</f>
        <v>0</v>
      </c>
      <c r="AE301" s="30" t="n">
        <f aca="false">IF(J301&gt;0,-PMT(Rm,LoanYears*12,J301)*10000,0)</f>
        <v>0</v>
      </c>
      <c r="AF301" s="21" t="n">
        <f aca="false">IF(J301&gt;0,-PMT((Rate+Stress)/12,LoanYears*12,J301)*12/DSR,0)</f>
        <v>0</v>
      </c>
      <c r="AG301" s="20" t="n">
        <f aca="false">IF(N301&lt;=CapA,1,0)</f>
        <v>1</v>
      </c>
      <c r="AH301" s="20" t="n">
        <f aca="false">IF(N301&lt;=CapB,1,0)</f>
        <v>1</v>
      </c>
      <c r="AI301" s="20" t="n">
        <f aca="false">IF(N301&lt;=CapC,1,0)</f>
        <v>1</v>
      </c>
      <c r="AJ301" s="21" t="n">
        <f aca="false">IF(AG301=1,AD301,-999)</f>
        <v>0</v>
      </c>
      <c r="AK301" s="21" t="n">
        <f aca="false">IF(AH301=1,AD301,-999)</f>
        <v>0</v>
      </c>
      <c r="AL301" s="21" t="n">
        <f aca="false">IF(AI301=1,AD301,-999)</f>
        <v>0</v>
      </c>
      <c r="AM301" s="21" t="str">
        <f aca="false">C301&amp;"|"&amp;E301&amp;"|"&amp;G301&amp;"|"&amp;TEXT(AJ301,"0.00000")</f>
        <v>5|2|5|0.00000</v>
      </c>
      <c r="AN301" s="21" t="str">
        <f aca="false">C301&amp;"|"&amp;E301&amp;"|"&amp;G301&amp;"|"&amp;TEXT(AK301,"0.00000")</f>
        <v>5|2|5|0.00000</v>
      </c>
      <c r="AO301" s="21" t="str">
        <f aca="false">C301&amp;"|"&amp;E301&amp;"|"&amp;G301&amp;"|"&amp;TEXT(AL301,"0.00000")</f>
        <v>5|2|5|0.00000</v>
      </c>
    </row>
    <row r="302" customFormat="false" ht="15" hidden="false" customHeight="false" outlineLevel="0" collapsed="false">
      <c r="A302" s="20" t="n">
        <v>10</v>
      </c>
      <c r="B302" s="18" t="str">
        <f aca="false">INDEX(C_Name,A302)</f>
        <v>흑석리버파크자이 85㎡</v>
      </c>
      <c r="C302" s="20" t="n">
        <v>5</v>
      </c>
      <c r="D302" s="21" t="str">
        <f aca="false">CHOOSE(C302,"1안 표준형(대출 최대)","2안 절충형(대출 50%)","3안 무대출형","4안 임대차 승계 후 입주","5안 매수 보류(전세 거주)")</f>
        <v>5안 매수 보류(전세 거주)</v>
      </c>
      <c r="E302" s="20" t="n">
        <v>2</v>
      </c>
      <c r="F302" s="10" t="n">
        <f aca="false">CHOOSE(E302,GrowLo,GrowMid,GrowHi)</f>
        <v>0.04</v>
      </c>
      <c r="G302" s="20" t="n">
        <v>10</v>
      </c>
      <c r="H302" s="18" t="n">
        <f aca="false">INDEX(C_Price,A302)</f>
        <v>23.07</v>
      </c>
      <c r="I302" s="18" t="n">
        <f aca="false">INDEX(C_Jeonse,A302)</f>
        <v>11.9964</v>
      </c>
      <c r="J302" s="21" t="n">
        <f aca="false">IF(C302=5,0,IF(C302=1,INDEX(C_Loan,A302),IF(C302=2,INDEX(C_Loan,A302)*LoanShare2,IF(C302=3,0,MIN(INDEX(C_Loan,A302),I302)))))</f>
        <v>0</v>
      </c>
      <c r="K302" s="18" t="n">
        <f aca="false">IF(C302=5,0,INDEX(C_Acq,A302))</f>
        <v>0</v>
      </c>
      <c r="L302" s="18" t="n">
        <f aca="false">IF(C302=5,0,INDEX(C_Fee,A302))</f>
        <v>0</v>
      </c>
      <c r="M302" s="21" t="n">
        <f aca="false">IF(C302=4,MAX(0,I302-J302),0)</f>
        <v>0</v>
      </c>
      <c r="N302" s="21" t="n">
        <f aca="false">IF(C302=5,I302,IF(C302=4,(H302-I302)+K302+L302+M302,H302-J302+K302+L302))</f>
        <v>11.9964</v>
      </c>
      <c r="O302" s="20" t="n">
        <f aca="false">IF(C302=4,RentYears,0)</f>
        <v>0</v>
      </c>
      <c r="P302" s="20" t="n">
        <f aca="false">IF(C302=5,0,MAX(0,G302-O302-NonRes))</f>
        <v>0</v>
      </c>
      <c r="Q302" s="21" t="n">
        <f aca="false">IF(C302=5,0,H302*(1+F302)^G302)</f>
        <v>0</v>
      </c>
      <c r="R302" s="21" t="n">
        <f aca="false">IF(C302=5,0,Q302*LOOKUP(Q302,FeeLo,FeeR)*(1+VAT))</f>
        <v>0</v>
      </c>
      <c r="S302" s="21" t="n">
        <f aca="false">IF(J302&gt;0,-CUMIPMT(Rm,LoanYears*12,J302,1,(G302-O302)*12,0),0)</f>
        <v>0</v>
      </c>
      <c r="T302" s="29" t="n">
        <f aca="false">IF(C302=5,0,SUMIFS(Sch_Total,Sch_Idx,A302,Sch_Scen,E302,Sch_Year,"&lt;="&amp;G302))</f>
        <v>0</v>
      </c>
      <c r="U302" s="21" t="n">
        <f aca="false">K302+L302+R302</f>
        <v>0</v>
      </c>
      <c r="V302" s="21" t="n">
        <f aca="false">IF(C302=5,0,Q302-H302-U302)</f>
        <v>0</v>
      </c>
      <c r="W302" s="21" t="n">
        <f aca="false">IF(C302=5,0,MAX(0,IF(P302&gt;=2,IF(Q302&gt;Exempt,V302*(Q302-Exempt)/Q302,0),V302)))</f>
        <v>0</v>
      </c>
      <c r="X302" s="10" t="n">
        <f aca="false">IF(P302&gt;=2,MIN(MaxDed,MIN(0.4,HoldRate*G302)+MIN(0.4,LiveRate*P302)),IF(G302&gt;=3,MIN(0.3,0.02*G302),0))</f>
        <v>0.2</v>
      </c>
      <c r="Y302" s="21" t="n">
        <f aca="false">MAX(0,W302*(1-X302)-InitDed)</f>
        <v>0</v>
      </c>
      <c r="Z302" s="29" t="n">
        <f aca="false">SUMPRODUCT((Y302&gt;CLo)*(Y302-CLo)*CD)*(1+LocalTax)</f>
        <v>0</v>
      </c>
      <c r="AA302" s="21" t="n">
        <f aca="false">K302+T302+Z302</f>
        <v>0</v>
      </c>
      <c r="AB302" s="29" t="n">
        <f aca="false">IF(C302=5,0,(Q302-H302)-K302-L302-R302-S302-T302-Z302)</f>
        <v>0</v>
      </c>
      <c r="AC302" s="21" t="n">
        <f aca="false">IF(C302=5,0,N302*((1+DepRate*(1-DepTax))^G302-1))</f>
        <v>0</v>
      </c>
      <c r="AD302" s="29" t="n">
        <f aca="false">IF(C302=5,0,AB302-AC302+I302*(((1+DepRate*(1-DepTax))^G302-1)-((1+DepRate*(1-DepTax))^O302-1)))</f>
        <v>0</v>
      </c>
      <c r="AE302" s="30" t="n">
        <f aca="false">IF(J302&gt;0,-PMT(Rm,LoanYears*12,J302)*10000,0)</f>
        <v>0</v>
      </c>
      <c r="AF302" s="21" t="n">
        <f aca="false">IF(J302&gt;0,-PMT((Rate+Stress)/12,LoanYears*12,J302)*12/DSR,0)</f>
        <v>0</v>
      </c>
      <c r="AG302" s="20" t="n">
        <f aca="false">IF(N302&lt;=CapA,1,0)</f>
        <v>1</v>
      </c>
      <c r="AH302" s="20" t="n">
        <f aca="false">IF(N302&lt;=CapB,1,0)</f>
        <v>1</v>
      </c>
      <c r="AI302" s="20" t="n">
        <f aca="false">IF(N302&lt;=CapC,1,0)</f>
        <v>1</v>
      </c>
      <c r="AJ302" s="21" t="n">
        <f aca="false">IF(AG302=1,AD302,-999)</f>
        <v>0</v>
      </c>
      <c r="AK302" s="21" t="n">
        <f aca="false">IF(AH302=1,AD302,-999)</f>
        <v>0</v>
      </c>
      <c r="AL302" s="21" t="n">
        <f aca="false">IF(AI302=1,AD302,-999)</f>
        <v>0</v>
      </c>
      <c r="AM302" s="21" t="str">
        <f aca="false">C302&amp;"|"&amp;E302&amp;"|"&amp;G302&amp;"|"&amp;TEXT(AJ302,"0.00000")</f>
        <v>5|2|10|0.00000</v>
      </c>
      <c r="AN302" s="21" t="str">
        <f aca="false">C302&amp;"|"&amp;E302&amp;"|"&amp;G302&amp;"|"&amp;TEXT(AK302,"0.00000")</f>
        <v>5|2|10|0.00000</v>
      </c>
      <c r="AO302" s="21" t="str">
        <f aca="false">C302&amp;"|"&amp;E302&amp;"|"&amp;G302&amp;"|"&amp;TEXT(AL302,"0.00000")</f>
        <v>5|2|10|0.00000</v>
      </c>
    </row>
    <row r="303" customFormat="false" ht="15" hidden="false" customHeight="false" outlineLevel="0" collapsed="false">
      <c r="A303" s="20" t="n">
        <v>10</v>
      </c>
      <c r="B303" s="18" t="str">
        <f aca="false">INDEX(C_Name,A303)</f>
        <v>흑석리버파크자이 85㎡</v>
      </c>
      <c r="C303" s="20" t="n">
        <v>5</v>
      </c>
      <c r="D303" s="21" t="str">
        <f aca="false">CHOOSE(C303,"1안 표준형(대출 최대)","2안 절충형(대출 50%)","3안 무대출형","4안 임대차 승계 후 입주","5안 매수 보류(전세 거주)")</f>
        <v>5안 매수 보류(전세 거주)</v>
      </c>
      <c r="E303" s="20" t="n">
        <v>3</v>
      </c>
      <c r="F303" s="10" t="n">
        <f aca="false">CHOOSE(E303,GrowLo,GrowMid,GrowHi)</f>
        <v>0.06</v>
      </c>
      <c r="G303" s="20" t="n">
        <v>5</v>
      </c>
      <c r="H303" s="18" t="n">
        <f aca="false">INDEX(C_Price,A303)</f>
        <v>23.07</v>
      </c>
      <c r="I303" s="18" t="n">
        <f aca="false">INDEX(C_Jeonse,A303)</f>
        <v>11.9964</v>
      </c>
      <c r="J303" s="21" t="n">
        <f aca="false">IF(C303=5,0,IF(C303=1,INDEX(C_Loan,A303),IF(C303=2,INDEX(C_Loan,A303)*LoanShare2,IF(C303=3,0,MIN(INDEX(C_Loan,A303),I303)))))</f>
        <v>0</v>
      </c>
      <c r="K303" s="18" t="n">
        <f aca="false">IF(C303=5,0,INDEX(C_Acq,A303))</f>
        <v>0</v>
      </c>
      <c r="L303" s="18" t="n">
        <f aca="false">IF(C303=5,0,INDEX(C_Fee,A303))</f>
        <v>0</v>
      </c>
      <c r="M303" s="21" t="n">
        <f aca="false">IF(C303=4,MAX(0,I303-J303),0)</f>
        <v>0</v>
      </c>
      <c r="N303" s="21" t="n">
        <f aca="false">IF(C303=5,I303,IF(C303=4,(H303-I303)+K303+L303+M303,H303-J303+K303+L303))</f>
        <v>11.9964</v>
      </c>
      <c r="O303" s="20" t="n">
        <f aca="false">IF(C303=4,RentYears,0)</f>
        <v>0</v>
      </c>
      <c r="P303" s="20" t="n">
        <f aca="false">IF(C303=5,0,MAX(0,G303-O303-NonRes))</f>
        <v>0</v>
      </c>
      <c r="Q303" s="21" t="n">
        <f aca="false">IF(C303=5,0,H303*(1+F303)^G303)</f>
        <v>0</v>
      </c>
      <c r="R303" s="21" t="n">
        <f aca="false">IF(C303=5,0,Q303*LOOKUP(Q303,FeeLo,FeeR)*(1+VAT))</f>
        <v>0</v>
      </c>
      <c r="S303" s="21" t="n">
        <f aca="false">IF(J303&gt;0,-CUMIPMT(Rm,LoanYears*12,J303,1,(G303-O303)*12,0),0)</f>
        <v>0</v>
      </c>
      <c r="T303" s="29" t="n">
        <f aca="false">IF(C303=5,0,SUMIFS(Sch_Total,Sch_Idx,A303,Sch_Scen,E303,Sch_Year,"&lt;="&amp;G303))</f>
        <v>0</v>
      </c>
      <c r="U303" s="21" t="n">
        <f aca="false">K303+L303+R303</f>
        <v>0</v>
      </c>
      <c r="V303" s="21" t="n">
        <f aca="false">IF(C303=5,0,Q303-H303-U303)</f>
        <v>0</v>
      </c>
      <c r="W303" s="21" t="n">
        <f aca="false">IF(C303=5,0,MAX(0,IF(P303&gt;=2,IF(Q303&gt;Exempt,V303*(Q303-Exempt)/Q303,0),V303)))</f>
        <v>0</v>
      </c>
      <c r="X303" s="10" t="n">
        <f aca="false">IF(P303&gt;=2,MIN(MaxDed,MIN(0.4,HoldRate*G303)+MIN(0.4,LiveRate*P303)),IF(G303&gt;=3,MIN(0.3,0.02*G303),0))</f>
        <v>0.1</v>
      </c>
      <c r="Y303" s="21" t="n">
        <f aca="false">MAX(0,W303*(1-X303)-InitDed)</f>
        <v>0</v>
      </c>
      <c r="Z303" s="29" t="n">
        <f aca="false">SUMPRODUCT((Y303&gt;CLo)*(Y303-CLo)*CD)*(1+LocalTax)</f>
        <v>0</v>
      </c>
      <c r="AA303" s="21" t="n">
        <f aca="false">K303+T303+Z303</f>
        <v>0</v>
      </c>
      <c r="AB303" s="29" t="n">
        <f aca="false">IF(C303=5,0,(Q303-H303)-K303-L303-R303-S303-T303-Z303)</f>
        <v>0</v>
      </c>
      <c r="AC303" s="21" t="n">
        <f aca="false">IF(C303=5,0,N303*((1+DepRate*(1-DepTax))^G303-1))</f>
        <v>0</v>
      </c>
      <c r="AD303" s="29" t="n">
        <f aca="false">IF(C303=5,0,AB303-AC303+I303*(((1+DepRate*(1-DepTax))^G303-1)-((1+DepRate*(1-DepTax))^O303-1)))</f>
        <v>0</v>
      </c>
      <c r="AE303" s="30" t="n">
        <f aca="false">IF(J303&gt;0,-PMT(Rm,LoanYears*12,J303)*10000,0)</f>
        <v>0</v>
      </c>
      <c r="AF303" s="21" t="n">
        <f aca="false">IF(J303&gt;0,-PMT((Rate+Stress)/12,LoanYears*12,J303)*12/DSR,0)</f>
        <v>0</v>
      </c>
      <c r="AG303" s="20" t="n">
        <f aca="false">IF(N303&lt;=CapA,1,0)</f>
        <v>1</v>
      </c>
      <c r="AH303" s="20" t="n">
        <f aca="false">IF(N303&lt;=CapB,1,0)</f>
        <v>1</v>
      </c>
      <c r="AI303" s="20" t="n">
        <f aca="false">IF(N303&lt;=CapC,1,0)</f>
        <v>1</v>
      </c>
      <c r="AJ303" s="21" t="n">
        <f aca="false">IF(AG303=1,AD303,-999)</f>
        <v>0</v>
      </c>
      <c r="AK303" s="21" t="n">
        <f aca="false">IF(AH303=1,AD303,-999)</f>
        <v>0</v>
      </c>
      <c r="AL303" s="21" t="n">
        <f aca="false">IF(AI303=1,AD303,-999)</f>
        <v>0</v>
      </c>
      <c r="AM303" s="21" t="str">
        <f aca="false">C303&amp;"|"&amp;E303&amp;"|"&amp;G303&amp;"|"&amp;TEXT(AJ303,"0.00000")</f>
        <v>5|3|5|0.00000</v>
      </c>
      <c r="AN303" s="21" t="str">
        <f aca="false">C303&amp;"|"&amp;E303&amp;"|"&amp;G303&amp;"|"&amp;TEXT(AK303,"0.00000")</f>
        <v>5|3|5|0.00000</v>
      </c>
      <c r="AO303" s="21" t="str">
        <f aca="false">C303&amp;"|"&amp;E303&amp;"|"&amp;G303&amp;"|"&amp;TEXT(AL303,"0.00000")</f>
        <v>5|3|5|0.00000</v>
      </c>
    </row>
    <row r="304" customFormat="false" ht="15" hidden="false" customHeight="false" outlineLevel="0" collapsed="false">
      <c r="A304" s="20" t="n">
        <v>10</v>
      </c>
      <c r="B304" s="18" t="str">
        <f aca="false">INDEX(C_Name,A304)</f>
        <v>흑석리버파크자이 85㎡</v>
      </c>
      <c r="C304" s="20" t="n">
        <v>5</v>
      </c>
      <c r="D304" s="21" t="str">
        <f aca="false">CHOOSE(C304,"1안 표준형(대출 최대)","2안 절충형(대출 50%)","3안 무대출형","4안 임대차 승계 후 입주","5안 매수 보류(전세 거주)")</f>
        <v>5안 매수 보류(전세 거주)</v>
      </c>
      <c r="E304" s="20" t="n">
        <v>3</v>
      </c>
      <c r="F304" s="10" t="n">
        <f aca="false">CHOOSE(E304,GrowLo,GrowMid,GrowHi)</f>
        <v>0.06</v>
      </c>
      <c r="G304" s="20" t="n">
        <v>10</v>
      </c>
      <c r="H304" s="18" t="n">
        <f aca="false">INDEX(C_Price,A304)</f>
        <v>23.07</v>
      </c>
      <c r="I304" s="18" t="n">
        <f aca="false">INDEX(C_Jeonse,A304)</f>
        <v>11.9964</v>
      </c>
      <c r="J304" s="21" t="n">
        <f aca="false">IF(C304=5,0,IF(C304=1,INDEX(C_Loan,A304),IF(C304=2,INDEX(C_Loan,A304)*LoanShare2,IF(C304=3,0,MIN(INDEX(C_Loan,A304),I304)))))</f>
        <v>0</v>
      </c>
      <c r="K304" s="18" t="n">
        <f aca="false">IF(C304=5,0,INDEX(C_Acq,A304))</f>
        <v>0</v>
      </c>
      <c r="L304" s="18" t="n">
        <f aca="false">IF(C304=5,0,INDEX(C_Fee,A304))</f>
        <v>0</v>
      </c>
      <c r="M304" s="21" t="n">
        <f aca="false">IF(C304=4,MAX(0,I304-J304),0)</f>
        <v>0</v>
      </c>
      <c r="N304" s="21" t="n">
        <f aca="false">IF(C304=5,I304,IF(C304=4,(H304-I304)+K304+L304+M304,H304-J304+K304+L304))</f>
        <v>11.9964</v>
      </c>
      <c r="O304" s="20" t="n">
        <f aca="false">IF(C304=4,RentYears,0)</f>
        <v>0</v>
      </c>
      <c r="P304" s="20" t="n">
        <f aca="false">IF(C304=5,0,MAX(0,G304-O304-NonRes))</f>
        <v>0</v>
      </c>
      <c r="Q304" s="21" t="n">
        <f aca="false">IF(C304=5,0,H304*(1+F304)^G304)</f>
        <v>0</v>
      </c>
      <c r="R304" s="21" t="n">
        <f aca="false">IF(C304=5,0,Q304*LOOKUP(Q304,FeeLo,FeeR)*(1+VAT))</f>
        <v>0</v>
      </c>
      <c r="S304" s="21" t="n">
        <f aca="false">IF(J304&gt;0,-CUMIPMT(Rm,LoanYears*12,J304,1,(G304-O304)*12,0),0)</f>
        <v>0</v>
      </c>
      <c r="T304" s="29" t="n">
        <f aca="false">IF(C304=5,0,SUMIFS(Sch_Total,Sch_Idx,A304,Sch_Scen,E304,Sch_Year,"&lt;="&amp;G304))</f>
        <v>0</v>
      </c>
      <c r="U304" s="21" t="n">
        <f aca="false">K304+L304+R304</f>
        <v>0</v>
      </c>
      <c r="V304" s="21" t="n">
        <f aca="false">IF(C304=5,0,Q304-H304-U304)</f>
        <v>0</v>
      </c>
      <c r="W304" s="21" t="n">
        <f aca="false">IF(C304=5,0,MAX(0,IF(P304&gt;=2,IF(Q304&gt;Exempt,V304*(Q304-Exempt)/Q304,0),V304)))</f>
        <v>0</v>
      </c>
      <c r="X304" s="10" t="n">
        <f aca="false">IF(P304&gt;=2,MIN(MaxDed,MIN(0.4,HoldRate*G304)+MIN(0.4,LiveRate*P304)),IF(G304&gt;=3,MIN(0.3,0.02*G304),0))</f>
        <v>0.2</v>
      </c>
      <c r="Y304" s="21" t="n">
        <f aca="false">MAX(0,W304*(1-X304)-InitDed)</f>
        <v>0</v>
      </c>
      <c r="Z304" s="29" t="n">
        <f aca="false">SUMPRODUCT((Y304&gt;CLo)*(Y304-CLo)*CD)*(1+LocalTax)</f>
        <v>0</v>
      </c>
      <c r="AA304" s="21" t="n">
        <f aca="false">K304+T304+Z304</f>
        <v>0</v>
      </c>
      <c r="AB304" s="29" t="n">
        <f aca="false">IF(C304=5,0,(Q304-H304)-K304-L304-R304-S304-T304-Z304)</f>
        <v>0</v>
      </c>
      <c r="AC304" s="21" t="n">
        <f aca="false">IF(C304=5,0,N304*((1+DepRate*(1-DepTax))^G304-1))</f>
        <v>0</v>
      </c>
      <c r="AD304" s="29" t="n">
        <f aca="false">IF(C304=5,0,AB304-AC304+I304*(((1+DepRate*(1-DepTax))^G304-1)-((1+DepRate*(1-DepTax))^O304-1)))</f>
        <v>0</v>
      </c>
      <c r="AE304" s="30" t="n">
        <f aca="false">IF(J304&gt;0,-PMT(Rm,LoanYears*12,J304)*10000,0)</f>
        <v>0</v>
      </c>
      <c r="AF304" s="21" t="n">
        <f aca="false">IF(J304&gt;0,-PMT((Rate+Stress)/12,LoanYears*12,J304)*12/DSR,0)</f>
        <v>0</v>
      </c>
      <c r="AG304" s="20" t="n">
        <f aca="false">IF(N304&lt;=CapA,1,0)</f>
        <v>1</v>
      </c>
      <c r="AH304" s="20" t="n">
        <f aca="false">IF(N304&lt;=CapB,1,0)</f>
        <v>1</v>
      </c>
      <c r="AI304" s="20" t="n">
        <f aca="false">IF(N304&lt;=CapC,1,0)</f>
        <v>1</v>
      </c>
      <c r="AJ304" s="21" t="n">
        <f aca="false">IF(AG304=1,AD304,-999)</f>
        <v>0</v>
      </c>
      <c r="AK304" s="21" t="n">
        <f aca="false">IF(AH304=1,AD304,-999)</f>
        <v>0</v>
      </c>
      <c r="AL304" s="21" t="n">
        <f aca="false">IF(AI304=1,AD304,-999)</f>
        <v>0</v>
      </c>
      <c r="AM304" s="21" t="str">
        <f aca="false">C304&amp;"|"&amp;E304&amp;"|"&amp;G304&amp;"|"&amp;TEXT(AJ304,"0.00000")</f>
        <v>5|3|10|0.00000</v>
      </c>
      <c r="AN304" s="21" t="str">
        <f aca="false">C304&amp;"|"&amp;E304&amp;"|"&amp;G304&amp;"|"&amp;TEXT(AK304,"0.00000")</f>
        <v>5|3|10|0.00000</v>
      </c>
      <c r="AO304" s="21" t="str">
        <f aca="false">C304&amp;"|"&amp;E304&amp;"|"&amp;G304&amp;"|"&amp;TEXT(AL304,"0.00000")</f>
        <v>5|3|10|0.00000</v>
      </c>
    </row>
    <row r="305" customFormat="false" ht="15" hidden="false" customHeight="false" outlineLevel="0" collapsed="false">
      <c r="A305" s="20" t="n">
        <v>11</v>
      </c>
      <c r="B305" s="18" t="str">
        <f aca="false">INDEX(C_Name,A305)</f>
        <v>흑석 아크로리버하임 84.75㎡</v>
      </c>
      <c r="C305" s="20" t="n">
        <v>1</v>
      </c>
      <c r="D305" s="21" t="str">
        <f aca="false">CHOOSE(C305,"1안 표준형(대출 최대)","2안 절충형(대출 50%)","3안 무대출형","4안 임대차 승계 후 입주","5안 매수 보류(전세 거주)")</f>
        <v>1안 표준형(대출 최대)</v>
      </c>
      <c r="E305" s="20" t="n">
        <v>1</v>
      </c>
      <c r="F305" s="10" t="n">
        <f aca="false">CHOOSE(E305,GrowLo,GrowMid,GrowHi)</f>
        <v>0.02</v>
      </c>
      <c r="G305" s="20" t="n">
        <v>5</v>
      </c>
      <c r="H305" s="18" t="n">
        <f aca="false">INDEX(C_Price,A305)</f>
        <v>28.75</v>
      </c>
      <c r="I305" s="18" t="n">
        <f aca="false">INDEX(C_Jeonse,A305)</f>
        <v>14.95</v>
      </c>
      <c r="J305" s="21" t="n">
        <f aca="false">IF(C305=5,0,IF(C305=1,INDEX(C_Loan,A305),IF(C305=2,INDEX(C_Loan,A305)*LoanShare2,IF(C305=3,0,MIN(INDEX(C_Loan,A305),I305)))))</f>
        <v>2</v>
      </c>
      <c r="K305" s="18" t="n">
        <f aca="false">IF(C305=5,0,INDEX(C_Acq,A305))</f>
        <v>0.94875</v>
      </c>
      <c r="L305" s="18" t="n">
        <f aca="false">IF(C305=5,0,INDEX(C_Fee,A305))</f>
        <v>0.241375</v>
      </c>
      <c r="M305" s="21" t="n">
        <f aca="false">IF(C305=4,MAX(0,I305-J305),0)</f>
        <v>0</v>
      </c>
      <c r="N305" s="21" t="n">
        <f aca="false">IF(C305=5,I305,IF(C305=4,(H305-I305)+K305+L305+M305,H305-J305+K305+L305))</f>
        <v>27.940125</v>
      </c>
      <c r="O305" s="20" t="n">
        <f aca="false">IF(C305=4,RentYears,0)</f>
        <v>0</v>
      </c>
      <c r="P305" s="20" t="n">
        <f aca="false">IF(C305=5,0,MAX(0,G305-O305-NonRes))</f>
        <v>5</v>
      </c>
      <c r="Q305" s="21" t="n">
        <f aca="false">IF(C305=5,0,H305*(1+F305)^G305)</f>
        <v>31.742323092</v>
      </c>
      <c r="R305" s="21" t="n">
        <f aca="false">IF(C305=5,0,Q305*LOOKUP(Q305,FeeLo,FeeR)*(1+VAT))</f>
        <v>0.2444158878084</v>
      </c>
      <c r="S305" s="21" t="n">
        <f aca="false">IF(J305&gt;0,-CUMIPMT(Rm,LoanYears*12,J305,1,(G305-O305)*12,0),0)</f>
        <v>0.38184861728037</v>
      </c>
      <c r="T305" s="29" t="n">
        <f aca="false">IF(C305=5,0,SUMIFS(Sch_Total,Sch_Idx,A305,Sch_Scen,E305,Sch_Year,"&lt;="&amp;G305))</f>
        <v>0.52813988486424</v>
      </c>
      <c r="U305" s="21" t="n">
        <f aca="false">K305+L305+R305</f>
        <v>1.4345408878084</v>
      </c>
      <c r="V305" s="21" t="n">
        <f aca="false">IF(C305=5,0,Q305-H305-U305)</f>
        <v>1.5577822041916</v>
      </c>
      <c r="W305" s="21" t="n">
        <f aca="false">IF(C305=5,0,MAX(0,IF(P305&gt;=2,IF(Q305&gt;Exempt,V305*(Q305-Exempt)/Q305,0),V305)))</f>
        <v>0.96887173295358</v>
      </c>
      <c r="X305" s="10" t="n">
        <f aca="false">IF(P305&gt;=2,MIN(MaxDed,MIN(0.4,HoldRate*G305)+MIN(0.4,LiveRate*P305)),IF(G305&gt;=3,MIN(0.3,0.02*G305),0))</f>
        <v>0.4</v>
      </c>
      <c r="Y305" s="21" t="n">
        <f aca="false">MAX(0,W305*(1-X305)-InitDed)</f>
        <v>0.556323039772148</v>
      </c>
      <c r="Z305" s="29" t="n">
        <f aca="false">SUMPRODUCT((Y305&gt;CLo)*(Y305-CLo)*CD)*(1+LocalTax)</f>
        <v>0.083509282499847</v>
      </c>
      <c r="AA305" s="21" t="n">
        <f aca="false">K305+T305+Z305</f>
        <v>1.56039916736409</v>
      </c>
      <c r="AB305" s="29" t="n">
        <f aca="false">IF(C305=5,0,(Q305-H305)-K305-L305-R305-S305-T305-Z305)</f>
        <v>0.564284419547142</v>
      </c>
      <c r="AC305" s="21" t="n">
        <f aca="false">IF(C305=5,0,N305*((1+DepRate*(1-DepTax))^G305-1))</f>
        <v>3.73020263130271</v>
      </c>
      <c r="AD305" s="29" t="n">
        <f aca="false">IF(C305=5,0,AB305-AC305+I305*(((1+DepRate*(1-DepTax))^G305-1)-((1+DepRate*(1-DepTax))^O305-1)))</f>
        <v>-1.16998836756284</v>
      </c>
      <c r="AE305" s="30" t="n">
        <f aca="false">IF(J305&gt;0,-PMT(Rm,LoanYears*12,J305)*10000,0)</f>
        <v>95.4830590930919</v>
      </c>
      <c r="AF305" s="21" t="n">
        <f aca="false">IF(J305&gt;0,-PMT((Rate+Stress)/12,LoanYears*12,J305)*12/DSR,0)</f>
        <v>0.39918149710751</v>
      </c>
      <c r="AG305" s="20" t="n">
        <f aca="false">IF(N305&lt;=CapA,1,0)</f>
        <v>0</v>
      </c>
      <c r="AH305" s="20" t="n">
        <f aca="false">IF(N305&lt;=CapB,1,0)</f>
        <v>0</v>
      </c>
      <c r="AI305" s="20" t="n">
        <f aca="false">IF(N305&lt;=CapC,1,0)</f>
        <v>0</v>
      </c>
      <c r="AJ305" s="21" t="n">
        <f aca="false">IF(AG305=1,AD305,-999)</f>
        <v>-999</v>
      </c>
      <c r="AK305" s="21" t="n">
        <f aca="false">IF(AH305=1,AD305,-999)</f>
        <v>-999</v>
      </c>
      <c r="AL305" s="21" t="n">
        <f aca="false">IF(AI305=1,AD305,-999)</f>
        <v>-999</v>
      </c>
      <c r="AM305" s="21" t="str">
        <f aca="false">C305&amp;"|"&amp;E305&amp;"|"&amp;G305&amp;"|"&amp;TEXT(AJ305,"0.00000")</f>
        <v>1|1|5|-999.00000</v>
      </c>
      <c r="AN305" s="21" t="str">
        <f aca="false">C305&amp;"|"&amp;E305&amp;"|"&amp;G305&amp;"|"&amp;TEXT(AK305,"0.00000")</f>
        <v>1|1|5|-999.00000</v>
      </c>
      <c r="AO305" s="21" t="str">
        <f aca="false">C305&amp;"|"&amp;E305&amp;"|"&amp;G305&amp;"|"&amp;TEXT(AL305,"0.00000")</f>
        <v>1|1|5|-999.00000</v>
      </c>
    </row>
    <row r="306" customFormat="false" ht="15" hidden="false" customHeight="false" outlineLevel="0" collapsed="false">
      <c r="A306" s="20" t="n">
        <v>11</v>
      </c>
      <c r="B306" s="18" t="str">
        <f aca="false">INDEX(C_Name,A306)</f>
        <v>흑석 아크로리버하임 84.75㎡</v>
      </c>
      <c r="C306" s="20" t="n">
        <v>1</v>
      </c>
      <c r="D306" s="21" t="str">
        <f aca="false">CHOOSE(C306,"1안 표준형(대출 최대)","2안 절충형(대출 50%)","3안 무대출형","4안 임대차 승계 후 입주","5안 매수 보류(전세 거주)")</f>
        <v>1안 표준형(대출 최대)</v>
      </c>
      <c r="E306" s="20" t="n">
        <v>1</v>
      </c>
      <c r="F306" s="10" t="n">
        <f aca="false">CHOOSE(E306,GrowLo,GrowMid,GrowHi)</f>
        <v>0.02</v>
      </c>
      <c r="G306" s="20" t="n">
        <v>10</v>
      </c>
      <c r="H306" s="18" t="n">
        <f aca="false">INDEX(C_Price,A306)</f>
        <v>28.75</v>
      </c>
      <c r="I306" s="18" t="n">
        <f aca="false">INDEX(C_Jeonse,A306)</f>
        <v>14.95</v>
      </c>
      <c r="J306" s="21" t="n">
        <f aca="false">IF(C306=5,0,IF(C306=1,INDEX(C_Loan,A306),IF(C306=2,INDEX(C_Loan,A306)*LoanShare2,IF(C306=3,0,MIN(INDEX(C_Loan,A306),I306)))))</f>
        <v>2</v>
      </c>
      <c r="K306" s="18" t="n">
        <f aca="false">IF(C306=5,0,INDEX(C_Acq,A306))</f>
        <v>0.94875</v>
      </c>
      <c r="L306" s="18" t="n">
        <f aca="false">IF(C306=5,0,INDEX(C_Fee,A306))</f>
        <v>0.241375</v>
      </c>
      <c r="M306" s="21" t="n">
        <f aca="false">IF(C306=4,MAX(0,I306-J306),0)</f>
        <v>0</v>
      </c>
      <c r="N306" s="21" t="n">
        <f aca="false">IF(C306=5,I306,IF(C306=4,(H306-I306)+K306+L306+M306,H306-J306+K306+L306))</f>
        <v>27.940125</v>
      </c>
      <c r="O306" s="20" t="n">
        <f aca="false">IF(C306=4,RentYears,0)</f>
        <v>0</v>
      </c>
      <c r="P306" s="20" t="n">
        <f aca="false">IF(C306=5,0,MAX(0,G306-O306-NonRes))</f>
        <v>10</v>
      </c>
      <c r="Q306" s="21" t="n">
        <f aca="false">IF(C306=5,0,H306*(1+F306)^G306)</f>
        <v>35.0460895748493</v>
      </c>
      <c r="R306" s="21" t="n">
        <f aca="false">IF(C306=5,0,Q306*LOOKUP(Q306,FeeLo,FeeR)*(1+VAT))</f>
        <v>0.26985488972634</v>
      </c>
      <c r="S306" s="21" t="n">
        <f aca="false">IF(J306&gt;0,-CUMIPMT(Rm,LoanYears*12,J306,1,(G306-O306)*12,0),0)</f>
        <v>0.721475893348725</v>
      </c>
      <c r="T306" s="29" t="n">
        <f aca="false">IF(C306=5,0,SUMIFS(Sch_Total,Sch_Idx,A306,Sch_Scen,E306,Sch_Year,"&lt;="&amp;G306))</f>
        <v>1.15921211127656</v>
      </c>
      <c r="U306" s="21" t="n">
        <f aca="false">K306+L306+R306</f>
        <v>1.45997988972634</v>
      </c>
      <c r="V306" s="21" t="n">
        <f aca="false">IF(C306=5,0,Q306-H306-U306)</f>
        <v>4.83610968512294</v>
      </c>
      <c r="W306" s="21" t="n">
        <f aca="false">IF(C306=5,0,MAX(0,IF(P306&gt;=2,IF(Q306&gt;Exempt,V306*(Q306-Exempt)/Q306,0),V306)))</f>
        <v>3.18019551822191</v>
      </c>
      <c r="X306" s="10" t="n">
        <f aca="false">IF(P306&gt;=2,MIN(MaxDed,MIN(0.4,HoldRate*G306)+MIN(0.4,LiveRate*P306)),IF(G306&gt;=3,MIN(0.3,0.02*G306),0))</f>
        <v>0.8</v>
      </c>
      <c r="Y306" s="21" t="n">
        <f aca="false">MAX(0,W306*(1-X306)-InitDed)</f>
        <v>0.611039103644382</v>
      </c>
      <c r="Z306" s="29" t="n">
        <f aca="false">SUMPRODUCT((Y306&gt;CLo)*(Y306-CLo)*CD)*(1+LocalTax)</f>
        <v>0.0979543233621169</v>
      </c>
      <c r="AA306" s="21" t="n">
        <f aca="false">K306+T306+Z306</f>
        <v>2.20591643463867</v>
      </c>
      <c r="AB306" s="29" t="n">
        <f aca="false">IF(C306=5,0,(Q306-H306)-K306-L306-R306-S306-T306-Z306)</f>
        <v>2.85746735713554</v>
      </c>
      <c r="AC306" s="21" t="n">
        <f aca="false">IF(C306=5,0,N306*((1+DepRate*(1-DepTax))^G306-1))</f>
        <v>7.95841347375615</v>
      </c>
      <c r="AD306" s="29" t="n">
        <f aca="false">IF(C306=5,0,AB306-AC306+I306*(((1+DepRate*(1-DepTax))^G306-1)-((1+DepRate*(1-DepTax))^O306-1)))</f>
        <v>-0.842615796600408</v>
      </c>
      <c r="AE306" s="30" t="n">
        <f aca="false">IF(J306&gt;0,-PMT(Rm,LoanYears*12,J306)*10000,0)</f>
        <v>95.4830590930919</v>
      </c>
      <c r="AF306" s="21" t="n">
        <f aca="false">IF(J306&gt;0,-PMT((Rate+Stress)/12,LoanYears*12,J306)*12/DSR,0)</f>
        <v>0.39918149710751</v>
      </c>
      <c r="AG306" s="20" t="n">
        <f aca="false">IF(N306&lt;=CapA,1,0)</f>
        <v>0</v>
      </c>
      <c r="AH306" s="20" t="n">
        <f aca="false">IF(N306&lt;=CapB,1,0)</f>
        <v>0</v>
      </c>
      <c r="AI306" s="20" t="n">
        <f aca="false">IF(N306&lt;=CapC,1,0)</f>
        <v>0</v>
      </c>
      <c r="AJ306" s="21" t="n">
        <f aca="false">IF(AG306=1,AD306,-999)</f>
        <v>-999</v>
      </c>
      <c r="AK306" s="21" t="n">
        <f aca="false">IF(AH306=1,AD306,-999)</f>
        <v>-999</v>
      </c>
      <c r="AL306" s="21" t="n">
        <f aca="false">IF(AI306=1,AD306,-999)</f>
        <v>-999</v>
      </c>
      <c r="AM306" s="21" t="str">
        <f aca="false">C306&amp;"|"&amp;E306&amp;"|"&amp;G306&amp;"|"&amp;TEXT(AJ306,"0.00000")</f>
        <v>1|1|10|-999.00000</v>
      </c>
      <c r="AN306" s="21" t="str">
        <f aca="false">C306&amp;"|"&amp;E306&amp;"|"&amp;G306&amp;"|"&amp;TEXT(AK306,"0.00000")</f>
        <v>1|1|10|-999.00000</v>
      </c>
      <c r="AO306" s="21" t="str">
        <f aca="false">C306&amp;"|"&amp;E306&amp;"|"&amp;G306&amp;"|"&amp;TEXT(AL306,"0.00000")</f>
        <v>1|1|10|-999.00000</v>
      </c>
    </row>
    <row r="307" customFormat="false" ht="15" hidden="false" customHeight="false" outlineLevel="0" collapsed="false">
      <c r="A307" s="20" t="n">
        <v>11</v>
      </c>
      <c r="B307" s="18" t="str">
        <f aca="false">INDEX(C_Name,A307)</f>
        <v>흑석 아크로리버하임 84.75㎡</v>
      </c>
      <c r="C307" s="20" t="n">
        <v>1</v>
      </c>
      <c r="D307" s="21" t="str">
        <f aca="false">CHOOSE(C307,"1안 표준형(대출 최대)","2안 절충형(대출 50%)","3안 무대출형","4안 임대차 승계 후 입주","5안 매수 보류(전세 거주)")</f>
        <v>1안 표준형(대출 최대)</v>
      </c>
      <c r="E307" s="20" t="n">
        <v>2</v>
      </c>
      <c r="F307" s="10" t="n">
        <f aca="false">CHOOSE(E307,GrowLo,GrowMid,GrowHi)</f>
        <v>0.04</v>
      </c>
      <c r="G307" s="20" t="n">
        <v>5</v>
      </c>
      <c r="H307" s="18" t="n">
        <f aca="false">INDEX(C_Price,A307)</f>
        <v>28.75</v>
      </c>
      <c r="I307" s="18" t="n">
        <f aca="false">INDEX(C_Jeonse,A307)</f>
        <v>14.95</v>
      </c>
      <c r="J307" s="21" t="n">
        <f aca="false">IF(C307=5,0,IF(C307=1,INDEX(C_Loan,A307),IF(C307=2,INDEX(C_Loan,A307)*LoanShare2,IF(C307=3,0,MIN(INDEX(C_Loan,A307),I307)))))</f>
        <v>2</v>
      </c>
      <c r="K307" s="18" t="n">
        <f aca="false">IF(C307=5,0,INDEX(C_Acq,A307))</f>
        <v>0.94875</v>
      </c>
      <c r="L307" s="18" t="n">
        <f aca="false">IF(C307=5,0,INDEX(C_Fee,A307))</f>
        <v>0.241375</v>
      </c>
      <c r="M307" s="21" t="n">
        <f aca="false">IF(C307=4,MAX(0,I307-J307),0)</f>
        <v>0</v>
      </c>
      <c r="N307" s="21" t="n">
        <f aca="false">IF(C307=5,I307,IF(C307=4,(H307-I307)+K307+L307+M307,H307-J307+K307+L307))</f>
        <v>27.940125</v>
      </c>
      <c r="O307" s="20" t="n">
        <f aca="false">IF(C307=4,RentYears,0)</f>
        <v>0</v>
      </c>
      <c r="P307" s="20" t="n">
        <f aca="false">IF(C307=5,0,MAX(0,G307-O307-NonRes))</f>
        <v>5</v>
      </c>
      <c r="Q307" s="21" t="n">
        <f aca="false">IF(C307=5,0,H307*(1+F307)^G307)</f>
        <v>34.978770944</v>
      </c>
      <c r="R307" s="21" t="n">
        <f aca="false">IF(C307=5,0,Q307*LOOKUP(Q307,FeeLo,FeeR)*(1+VAT))</f>
        <v>0.2693365362688</v>
      </c>
      <c r="S307" s="21" t="n">
        <f aca="false">IF(J307&gt;0,-CUMIPMT(Rm,LoanYears*12,J307,1,(G307-O307)*12,0),0)</f>
        <v>0.38184861728037</v>
      </c>
      <c r="T307" s="29" t="n">
        <f aca="false">IF(C307=5,0,SUMIFS(Sch_Total,Sch_Idx,A307,Sch_Scen,E307,Sch_Year,"&lt;="&amp;G307))</f>
        <v>0.56831614432128</v>
      </c>
      <c r="U307" s="21" t="n">
        <f aca="false">K307+L307+R307</f>
        <v>1.4594615362688</v>
      </c>
      <c r="V307" s="21" t="n">
        <f aca="false">IF(C307=5,0,Q307-H307-U307)</f>
        <v>4.7693094077312</v>
      </c>
      <c r="W307" s="21" t="n">
        <f aca="false">IF(C307=5,0,MAX(0,IF(P307&gt;=2,IF(Q307&gt;Exempt,V307*(Q307-Exempt)/Q307,0),V307)))</f>
        <v>3.13312519232807</v>
      </c>
      <c r="X307" s="10" t="n">
        <f aca="false">IF(P307&gt;=2,MIN(MaxDed,MIN(0.4,HoldRate*G307)+MIN(0.4,LiveRate*P307)),IF(G307&gt;=3,MIN(0.3,0.02*G307),0))</f>
        <v>0.4</v>
      </c>
      <c r="Y307" s="21" t="n">
        <f aca="false">MAX(0,W307*(1-X307)-InitDed)</f>
        <v>1.85487511539684</v>
      </c>
      <c r="Z307" s="29" t="n">
        <f aca="false">SUMPRODUCT((Y307&gt;CLo)*(Y307-CLo)*CD)*(1+LocalTax)</f>
        <v>0.555997798235881</v>
      </c>
      <c r="AA307" s="21" t="n">
        <f aca="false">K307+T307+Z307</f>
        <v>2.07306394255716</v>
      </c>
      <c r="AB307" s="29" t="n">
        <f aca="false">IF(C307=5,0,(Q307-H307)-K307-L307-R307-S307-T307-Z307)</f>
        <v>3.26314684789367</v>
      </c>
      <c r="AC307" s="21" t="n">
        <f aca="false">IF(C307=5,0,N307*((1+DepRate*(1-DepTax))^G307-1))</f>
        <v>3.73020263130271</v>
      </c>
      <c r="AD307" s="29" t="n">
        <f aca="false">IF(C307=5,0,AB307-AC307+I307*(((1+DepRate*(1-DepTax))^G307-1)-((1+DepRate*(1-DepTax))^O307-1)))</f>
        <v>1.5288740607837</v>
      </c>
      <c r="AE307" s="30" t="n">
        <f aca="false">IF(J307&gt;0,-PMT(Rm,LoanYears*12,J307)*10000,0)</f>
        <v>95.4830590930919</v>
      </c>
      <c r="AF307" s="21" t="n">
        <f aca="false">IF(J307&gt;0,-PMT((Rate+Stress)/12,LoanYears*12,J307)*12/DSR,0)</f>
        <v>0.39918149710751</v>
      </c>
      <c r="AG307" s="20" t="n">
        <f aca="false">IF(N307&lt;=CapA,1,0)</f>
        <v>0</v>
      </c>
      <c r="AH307" s="20" t="n">
        <f aca="false">IF(N307&lt;=CapB,1,0)</f>
        <v>0</v>
      </c>
      <c r="AI307" s="20" t="n">
        <f aca="false">IF(N307&lt;=CapC,1,0)</f>
        <v>0</v>
      </c>
      <c r="AJ307" s="21" t="n">
        <f aca="false">IF(AG307=1,AD307,-999)</f>
        <v>-999</v>
      </c>
      <c r="AK307" s="21" t="n">
        <f aca="false">IF(AH307=1,AD307,-999)</f>
        <v>-999</v>
      </c>
      <c r="AL307" s="21" t="n">
        <f aca="false">IF(AI307=1,AD307,-999)</f>
        <v>-999</v>
      </c>
      <c r="AM307" s="21" t="str">
        <f aca="false">C307&amp;"|"&amp;E307&amp;"|"&amp;G307&amp;"|"&amp;TEXT(AJ307,"0.00000")</f>
        <v>1|2|5|-999.00000</v>
      </c>
      <c r="AN307" s="21" t="str">
        <f aca="false">C307&amp;"|"&amp;E307&amp;"|"&amp;G307&amp;"|"&amp;TEXT(AK307,"0.00000")</f>
        <v>1|2|5|-999.00000</v>
      </c>
      <c r="AO307" s="21" t="str">
        <f aca="false">C307&amp;"|"&amp;E307&amp;"|"&amp;G307&amp;"|"&amp;TEXT(AL307,"0.00000")</f>
        <v>1|2|5|-999.00000</v>
      </c>
    </row>
    <row r="308" customFormat="false" ht="15" hidden="false" customHeight="false" outlineLevel="0" collapsed="false">
      <c r="A308" s="20" t="n">
        <v>11</v>
      </c>
      <c r="B308" s="18" t="str">
        <f aca="false">INDEX(C_Name,A308)</f>
        <v>흑석 아크로리버하임 84.75㎡</v>
      </c>
      <c r="C308" s="20" t="n">
        <v>1</v>
      </c>
      <c r="D308" s="21" t="str">
        <f aca="false">CHOOSE(C308,"1안 표준형(대출 최대)","2안 절충형(대출 50%)","3안 무대출형","4안 임대차 승계 후 입주","5안 매수 보류(전세 거주)")</f>
        <v>1안 표준형(대출 최대)</v>
      </c>
      <c r="E308" s="20" t="n">
        <v>2</v>
      </c>
      <c r="F308" s="10" t="n">
        <f aca="false">CHOOSE(E308,GrowLo,GrowMid,GrowHi)</f>
        <v>0.04</v>
      </c>
      <c r="G308" s="20" t="n">
        <v>10</v>
      </c>
      <c r="H308" s="18" t="n">
        <f aca="false">INDEX(C_Price,A308)</f>
        <v>28.75</v>
      </c>
      <c r="I308" s="18" t="n">
        <f aca="false">INDEX(C_Jeonse,A308)</f>
        <v>14.95</v>
      </c>
      <c r="J308" s="21" t="n">
        <f aca="false">IF(C308=5,0,IF(C308=1,INDEX(C_Loan,A308),IF(C308=2,INDEX(C_Loan,A308)*LoanShare2,IF(C308=3,0,MIN(INDEX(C_Loan,A308),I308)))))</f>
        <v>2</v>
      </c>
      <c r="K308" s="18" t="n">
        <f aca="false">IF(C308=5,0,INDEX(C_Acq,A308))</f>
        <v>0.94875</v>
      </c>
      <c r="L308" s="18" t="n">
        <f aca="false">IF(C308=5,0,INDEX(C_Fee,A308))</f>
        <v>0.241375</v>
      </c>
      <c r="M308" s="21" t="n">
        <f aca="false">IF(C308=4,MAX(0,I308-J308),0)</f>
        <v>0</v>
      </c>
      <c r="N308" s="21" t="n">
        <f aca="false">IF(C308=5,I308,IF(C308=4,(H308-I308)+K308+L308+M308,H308-J308+K308+L308))</f>
        <v>27.940125</v>
      </c>
      <c r="O308" s="20" t="n">
        <f aca="false">IF(C308=4,RentYears,0)</f>
        <v>0</v>
      </c>
      <c r="P308" s="20" t="n">
        <f aca="false">IF(C308=5,0,MAX(0,G308-O308-NonRes))</f>
        <v>10</v>
      </c>
      <c r="Q308" s="21" t="n">
        <f aca="false">IF(C308=5,0,H308*(1+F308)^G308)</f>
        <v>42.5570231914024</v>
      </c>
      <c r="R308" s="21" t="n">
        <f aca="false">IF(C308=5,0,Q308*LOOKUP(Q308,FeeLo,FeeR)*(1+VAT))</f>
        <v>0.327689078573799</v>
      </c>
      <c r="S308" s="21" t="n">
        <f aca="false">IF(J308&gt;0,-CUMIPMT(Rm,LoanYears*12,J308,1,(G308-O308)*12,0),0)</f>
        <v>0.721475893348725</v>
      </c>
      <c r="T308" s="29" t="n">
        <f aca="false">IF(C308=5,0,SUMIFS(Sch_Total,Sch_Idx,A308,Sch_Scen,E308,Sch_Year,"&lt;="&amp;G308))</f>
        <v>1.38203152016447</v>
      </c>
      <c r="U308" s="21" t="n">
        <f aca="false">K308+L308+R308</f>
        <v>1.5178140785738</v>
      </c>
      <c r="V308" s="21" t="n">
        <f aca="false">IF(C308=5,0,Q308-H308-U308)</f>
        <v>12.2892091128286</v>
      </c>
      <c r="W308" s="21" t="n">
        <f aca="false">IF(C308=5,0,MAX(0,IF(P308&gt;=2,IF(Q308&gt;Exempt,V308*(Q308-Exempt)/Q308,0),V308)))</f>
        <v>8.82396417098464</v>
      </c>
      <c r="X308" s="10" t="n">
        <f aca="false">IF(P308&gt;=2,MIN(MaxDed,MIN(0.4,HoldRate*G308)+MIN(0.4,LiveRate*P308)),IF(G308&gt;=3,MIN(0.3,0.02*G308),0))</f>
        <v>0.8</v>
      </c>
      <c r="Y308" s="21" t="n">
        <f aca="false">MAX(0,W308*(1-X308)-InitDed)</f>
        <v>1.73979283419693</v>
      </c>
      <c r="Z308" s="29" t="n">
        <f aca="false">SUMPRODUCT((Y308&gt;CLo)*(Y308-CLo)*CD)*(1+LocalTax)</f>
        <v>0.507893404694316</v>
      </c>
      <c r="AA308" s="21" t="n">
        <f aca="false">K308+T308+Z308</f>
        <v>2.83867492485878</v>
      </c>
      <c r="AB308" s="29" t="n">
        <f aca="false">IF(C308=5,0,(Q308-H308)-K308-L308-R308-S308-T308-Z308)</f>
        <v>9.67780829462109</v>
      </c>
      <c r="AC308" s="21" t="n">
        <f aca="false">IF(C308=5,0,N308*((1+DepRate*(1-DepTax))^G308-1))</f>
        <v>7.95841347375615</v>
      </c>
      <c r="AD308" s="29" t="n">
        <f aca="false">IF(C308=5,0,AB308-AC308+I308*(((1+DepRate*(1-DepTax))^G308-1)-((1+DepRate*(1-DepTax))^O308-1)))</f>
        <v>5.97772514088515</v>
      </c>
      <c r="AE308" s="30" t="n">
        <f aca="false">IF(J308&gt;0,-PMT(Rm,LoanYears*12,J308)*10000,0)</f>
        <v>95.4830590930919</v>
      </c>
      <c r="AF308" s="21" t="n">
        <f aca="false">IF(J308&gt;0,-PMT((Rate+Stress)/12,LoanYears*12,J308)*12/DSR,0)</f>
        <v>0.39918149710751</v>
      </c>
      <c r="AG308" s="20" t="n">
        <f aca="false">IF(N308&lt;=CapA,1,0)</f>
        <v>0</v>
      </c>
      <c r="AH308" s="20" t="n">
        <f aca="false">IF(N308&lt;=CapB,1,0)</f>
        <v>0</v>
      </c>
      <c r="AI308" s="20" t="n">
        <f aca="false">IF(N308&lt;=CapC,1,0)</f>
        <v>0</v>
      </c>
      <c r="AJ308" s="21" t="n">
        <f aca="false">IF(AG308=1,AD308,-999)</f>
        <v>-999</v>
      </c>
      <c r="AK308" s="21" t="n">
        <f aca="false">IF(AH308=1,AD308,-999)</f>
        <v>-999</v>
      </c>
      <c r="AL308" s="21" t="n">
        <f aca="false">IF(AI308=1,AD308,-999)</f>
        <v>-999</v>
      </c>
      <c r="AM308" s="21" t="str">
        <f aca="false">C308&amp;"|"&amp;E308&amp;"|"&amp;G308&amp;"|"&amp;TEXT(AJ308,"0.00000")</f>
        <v>1|2|10|-999.00000</v>
      </c>
      <c r="AN308" s="21" t="str">
        <f aca="false">C308&amp;"|"&amp;E308&amp;"|"&amp;G308&amp;"|"&amp;TEXT(AK308,"0.00000")</f>
        <v>1|2|10|-999.00000</v>
      </c>
      <c r="AO308" s="21" t="str">
        <f aca="false">C308&amp;"|"&amp;E308&amp;"|"&amp;G308&amp;"|"&amp;TEXT(AL308,"0.00000")</f>
        <v>1|2|10|-999.00000</v>
      </c>
    </row>
    <row r="309" customFormat="false" ht="15" hidden="false" customHeight="false" outlineLevel="0" collapsed="false">
      <c r="A309" s="20" t="n">
        <v>11</v>
      </c>
      <c r="B309" s="18" t="str">
        <f aca="false">INDEX(C_Name,A309)</f>
        <v>흑석 아크로리버하임 84.75㎡</v>
      </c>
      <c r="C309" s="20" t="n">
        <v>1</v>
      </c>
      <c r="D309" s="21" t="str">
        <f aca="false">CHOOSE(C309,"1안 표준형(대출 최대)","2안 절충형(대출 50%)","3안 무대출형","4안 임대차 승계 후 입주","5안 매수 보류(전세 거주)")</f>
        <v>1안 표준형(대출 최대)</v>
      </c>
      <c r="E309" s="20" t="n">
        <v>3</v>
      </c>
      <c r="F309" s="10" t="n">
        <f aca="false">CHOOSE(E309,GrowLo,GrowMid,GrowHi)</f>
        <v>0.06</v>
      </c>
      <c r="G309" s="20" t="n">
        <v>5</v>
      </c>
      <c r="H309" s="18" t="n">
        <f aca="false">INDEX(C_Price,A309)</f>
        <v>28.75</v>
      </c>
      <c r="I309" s="18" t="n">
        <f aca="false">INDEX(C_Jeonse,A309)</f>
        <v>14.95</v>
      </c>
      <c r="J309" s="21" t="n">
        <f aca="false">IF(C309=5,0,IF(C309=1,INDEX(C_Loan,A309),IF(C309=2,INDEX(C_Loan,A309)*LoanShare2,IF(C309=3,0,MIN(INDEX(C_Loan,A309),I309)))))</f>
        <v>2</v>
      </c>
      <c r="K309" s="18" t="n">
        <f aca="false">IF(C309=5,0,INDEX(C_Acq,A309))</f>
        <v>0.94875</v>
      </c>
      <c r="L309" s="18" t="n">
        <f aca="false">IF(C309=5,0,INDEX(C_Fee,A309))</f>
        <v>0.241375</v>
      </c>
      <c r="M309" s="21" t="n">
        <f aca="false">IF(C309=4,MAX(0,I309-J309),0)</f>
        <v>0</v>
      </c>
      <c r="N309" s="21" t="n">
        <f aca="false">IF(C309=5,I309,IF(C309=4,(H309-I309)+K309+L309+M309,H309-J309+K309+L309))</f>
        <v>27.940125</v>
      </c>
      <c r="O309" s="20" t="n">
        <f aca="false">IF(C309=4,RentYears,0)</f>
        <v>0</v>
      </c>
      <c r="P309" s="20" t="n">
        <f aca="false">IF(C309=5,0,MAX(0,G309-O309-NonRes))</f>
        <v>5</v>
      </c>
      <c r="Q309" s="21" t="n">
        <f aca="false">IF(C309=5,0,H309*(1+F309)^G309)</f>
        <v>38.473985356</v>
      </c>
      <c r="R309" s="21" t="n">
        <f aca="false">IF(C309=5,0,Q309*LOOKUP(Q309,FeeLo,FeeR)*(1+VAT))</f>
        <v>0.2962496872412</v>
      </c>
      <c r="S309" s="21" t="n">
        <f aca="false">IF(J309&gt;0,-CUMIPMT(Rm,LoanYears*12,J309,1,(G309-O309)*12,0),0)</f>
        <v>0.38184861728037</v>
      </c>
      <c r="T309" s="29" t="n">
        <f aca="false">IF(C309=5,0,SUMIFS(Sch_Total,Sch_Idx,A309,Sch_Scen,E309,Sch_Year,"&lt;="&amp;G309))</f>
        <v>0.61410914100648</v>
      </c>
      <c r="U309" s="21" t="n">
        <f aca="false">K309+L309+R309</f>
        <v>1.4863746872412</v>
      </c>
      <c r="V309" s="21" t="n">
        <f aca="false">IF(C309=5,0,Q309-H309-U309)</f>
        <v>8.23761066875881</v>
      </c>
      <c r="W309" s="21" t="n">
        <f aca="false">IF(C309=5,0,MAX(0,IF(P309&gt;=2,IF(Q309&gt;Exempt,V309*(Q309-Exempt)/Q309,0),V309)))</f>
        <v>5.66830761604842</v>
      </c>
      <c r="X309" s="10" t="n">
        <f aca="false">IF(P309&gt;=2,MIN(MaxDed,MIN(0.4,HoldRate*G309)+MIN(0.4,LiveRate*P309)),IF(G309&gt;=3,MIN(0.3,0.02*G309),0))</f>
        <v>0.4</v>
      </c>
      <c r="Y309" s="21" t="n">
        <f aca="false">MAX(0,W309*(1-X309)-InitDed)</f>
        <v>3.37598456962905</v>
      </c>
      <c r="Z309" s="29" t="n">
        <f aca="false">SUMPRODUCT((Y309&gt;CLo)*(Y309-CLo)*CD)*(1+LocalTax)</f>
        <v>1.20009321063678</v>
      </c>
      <c r="AA309" s="21" t="n">
        <f aca="false">K309+T309+Z309</f>
        <v>2.76295235164326</v>
      </c>
      <c r="AB309" s="29" t="n">
        <f aca="false">IF(C309=5,0,(Q309-H309)-K309-L309-R309-S309-T309-Z309)</f>
        <v>6.04155969983517</v>
      </c>
      <c r="AC309" s="21" t="n">
        <f aca="false">IF(C309=5,0,N309*((1+DepRate*(1-DepTax))^G309-1))</f>
        <v>3.73020263130271</v>
      </c>
      <c r="AD309" s="29" t="n">
        <f aca="false">IF(C309=5,0,AB309-AC309+I309*(((1+DepRate*(1-DepTax))^G309-1)-((1+DepRate*(1-DepTax))^O309-1)))</f>
        <v>4.3072869127252</v>
      </c>
      <c r="AE309" s="30" t="n">
        <f aca="false">IF(J309&gt;0,-PMT(Rm,LoanYears*12,J309)*10000,0)</f>
        <v>95.4830590930919</v>
      </c>
      <c r="AF309" s="21" t="n">
        <f aca="false">IF(J309&gt;0,-PMT((Rate+Stress)/12,LoanYears*12,J309)*12/DSR,0)</f>
        <v>0.39918149710751</v>
      </c>
      <c r="AG309" s="20" t="n">
        <f aca="false">IF(N309&lt;=CapA,1,0)</f>
        <v>0</v>
      </c>
      <c r="AH309" s="20" t="n">
        <f aca="false">IF(N309&lt;=CapB,1,0)</f>
        <v>0</v>
      </c>
      <c r="AI309" s="20" t="n">
        <f aca="false">IF(N309&lt;=CapC,1,0)</f>
        <v>0</v>
      </c>
      <c r="AJ309" s="21" t="n">
        <f aca="false">IF(AG309=1,AD309,-999)</f>
        <v>-999</v>
      </c>
      <c r="AK309" s="21" t="n">
        <f aca="false">IF(AH309=1,AD309,-999)</f>
        <v>-999</v>
      </c>
      <c r="AL309" s="21" t="n">
        <f aca="false">IF(AI309=1,AD309,-999)</f>
        <v>-999</v>
      </c>
      <c r="AM309" s="21" t="str">
        <f aca="false">C309&amp;"|"&amp;E309&amp;"|"&amp;G309&amp;"|"&amp;TEXT(AJ309,"0.00000")</f>
        <v>1|3|5|-999.00000</v>
      </c>
      <c r="AN309" s="21" t="str">
        <f aca="false">C309&amp;"|"&amp;E309&amp;"|"&amp;G309&amp;"|"&amp;TEXT(AK309,"0.00000")</f>
        <v>1|3|5|-999.00000</v>
      </c>
      <c r="AO309" s="21" t="str">
        <f aca="false">C309&amp;"|"&amp;E309&amp;"|"&amp;G309&amp;"|"&amp;TEXT(AL309,"0.00000")</f>
        <v>1|3|5|-999.00000</v>
      </c>
    </row>
    <row r="310" customFormat="false" ht="15" hidden="false" customHeight="false" outlineLevel="0" collapsed="false">
      <c r="A310" s="20" t="n">
        <v>11</v>
      </c>
      <c r="B310" s="18" t="str">
        <f aca="false">INDEX(C_Name,A310)</f>
        <v>흑석 아크로리버하임 84.75㎡</v>
      </c>
      <c r="C310" s="20" t="n">
        <v>1</v>
      </c>
      <c r="D310" s="21" t="str">
        <f aca="false">CHOOSE(C310,"1안 표준형(대출 최대)","2안 절충형(대출 50%)","3안 무대출형","4안 임대차 승계 후 입주","5안 매수 보류(전세 거주)")</f>
        <v>1안 표준형(대출 최대)</v>
      </c>
      <c r="E310" s="20" t="n">
        <v>3</v>
      </c>
      <c r="F310" s="10" t="n">
        <f aca="false">CHOOSE(E310,GrowLo,GrowMid,GrowHi)</f>
        <v>0.06</v>
      </c>
      <c r="G310" s="20" t="n">
        <v>10</v>
      </c>
      <c r="H310" s="18" t="n">
        <f aca="false">INDEX(C_Price,A310)</f>
        <v>28.75</v>
      </c>
      <c r="I310" s="18" t="n">
        <f aca="false">INDEX(C_Jeonse,A310)</f>
        <v>14.95</v>
      </c>
      <c r="J310" s="21" t="n">
        <f aca="false">IF(C310=5,0,IF(C310=1,INDEX(C_Loan,A310),IF(C310=2,INDEX(C_Loan,A310)*LoanShare2,IF(C310=3,0,MIN(INDEX(C_Loan,A310),I310)))))</f>
        <v>2</v>
      </c>
      <c r="K310" s="18" t="n">
        <f aca="false">IF(C310=5,0,INDEX(C_Acq,A310))</f>
        <v>0.94875</v>
      </c>
      <c r="L310" s="18" t="n">
        <f aca="false">IF(C310=5,0,INDEX(C_Fee,A310))</f>
        <v>0.241375</v>
      </c>
      <c r="M310" s="21" t="n">
        <f aca="false">IF(C310=4,MAX(0,I310-J310),0)</f>
        <v>0</v>
      </c>
      <c r="N310" s="21" t="n">
        <f aca="false">IF(C310=5,I310,IF(C310=4,(H310-I310)+K310+L310+M310,H310-J310+K310+L310))</f>
        <v>27.940125</v>
      </c>
      <c r="O310" s="20" t="n">
        <f aca="false">IF(C310=4,RentYears,0)</f>
        <v>0</v>
      </c>
      <c r="P310" s="20" t="n">
        <f aca="false">IF(C310=5,0,MAX(0,G310-O310-NonRes))</f>
        <v>10</v>
      </c>
      <c r="Q310" s="21" t="n">
        <f aca="false">IF(C310=5,0,H310*(1+F310)^G310)</f>
        <v>51.4868712756071</v>
      </c>
      <c r="R310" s="21" t="n">
        <f aca="false">IF(C310=5,0,Q310*LOOKUP(Q310,FeeLo,FeeR)*(1+VAT))</f>
        <v>0.396448908822175</v>
      </c>
      <c r="S310" s="21" t="n">
        <f aca="false">IF(J310&gt;0,-CUMIPMT(Rm,LoanYears*12,J310,1,(G310-O310)*12,0),0)</f>
        <v>0.721475893348725</v>
      </c>
      <c r="T310" s="29" t="n">
        <f aca="false">IF(C310=5,0,SUMIFS(Sch_Total,Sch_Idx,A310,Sch_Scen,E310,Sch_Year,"&lt;="&amp;G310))</f>
        <v>1.63773983870504</v>
      </c>
      <c r="U310" s="21" t="n">
        <f aca="false">K310+L310+R310</f>
        <v>1.58657390882217</v>
      </c>
      <c r="V310" s="21" t="n">
        <f aca="false">IF(C310=5,0,Q310-H310-U310)</f>
        <v>21.1502973667849</v>
      </c>
      <c r="W310" s="21" t="n">
        <f aca="false">IF(C310=5,0,MAX(0,IF(P310&gt;=2,IF(Q310&gt;Exempt,V310*(Q310-Exempt)/Q310,0),V310)))</f>
        <v>16.2208160812972</v>
      </c>
      <c r="X310" s="10" t="n">
        <f aca="false">IF(P310&gt;=2,MIN(MaxDed,MIN(0.4,HoldRate*G310)+MIN(0.4,LiveRate*P310)),IF(G310&gt;=3,MIN(0.3,0.02*G310),0))</f>
        <v>0.8</v>
      </c>
      <c r="Y310" s="21" t="n">
        <f aca="false">MAX(0,W310*(1-X310)-InitDed)</f>
        <v>3.21916321625944</v>
      </c>
      <c r="Z310" s="29" t="n">
        <f aca="false">SUMPRODUCT((Y310&gt;CLo)*(Y310-CLo)*CD)*(1+LocalTax)</f>
        <v>1.13109181515415</v>
      </c>
      <c r="AA310" s="21" t="n">
        <f aca="false">K310+T310+Z310</f>
        <v>3.71758165385919</v>
      </c>
      <c r="AB310" s="29" t="n">
        <f aca="false">IF(C310=5,0,(Q310-H310)-K310-L310-R310-S310-T310-Z310)</f>
        <v>17.659989819577</v>
      </c>
      <c r="AC310" s="21" t="n">
        <f aca="false">IF(C310=5,0,N310*((1+DepRate*(1-DepTax))^G310-1))</f>
        <v>7.95841347375615</v>
      </c>
      <c r="AD310" s="29" t="n">
        <f aca="false">IF(C310=5,0,AB310-AC310+I310*(((1+DepRate*(1-DepTax))^G310-1)-((1+DepRate*(1-DepTax))^O310-1)))</f>
        <v>13.959906665841</v>
      </c>
      <c r="AE310" s="30" t="n">
        <f aca="false">IF(J310&gt;0,-PMT(Rm,LoanYears*12,J310)*10000,0)</f>
        <v>95.4830590930919</v>
      </c>
      <c r="AF310" s="21" t="n">
        <f aca="false">IF(J310&gt;0,-PMT((Rate+Stress)/12,LoanYears*12,J310)*12/DSR,0)</f>
        <v>0.39918149710751</v>
      </c>
      <c r="AG310" s="20" t="n">
        <f aca="false">IF(N310&lt;=CapA,1,0)</f>
        <v>0</v>
      </c>
      <c r="AH310" s="20" t="n">
        <f aca="false">IF(N310&lt;=CapB,1,0)</f>
        <v>0</v>
      </c>
      <c r="AI310" s="20" t="n">
        <f aca="false">IF(N310&lt;=CapC,1,0)</f>
        <v>0</v>
      </c>
      <c r="AJ310" s="21" t="n">
        <f aca="false">IF(AG310=1,AD310,-999)</f>
        <v>-999</v>
      </c>
      <c r="AK310" s="21" t="n">
        <f aca="false">IF(AH310=1,AD310,-999)</f>
        <v>-999</v>
      </c>
      <c r="AL310" s="21" t="n">
        <f aca="false">IF(AI310=1,AD310,-999)</f>
        <v>-999</v>
      </c>
      <c r="AM310" s="21" t="str">
        <f aca="false">C310&amp;"|"&amp;E310&amp;"|"&amp;G310&amp;"|"&amp;TEXT(AJ310,"0.00000")</f>
        <v>1|3|10|-999.00000</v>
      </c>
      <c r="AN310" s="21" t="str">
        <f aca="false">C310&amp;"|"&amp;E310&amp;"|"&amp;G310&amp;"|"&amp;TEXT(AK310,"0.00000")</f>
        <v>1|3|10|-999.00000</v>
      </c>
      <c r="AO310" s="21" t="str">
        <f aca="false">C310&amp;"|"&amp;E310&amp;"|"&amp;G310&amp;"|"&amp;TEXT(AL310,"0.00000")</f>
        <v>1|3|10|-999.00000</v>
      </c>
    </row>
    <row r="311" customFormat="false" ht="15" hidden="false" customHeight="false" outlineLevel="0" collapsed="false">
      <c r="A311" s="20" t="n">
        <v>11</v>
      </c>
      <c r="B311" s="18" t="str">
        <f aca="false">INDEX(C_Name,A311)</f>
        <v>흑석 아크로리버하임 84.75㎡</v>
      </c>
      <c r="C311" s="20" t="n">
        <v>2</v>
      </c>
      <c r="D311" s="21" t="str">
        <f aca="false">CHOOSE(C311,"1안 표준형(대출 최대)","2안 절충형(대출 50%)","3안 무대출형","4안 임대차 승계 후 입주","5안 매수 보류(전세 거주)")</f>
        <v>2안 절충형(대출 50%)</v>
      </c>
      <c r="E311" s="20" t="n">
        <v>1</v>
      </c>
      <c r="F311" s="10" t="n">
        <f aca="false">CHOOSE(E311,GrowLo,GrowMid,GrowHi)</f>
        <v>0.02</v>
      </c>
      <c r="G311" s="20" t="n">
        <v>5</v>
      </c>
      <c r="H311" s="18" t="n">
        <f aca="false">INDEX(C_Price,A311)</f>
        <v>28.75</v>
      </c>
      <c r="I311" s="18" t="n">
        <f aca="false">INDEX(C_Jeonse,A311)</f>
        <v>14.95</v>
      </c>
      <c r="J311" s="21" t="n">
        <f aca="false">IF(C311=5,0,IF(C311=1,INDEX(C_Loan,A311),IF(C311=2,INDEX(C_Loan,A311)*LoanShare2,IF(C311=3,0,MIN(INDEX(C_Loan,A311),I311)))))</f>
        <v>1</v>
      </c>
      <c r="K311" s="18" t="n">
        <f aca="false">IF(C311=5,0,INDEX(C_Acq,A311))</f>
        <v>0.94875</v>
      </c>
      <c r="L311" s="18" t="n">
        <f aca="false">IF(C311=5,0,INDEX(C_Fee,A311))</f>
        <v>0.241375</v>
      </c>
      <c r="M311" s="21" t="n">
        <f aca="false">IF(C311=4,MAX(0,I311-J311),0)</f>
        <v>0</v>
      </c>
      <c r="N311" s="21" t="n">
        <f aca="false">IF(C311=5,I311,IF(C311=4,(H311-I311)+K311+L311+M311,H311-J311+K311+L311))</f>
        <v>28.940125</v>
      </c>
      <c r="O311" s="20" t="n">
        <f aca="false">IF(C311=4,RentYears,0)</f>
        <v>0</v>
      </c>
      <c r="P311" s="20" t="n">
        <f aca="false">IF(C311=5,0,MAX(0,G311-O311-NonRes))</f>
        <v>5</v>
      </c>
      <c r="Q311" s="21" t="n">
        <f aca="false">IF(C311=5,0,H311*(1+F311)^G311)</f>
        <v>31.742323092</v>
      </c>
      <c r="R311" s="21" t="n">
        <f aca="false">IF(C311=5,0,Q311*LOOKUP(Q311,FeeLo,FeeR)*(1+VAT))</f>
        <v>0.2444158878084</v>
      </c>
      <c r="S311" s="21" t="n">
        <f aca="false">IF(J311&gt;0,-CUMIPMT(Rm,LoanYears*12,J311,1,(G311-O311)*12,0),0)</f>
        <v>0.190924308640185</v>
      </c>
      <c r="T311" s="29" t="n">
        <f aca="false">IF(C311=5,0,SUMIFS(Sch_Total,Sch_Idx,A311,Sch_Scen,E311,Sch_Year,"&lt;="&amp;G311))</f>
        <v>0.52813988486424</v>
      </c>
      <c r="U311" s="21" t="n">
        <f aca="false">K311+L311+R311</f>
        <v>1.4345408878084</v>
      </c>
      <c r="V311" s="21" t="n">
        <f aca="false">IF(C311=5,0,Q311-H311-U311)</f>
        <v>1.5577822041916</v>
      </c>
      <c r="W311" s="21" t="n">
        <f aca="false">IF(C311=5,0,MAX(0,IF(P311&gt;=2,IF(Q311&gt;Exempt,V311*(Q311-Exempt)/Q311,0),V311)))</f>
        <v>0.96887173295358</v>
      </c>
      <c r="X311" s="10" t="n">
        <f aca="false">IF(P311&gt;=2,MIN(MaxDed,MIN(0.4,HoldRate*G311)+MIN(0.4,LiveRate*P311)),IF(G311&gt;=3,MIN(0.3,0.02*G311),0))</f>
        <v>0.4</v>
      </c>
      <c r="Y311" s="21" t="n">
        <f aca="false">MAX(0,W311*(1-X311)-InitDed)</f>
        <v>0.556323039772148</v>
      </c>
      <c r="Z311" s="29" t="n">
        <f aca="false">SUMPRODUCT((Y311&gt;CLo)*(Y311-CLo)*CD)*(1+LocalTax)</f>
        <v>0.083509282499847</v>
      </c>
      <c r="AA311" s="21" t="n">
        <f aca="false">K311+T311+Z311</f>
        <v>1.56039916736409</v>
      </c>
      <c r="AB311" s="29" t="n">
        <f aca="false">IF(C311=5,0,(Q311-H311)-K311-L311-R311-S311-T311-Z311)</f>
        <v>0.755208728187327</v>
      </c>
      <c r="AC311" s="21" t="n">
        <f aca="false">IF(C311=5,0,N311*((1+DepRate*(1-DepTax))^G311-1))</f>
        <v>3.86370964429219</v>
      </c>
      <c r="AD311" s="29" t="n">
        <f aca="false">IF(C311=5,0,AB311-AC311+I311*(((1+DepRate*(1-DepTax))^G311-1)-((1+DepRate*(1-DepTax))^O311-1)))</f>
        <v>-1.11257107191213</v>
      </c>
      <c r="AE311" s="30" t="n">
        <f aca="false">IF(J311&gt;0,-PMT(Rm,LoanYears*12,J311)*10000,0)</f>
        <v>47.741529546546</v>
      </c>
      <c r="AF311" s="21" t="n">
        <f aca="false">IF(J311&gt;0,-PMT((Rate+Stress)/12,LoanYears*12,J311)*12/DSR,0)</f>
        <v>0.199590748553755</v>
      </c>
      <c r="AG311" s="20" t="n">
        <f aca="false">IF(N311&lt;=CapA,1,0)</f>
        <v>0</v>
      </c>
      <c r="AH311" s="20" t="n">
        <f aca="false">IF(N311&lt;=CapB,1,0)</f>
        <v>0</v>
      </c>
      <c r="AI311" s="20" t="n">
        <f aca="false">IF(N311&lt;=CapC,1,0)</f>
        <v>0</v>
      </c>
      <c r="AJ311" s="21" t="n">
        <f aca="false">IF(AG311=1,AD311,-999)</f>
        <v>-999</v>
      </c>
      <c r="AK311" s="21" t="n">
        <f aca="false">IF(AH311=1,AD311,-999)</f>
        <v>-999</v>
      </c>
      <c r="AL311" s="21" t="n">
        <f aca="false">IF(AI311=1,AD311,-999)</f>
        <v>-999</v>
      </c>
      <c r="AM311" s="21" t="str">
        <f aca="false">C311&amp;"|"&amp;E311&amp;"|"&amp;G311&amp;"|"&amp;TEXT(AJ311,"0.00000")</f>
        <v>2|1|5|-999.00000</v>
      </c>
      <c r="AN311" s="21" t="str">
        <f aca="false">C311&amp;"|"&amp;E311&amp;"|"&amp;G311&amp;"|"&amp;TEXT(AK311,"0.00000")</f>
        <v>2|1|5|-999.00000</v>
      </c>
      <c r="AO311" s="21" t="str">
        <f aca="false">C311&amp;"|"&amp;E311&amp;"|"&amp;G311&amp;"|"&amp;TEXT(AL311,"0.00000")</f>
        <v>2|1|5|-999.00000</v>
      </c>
    </row>
    <row r="312" customFormat="false" ht="15" hidden="false" customHeight="false" outlineLevel="0" collapsed="false">
      <c r="A312" s="20" t="n">
        <v>11</v>
      </c>
      <c r="B312" s="18" t="str">
        <f aca="false">INDEX(C_Name,A312)</f>
        <v>흑석 아크로리버하임 84.75㎡</v>
      </c>
      <c r="C312" s="20" t="n">
        <v>2</v>
      </c>
      <c r="D312" s="21" t="str">
        <f aca="false">CHOOSE(C312,"1안 표준형(대출 최대)","2안 절충형(대출 50%)","3안 무대출형","4안 임대차 승계 후 입주","5안 매수 보류(전세 거주)")</f>
        <v>2안 절충형(대출 50%)</v>
      </c>
      <c r="E312" s="20" t="n">
        <v>1</v>
      </c>
      <c r="F312" s="10" t="n">
        <f aca="false">CHOOSE(E312,GrowLo,GrowMid,GrowHi)</f>
        <v>0.02</v>
      </c>
      <c r="G312" s="20" t="n">
        <v>10</v>
      </c>
      <c r="H312" s="18" t="n">
        <f aca="false">INDEX(C_Price,A312)</f>
        <v>28.75</v>
      </c>
      <c r="I312" s="18" t="n">
        <f aca="false">INDEX(C_Jeonse,A312)</f>
        <v>14.95</v>
      </c>
      <c r="J312" s="21" t="n">
        <f aca="false">IF(C312=5,0,IF(C312=1,INDEX(C_Loan,A312),IF(C312=2,INDEX(C_Loan,A312)*LoanShare2,IF(C312=3,0,MIN(INDEX(C_Loan,A312),I312)))))</f>
        <v>1</v>
      </c>
      <c r="K312" s="18" t="n">
        <f aca="false">IF(C312=5,0,INDEX(C_Acq,A312))</f>
        <v>0.94875</v>
      </c>
      <c r="L312" s="18" t="n">
        <f aca="false">IF(C312=5,0,INDEX(C_Fee,A312))</f>
        <v>0.241375</v>
      </c>
      <c r="M312" s="21" t="n">
        <f aca="false">IF(C312=4,MAX(0,I312-J312),0)</f>
        <v>0</v>
      </c>
      <c r="N312" s="21" t="n">
        <f aca="false">IF(C312=5,I312,IF(C312=4,(H312-I312)+K312+L312+M312,H312-J312+K312+L312))</f>
        <v>28.940125</v>
      </c>
      <c r="O312" s="20" t="n">
        <f aca="false">IF(C312=4,RentYears,0)</f>
        <v>0</v>
      </c>
      <c r="P312" s="20" t="n">
        <f aca="false">IF(C312=5,0,MAX(0,G312-O312-NonRes))</f>
        <v>10</v>
      </c>
      <c r="Q312" s="21" t="n">
        <f aca="false">IF(C312=5,0,H312*(1+F312)^G312)</f>
        <v>35.0460895748493</v>
      </c>
      <c r="R312" s="21" t="n">
        <f aca="false">IF(C312=5,0,Q312*LOOKUP(Q312,FeeLo,FeeR)*(1+VAT))</f>
        <v>0.26985488972634</v>
      </c>
      <c r="S312" s="21" t="n">
        <f aca="false">IF(J312&gt;0,-CUMIPMT(Rm,LoanYears*12,J312,1,(G312-O312)*12,0),0)</f>
        <v>0.360737946674363</v>
      </c>
      <c r="T312" s="29" t="n">
        <f aca="false">IF(C312=5,0,SUMIFS(Sch_Total,Sch_Idx,A312,Sch_Scen,E312,Sch_Year,"&lt;="&amp;G312))</f>
        <v>1.15921211127656</v>
      </c>
      <c r="U312" s="21" t="n">
        <f aca="false">K312+L312+R312</f>
        <v>1.45997988972634</v>
      </c>
      <c r="V312" s="21" t="n">
        <f aca="false">IF(C312=5,0,Q312-H312-U312)</f>
        <v>4.83610968512294</v>
      </c>
      <c r="W312" s="21" t="n">
        <f aca="false">IF(C312=5,0,MAX(0,IF(P312&gt;=2,IF(Q312&gt;Exempt,V312*(Q312-Exempt)/Q312,0),V312)))</f>
        <v>3.18019551822191</v>
      </c>
      <c r="X312" s="10" t="n">
        <f aca="false">IF(P312&gt;=2,MIN(MaxDed,MIN(0.4,HoldRate*G312)+MIN(0.4,LiveRate*P312)),IF(G312&gt;=3,MIN(0.3,0.02*G312),0))</f>
        <v>0.8</v>
      </c>
      <c r="Y312" s="21" t="n">
        <f aca="false">MAX(0,W312*(1-X312)-InitDed)</f>
        <v>0.611039103644382</v>
      </c>
      <c r="Z312" s="29" t="n">
        <f aca="false">SUMPRODUCT((Y312&gt;CLo)*(Y312-CLo)*CD)*(1+LocalTax)</f>
        <v>0.0979543233621169</v>
      </c>
      <c r="AA312" s="21" t="n">
        <f aca="false">K312+T312+Z312</f>
        <v>2.20591643463867</v>
      </c>
      <c r="AB312" s="29" t="n">
        <f aca="false">IF(C312=5,0,(Q312-H312)-K312-L312-R312-S312-T312-Z312)</f>
        <v>3.2182053038099</v>
      </c>
      <c r="AC312" s="21" t="n">
        <f aca="false">IF(C312=5,0,N312*((1+DepRate*(1-DepTax))^G312-1))</f>
        <v>8.24325162225248</v>
      </c>
      <c r="AD312" s="29" t="n">
        <f aca="false">IF(C312=5,0,AB312-AC312+I312*(((1+DepRate*(1-DepTax))^G312-1)-((1+DepRate*(1-DepTax))^O312-1)))</f>
        <v>-0.766715998422382</v>
      </c>
      <c r="AE312" s="30" t="n">
        <f aca="false">IF(J312&gt;0,-PMT(Rm,LoanYears*12,J312)*10000,0)</f>
        <v>47.741529546546</v>
      </c>
      <c r="AF312" s="21" t="n">
        <f aca="false">IF(J312&gt;0,-PMT((Rate+Stress)/12,LoanYears*12,J312)*12/DSR,0)</f>
        <v>0.199590748553755</v>
      </c>
      <c r="AG312" s="20" t="n">
        <f aca="false">IF(N312&lt;=CapA,1,0)</f>
        <v>0</v>
      </c>
      <c r="AH312" s="20" t="n">
        <f aca="false">IF(N312&lt;=CapB,1,0)</f>
        <v>0</v>
      </c>
      <c r="AI312" s="20" t="n">
        <f aca="false">IF(N312&lt;=CapC,1,0)</f>
        <v>0</v>
      </c>
      <c r="AJ312" s="21" t="n">
        <f aca="false">IF(AG312=1,AD312,-999)</f>
        <v>-999</v>
      </c>
      <c r="AK312" s="21" t="n">
        <f aca="false">IF(AH312=1,AD312,-999)</f>
        <v>-999</v>
      </c>
      <c r="AL312" s="21" t="n">
        <f aca="false">IF(AI312=1,AD312,-999)</f>
        <v>-999</v>
      </c>
      <c r="AM312" s="21" t="str">
        <f aca="false">C312&amp;"|"&amp;E312&amp;"|"&amp;G312&amp;"|"&amp;TEXT(AJ312,"0.00000")</f>
        <v>2|1|10|-999.00000</v>
      </c>
      <c r="AN312" s="21" t="str">
        <f aca="false">C312&amp;"|"&amp;E312&amp;"|"&amp;G312&amp;"|"&amp;TEXT(AK312,"0.00000")</f>
        <v>2|1|10|-999.00000</v>
      </c>
      <c r="AO312" s="21" t="str">
        <f aca="false">C312&amp;"|"&amp;E312&amp;"|"&amp;G312&amp;"|"&amp;TEXT(AL312,"0.00000")</f>
        <v>2|1|10|-999.00000</v>
      </c>
    </row>
    <row r="313" customFormat="false" ht="15" hidden="false" customHeight="false" outlineLevel="0" collapsed="false">
      <c r="A313" s="20" t="n">
        <v>11</v>
      </c>
      <c r="B313" s="18" t="str">
        <f aca="false">INDEX(C_Name,A313)</f>
        <v>흑석 아크로리버하임 84.75㎡</v>
      </c>
      <c r="C313" s="20" t="n">
        <v>2</v>
      </c>
      <c r="D313" s="21" t="str">
        <f aca="false">CHOOSE(C313,"1안 표준형(대출 최대)","2안 절충형(대출 50%)","3안 무대출형","4안 임대차 승계 후 입주","5안 매수 보류(전세 거주)")</f>
        <v>2안 절충형(대출 50%)</v>
      </c>
      <c r="E313" s="20" t="n">
        <v>2</v>
      </c>
      <c r="F313" s="10" t="n">
        <f aca="false">CHOOSE(E313,GrowLo,GrowMid,GrowHi)</f>
        <v>0.04</v>
      </c>
      <c r="G313" s="20" t="n">
        <v>5</v>
      </c>
      <c r="H313" s="18" t="n">
        <f aca="false">INDEX(C_Price,A313)</f>
        <v>28.75</v>
      </c>
      <c r="I313" s="18" t="n">
        <f aca="false">INDEX(C_Jeonse,A313)</f>
        <v>14.95</v>
      </c>
      <c r="J313" s="21" t="n">
        <f aca="false">IF(C313=5,0,IF(C313=1,INDEX(C_Loan,A313),IF(C313=2,INDEX(C_Loan,A313)*LoanShare2,IF(C313=3,0,MIN(INDEX(C_Loan,A313),I313)))))</f>
        <v>1</v>
      </c>
      <c r="K313" s="18" t="n">
        <f aca="false">IF(C313=5,0,INDEX(C_Acq,A313))</f>
        <v>0.94875</v>
      </c>
      <c r="L313" s="18" t="n">
        <f aca="false">IF(C313=5,0,INDEX(C_Fee,A313))</f>
        <v>0.241375</v>
      </c>
      <c r="M313" s="21" t="n">
        <f aca="false">IF(C313=4,MAX(0,I313-J313),0)</f>
        <v>0</v>
      </c>
      <c r="N313" s="21" t="n">
        <f aca="false">IF(C313=5,I313,IF(C313=4,(H313-I313)+K313+L313+M313,H313-J313+K313+L313))</f>
        <v>28.940125</v>
      </c>
      <c r="O313" s="20" t="n">
        <f aca="false">IF(C313=4,RentYears,0)</f>
        <v>0</v>
      </c>
      <c r="P313" s="20" t="n">
        <f aca="false">IF(C313=5,0,MAX(0,G313-O313-NonRes))</f>
        <v>5</v>
      </c>
      <c r="Q313" s="21" t="n">
        <f aca="false">IF(C313=5,0,H313*(1+F313)^G313)</f>
        <v>34.978770944</v>
      </c>
      <c r="R313" s="21" t="n">
        <f aca="false">IF(C313=5,0,Q313*LOOKUP(Q313,FeeLo,FeeR)*(1+VAT))</f>
        <v>0.2693365362688</v>
      </c>
      <c r="S313" s="21" t="n">
        <f aca="false">IF(J313&gt;0,-CUMIPMT(Rm,LoanYears*12,J313,1,(G313-O313)*12,0),0)</f>
        <v>0.190924308640185</v>
      </c>
      <c r="T313" s="29" t="n">
        <f aca="false">IF(C313=5,0,SUMIFS(Sch_Total,Sch_Idx,A313,Sch_Scen,E313,Sch_Year,"&lt;="&amp;G313))</f>
        <v>0.56831614432128</v>
      </c>
      <c r="U313" s="21" t="n">
        <f aca="false">K313+L313+R313</f>
        <v>1.4594615362688</v>
      </c>
      <c r="V313" s="21" t="n">
        <f aca="false">IF(C313=5,0,Q313-H313-U313)</f>
        <v>4.7693094077312</v>
      </c>
      <c r="W313" s="21" t="n">
        <f aca="false">IF(C313=5,0,MAX(0,IF(P313&gt;=2,IF(Q313&gt;Exempt,V313*(Q313-Exempt)/Q313,0),V313)))</f>
        <v>3.13312519232807</v>
      </c>
      <c r="X313" s="10" t="n">
        <f aca="false">IF(P313&gt;=2,MIN(MaxDed,MIN(0.4,HoldRate*G313)+MIN(0.4,LiveRate*P313)),IF(G313&gt;=3,MIN(0.3,0.02*G313),0))</f>
        <v>0.4</v>
      </c>
      <c r="Y313" s="21" t="n">
        <f aca="false">MAX(0,W313*(1-X313)-InitDed)</f>
        <v>1.85487511539684</v>
      </c>
      <c r="Z313" s="29" t="n">
        <f aca="false">SUMPRODUCT((Y313&gt;CLo)*(Y313-CLo)*CD)*(1+LocalTax)</f>
        <v>0.555997798235881</v>
      </c>
      <c r="AA313" s="21" t="n">
        <f aca="false">K313+T313+Z313</f>
        <v>2.07306394255716</v>
      </c>
      <c r="AB313" s="29" t="n">
        <f aca="false">IF(C313=5,0,(Q313-H313)-K313-L313-R313-S313-T313-Z313)</f>
        <v>3.45407115653386</v>
      </c>
      <c r="AC313" s="21" t="n">
        <f aca="false">IF(C313=5,0,N313*((1+DepRate*(1-DepTax))^G313-1))</f>
        <v>3.86370964429219</v>
      </c>
      <c r="AD313" s="29" t="n">
        <f aca="false">IF(C313=5,0,AB313-AC313+I313*(((1+DepRate*(1-DepTax))^G313-1)-((1+DepRate*(1-DepTax))^O313-1)))</f>
        <v>1.5862913564344</v>
      </c>
      <c r="AE313" s="30" t="n">
        <f aca="false">IF(J313&gt;0,-PMT(Rm,LoanYears*12,J313)*10000,0)</f>
        <v>47.741529546546</v>
      </c>
      <c r="AF313" s="21" t="n">
        <f aca="false">IF(J313&gt;0,-PMT((Rate+Stress)/12,LoanYears*12,J313)*12/DSR,0)</f>
        <v>0.199590748553755</v>
      </c>
      <c r="AG313" s="20" t="n">
        <f aca="false">IF(N313&lt;=CapA,1,0)</f>
        <v>0</v>
      </c>
      <c r="AH313" s="20" t="n">
        <f aca="false">IF(N313&lt;=CapB,1,0)</f>
        <v>0</v>
      </c>
      <c r="AI313" s="20" t="n">
        <f aca="false">IF(N313&lt;=CapC,1,0)</f>
        <v>0</v>
      </c>
      <c r="AJ313" s="21" t="n">
        <f aca="false">IF(AG313=1,AD313,-999)</f>
        <v>-999</v>
      </c>
      <c r="AK313" s="21" t="n">
        <f aca="false">IF(AH313=1,AD313,-999)</f>
        <v>-999</v>
      </c>
      <c r="AL313" s="21" t="n">
        <f aca="false">IF(AI313=1,AD313,-999)</f>
        <v>-999</v>
      </c>
      <c r="AM313" s="21" t="str">
        <f aca="false">C313&amp;"|"&amp;E313&amp;"|"&amp;G313&amp;"|"&amp;TEXT(AJ313,"0.00000")</f>
        <v>2|2|5|-999.00000</v>
      </c>
      <c r="AN313" s="21" t="str">
        <f aca="false">C313&amp;"|"&amp;E313&amp;"|"&amp;G313&amp;"|"&amp;TEXT(AK313,"0.00000")</f>
        <v>2|2|5|-999.00000</v>
      </c>
      <c r="AO313" s="21" t="str">
        <f aca="false">C313&amp;"|"&amp;E313&amp;"|"&amp;G313&amp;"|"&amp;TEXT(AL313,"0.00000")</f>
        <v>2|2|5|-999.00000</v>
      </c>
    </row>
    <row r="314" customFormat="false" ht="15" hidden="false" customHeight="false" outlineLevel="0" collapsed="false">
      <c r="A314" s="20" t="n">
        <v>11</v>
      </c>
      <c r="B314" s="18" t="str">
        <f aca="false">INDEX(C_Name,A314)</f>
        <v>흑석 아크로리버하임 84.75㎡</v>
      </c>
      <c r="C314" s="20" t="n">
        <v>2</v>
      </c>
      <c r="D314" s="21" t="str">
        <f aca="false">CHOOSE(C314,"1안 표준형(대출 최대)","2안 절충형(대출 50%)","3안 무대출형","4안 임대차 승계 후 입주","5안 매수 보류(전세 거주)")</f>
        <v>2안 절충형(대출 50%)</v>
      </c>
      <c r="E314" s="20" t="n">
        <v>2</v>
      </c>
      <c r="F314" s="10" t="n">
        <f aca="false">CHOOSE(E314,GrowLo,GrowMid,GrowHi)</f>
        <v>0.04</v>
      </c>
      <c r="G314" s="20" t="n">
        <v>10</v>
      </c>
      <c r="H314" s="18" t="n">
        <f aca="false">INDEX(C_Price,A314)</f>
        <v>28.75</v>
      </c>
      <c r="I314" s="18" t="n">
        <f aca="false">INDEX(C_Jeonse,A314)</f>
        <v>14.95</v>
      </c>
      <c r="J314" s="21" t="n">
        <f aca="false">IF(C314=5,0,IF(C314=1,INDEX(C_Loan,A314),IF(C314=2,INDEX(C_Loan,A314)*LoanShare2,IF(C314=3,0,MIN(INDEX(C_Loan,A314),I314)))))</f>
        <v>1</v>
      </c>
      <c r="K314" s="18" t="n">
        <f aca="false">IF(C314=5,0,INDEX(C_Acq,A314))</f>
        <v>0.94875</v>
      </c>
      <c r="L314" s="18" t="n">
        <f aca="false">IF(C314=5,0,INDEX(C_Fee,A314))</f>
        <v>0.241375</v>
      </c>
      <c r="M314" s="21" t="n">
        <f aca="false">IF(C314=4,MAX(0,I314-J314),0)</f>
        <v>0</v>
      </c>
      <c r="N314" s="21" t="n">
        <f aca="false">IF(C314=5,I314,IF(C314=4,(H314-I314)+K314+L314+M314,H314-J314+K314+L314))</f>
        <v>28.940125</v>
      </c>
      <c r="O314" s="20" t="n">
        <f aca="false">IF(C314=4,RentYears,0)</f>
        <v>0</v>
      </c>
      <c r="P314" s="20" t="n">
        <f aca="false">IF(C314=5,0,MAX(0,G314-O314-NonRes))</f>
        <v>10</v>
      </c>
      <c r="Q314" s="21" t="n">
        <f aca="false">IF(C314=5,0,H314*(1+F314)^G314)</f>
        <v>42.5570231914024</v>
      </c>
      <c r="R314" s="21" t="n">
        <f aca="false">IF(C314=5,0,Q314*LOOKUP(Q314,FeeLo,FeeR)*(1+VAT))</f>
        <v>0.327689078573799</v>
      </c>
      <c r="S314" s="21" t="n">
        <f aca="false">IF(J314&gt;0,-CUMIPMT(Rm,LoanYears*12,J314,1,(G314-O314)*12,0),0)</f>
        <v>0.360737946674363</v>
      </c>
      <c r="T314" s="29" t="n">
        <f aca="false">IF(C314=5,0,SUMIFS(Sch_Total,Sch_Idx,A314,Sch_Scen,E314,Sch_Year,"&lt;="&amp;G314))</f>
        <v>1.38203152016447</v>
      </c>
      <c r="U314" s="21" t="n">
        <f aca="false">K314+L314+R314</f>
        <v>1.5178140785738</v>
      </c>
      <c r="V314" s="21" t="n">
        <f aca="false">IF(C314=5,0,Q314-H314-U314)</f>
        <v>12.2892091128286</v>
      </c>
      <c r="W314" s="21" t="n">
        <f aca="false">IF(C314=5,0,MAX(0,IF(P314&gt;=2,IF(Q314&gt;Exempt,V314*(Q314-Exempt)/Q314,0),V314)))</f>
        <v>8.82396417098464</v>
      </c>
      <c r="X314" s="10" t="n">
        <f aca="false">IF(P314&gt;=2,MIN(MaxDed,MIN(0.4,HoldRate*G314)+MIN(0.4,LiveRate*P314)),IF(G314&gt;=3,MIN(0.3,0.02*G314),0))</f>
        <v>0.8</v>
      </c>
      <c r="Y314" s="21" t="n">
        <f aca="false">MAX(0,W314*(1-X314)-InitDed)</f>
        <v>1.73979283419693</v>
      </c>
      <c r="Z314" s="29" t="n">
        <f aca="false">SUMPRODUCT((Y314&gt;CLo)*(Y314-CLo)*CD)*(1+LocalTax)</f>
        <v>0.507893404694316</v>
      </c>
      <c r="AA314" s="21" t="n">
        <f aca="false">K314+T314+Z314</f>
        <v>2.83867492485878</v>
      </c>
      <c r="AB314" s="29" t="n">
        <f aca="false">IF(C314=5,0,(Q314-H314)-K314-L314-R314-S314-T314-Z314)</f>
        <v>10.0385462412955</v>
      </c>
      <c r="AC314" s="21" t="n">
        <f aca="false">IF(C314=5,0,N314*((1+DepRate*(1-DepTax))^G314-1))</f>
        <v>8.24325162225248</v>
      </c>
      <c r="AD314" s="29" t="n">
        <f aca="false">IF(C314=5,0,AB314-AC314+I314*(((1+DepRate*(1-DepTax))^G314-1)-((1+DepRate*(1-DepTax))^O314-1)))</f>
        <v>6.05362493906317</v>
      </c>
      <c r="AE314" s="30" t="n">
        <f aca="false">IF(J314&gt;0,-PMT(Rm,LoanYears*12,J314)*10000,0)</f>
        <v>47.741529546546</v>
      </c>
      <c r="AF314" s="21" t="n">
        <f aca="false">IF(J314&gt;0,-PMT((Rate+Stress)/12,LoanYears*12,J314)*12/DSR,0)</f>
        <v>0.199590748553755</v>
      </c>
      <c r="AG314" s="20" t="n">
        <f aca="false">IF(N314&lt;=CapA,1,0)</f>
        <v>0</v>
      </c>
      <c r="AH314" s="20" t="n">
        <f aca="false">IF(N314&lt;=CapB,1,0)</f>
        <v>0</v>
      </c>
      <c r="AI314" s="20" t="n">
        <f aca="false">IF(N314&lt;=CapC,1,0)</f>
        <v>0</v>
      </c>
      <c r="AJ314" s="21" t="n">
        <f aca="false">IF(AG314=1,AD314,-999)</f>
        <v>-999</v>
      </c>
      <c r="AK314" s="21" t="n">
        <f aca="false">IF(AH314=1,AD314,-999)</f>
        <v>-999</v>
      </c>
      <c r="AL314" s="21" t="n">
        <f aca="false">IF(AI314=1,AD314,-999)</f>
        <v>-999</v>
      </c>
      <c r="AM314" s="21" t="str">
        <f aca="false">C314&amp;"|"&amp;E314&amp;"|"&amp;G314&amp;"|"&amp;TEXT(AJ314,"0.00000")</f>
        <v>2|2|10|-999.00000</v>
      </c>
      <c r="AN314" s="21" t="str">
        <f aca="false">C314&amp;"|"&amp;E314&amp;"|"&amp;G314&amp;"|"&amp;TEXT(AK314,"0.00000")</f>
        <v>2|2|10|-999.00000</v>
      </c>
      <c r="AO314" s="21" t="str">
        <f aca="false">C314&amp;"|"&amp;E314&amp;"|"&amp;G314&amp;"|"&amp;TEXT(AL314,"0.00000")</f>
        <v>2|2|10|-999.00000</v>
      </c>
    </row>
    <row r="315" customFormat="false" ht="15" hidden="false" customHeight="false" outlineLevel="0" collapsed="false">
      <c r="A315" s="20" t="n">
        <v>11</v>
      </c>
      <c r="B315" s="18" t="str">
        <f aca="false">INDEX(C_Name,A315)</f>
        <v>흑석 아크로리버하임 84.75㎡</v>
      </c>
      <c r="C315" s="20" t="n">
        <v>2</v>
      </c>
      <c r="D315" s="21" t="str">
        <f aca="false">CHOOSE(C315,"1안 표준형(대출 최대)","2안 절충형(대출 50%)","3안 무대출형","4안 임대차 승계 후 입주","5안 매수 보류(전세 거주)")</f>
        <v>2안 절충형(대출 50%)</v>
      </c>
      <c r="E315" s="20" t="n">
        <v>3</v>
      </c>
      <c r="F315" s="10" t="n">
        <f aca="false">CHOOSE(E315,GrowLo,GrowMid,GrowHi)</f>
        <v>0.06</v>
      </c>
      <c r="G315" s="20" t="n">
        <v>5</v>
      </c>
      <c r="H315" s="18" t="n">
        <f aca="false">INDEX(C_Price,A315)</f>
        <v>28.75</v>
      </c>
      <c r="I315" s="18" t="n">
        <f aca="false">INDEX(C_Jeonse,A315)</f>
        <v>14.95</v>
      </c>
      <c r="J315" s="21" t="n">
        <f aca="false">IF(C315=5,0,IF(C315=1,INDEX(C_Loan,A315),IF(C315=2,INDEX(C_Loan,A315)*LoanShare2,IF(C315=3,0,MIN(INDEX(C_Loan,A315),I315)))))</f>
        <v>1</v>
      </c>
      <c r="K315" s="18" t="n">
        <f aca="false">IF(C315=5,0,INDEX(C_Acq,A315))</f>
        <v>0.94875</v>
      </c>
      <c r="L315" s="18" t="n">
        <f aca="false">IF(C315=5,0,INDEX(C_Fee,A315))</f>
        <v>0.241375</v>
      </c>
      <c r="M315" s="21" t="n">
        <f aca="false">IF(C315=4,MAX(0,I315-J315),0)</f>
        <v>0</v>
      </c>
      <c r="N315" s="21" t="n">
        <f aca="false">IF(C315=5,I315,IF(C315=4,(H315-I315)+K315+L315+M315,H315-J315+K315+L315))</f>
        <v>28.940125</v>
      </c>
      <c r="O315" s="20" t="n">
        <f aca="false">IF(C315=4,RentYears,0)</f>
        <v>0</v>
      </c>
      <c r="P315" s="20" t="n">
        <f aca="false">IF(C315=5,0,MAX(0,G315-O315-NonRes))</f>
        <v>5</v>
      </c>
      <c r="Q315" s="21" t="n">
        <f aca="false">IF(C315=5,0,H315*(1+F315)^G315)</f>
        <v>38.473985356</v>
      </c>
      <c r="R315" s="21" t="n">
        <f aca="false">IF(C315=5,0,Q315*LOOKUP(Q315,FeeLo,FeeR)*(1+VAT))</f>
        <v>0.2962496872412</v>
      </c>
      <c r="S315" s="21" t="n">
        <f aca="false">IF(J315&gt;0,-CUMIPMT(Rm,LoanYears*12,J315,1,(G315-O315)*12,0),0)</f>
        <v>0.190924308640185</v>
      </c>
      <c r="T315" s="29" t="n">
        <f aca="false">IF(C315=5,0,SUMIFS(Sch_Total,Sch_Idx,A315,Sch_Scen,E315,Sch_Year,"&lt;="&amp;G315))</f>
        <v>0.61410914100648</v>
      </c>
      <c r="U315" s="21" t="n">
        <f aca="false">K315+L315+R315</f>
        <v>1.4863746872412</v>
      </c>
      <c r="V315" s="21" t="n">
        <f aca="false">IF(C315=5,0,Q315-H315-U315)</f>
        <v>8.23761066875881</v>
      </c>
      <c r="W315" s="21" t="n">
        <f aca="false">IF(C315=5,0,MAX(0,IF(P315&gt;=2,IF(Q315&gt;Exempt,V315*(Q315-Exempt)/Q315,0),V315)))</f>
        <v>5.66830761604842</v>
      </c>
      <c r="X315" s="10" t="n">
        <f aca="false">IF(P315&gt;=2,MIN(MaxDed,MIN(0.4,HoldRate*G315)+MIN(0.4,LiveRate*P315)),IF(G315&gt;=3,MIN(0.3,0.02*G315),0))</f>
        <v>0.4</v>
      </c>
      <c r="Y315" s="21" t="n">
        <f aca="false">MAX(0,W315*(1-X315)-InitDed)</f>
        <v>3.37598456962905</v>
      </c>
      <c r="Z315" s="29" t="n">
        <f aca="false">SUMPRODUCT((Y315&gt;CLo)*(Y315-CLo)*CD)*(1+LocalTax)</f>
        <v>1.20009321063678</v>
      </c>
      <c r="AA315" s="21" t="n">
        <f aca="false">K315+T315+Z315</f>
        <v>2.76295235164326</v>
      </c>
      <c r="AB315" s="29" t="n">
        <f aca="false">IF(C315=5,0,(Q315-H315)-K315-L315-R315-S315-T315-Z315)</f>
        <v>6.23248400847536</v>
      </c>
      <c r="AC315" s="21" t="n">
        <f aca="false">IF(C315=5,0,N315*((1+DepRate*(1-DepTax))^G315-1))</f>
        <v>3.86370964429219</v>
      </c>
      <c r="AD315" s="29" t="n">
        <f aca="false">IF(C315=5,0,AB315-AC315+I315*(((1+DepRate*(1-DepTax))^G315-1)-((1+DepRate*(1-DepTax))^O315-1)))</f>
        <v>4.3647042083759</v>
      </c>
      <c r="AE315" s="30" t="n">
        <f aca="false">IF(J315&gt;0,-PMT(Rm,LoanYears*12,J315)*10000,0)</f>
        <v>47.741529546546</v>
      </c>
      <c r="AF315" s="21" t="n">
        <f aca="false">IF(J315&gt;0,-PMT((Rate+Stress)/12,LoanYears*12,J315)*12/DSR,0)</f>
        <v>0.199590748553755</v>
      </c>
      <c r="AG315" s="20" t="n">
        <f aca="false">IF(N315&lt;=CapA,1,0)</f>
        <v>0</v>
      </c>
      <c r="AH315" s="20" t="n">
        <f aca="false">IF(N315&lt;=CapB,1,0)</f>
        <v>0</v>
      </c>
      <c r="AI315" s="20" t="n">
        <f aca="false">IF(N315&lt;=CapC,1,0)</f>
        <v>0</v>
      </c>
      <c r="AJ315" s="21" t="n">
        <f aca="false">IF(AG315=1,AD315,-999)</f>
        <v>-999</v>
      </c>
      <c r="AK315" s="21" t="n">
        <f aca="false">IF(AH315=1,AD315,-999)</f>
        <v>-999</v>
      </c>
      <c r="AL315" s="21" t="n">
        <f aca="false">IF(AI315=1,AD315,-999)</f>
        <v>-999</v>
      </c>
      <c r="AM315" s="21" t="str">
        <f aca="false">C315&amp;"|"&amp;E315&amp;"|"&amp;G315&amp;"|"&amp;TEXT(AJ315,"0.00000")</f>
        <v>2|3|5|-999.00000</v>
      </c>
      <c r="AN315" s="21" t="str">
        <f aca="false">C315&amp;"|"&amp;E315&amp;"|"&amp;G315&amp;"|"&amp;TEXT(AK315,"0.00000")</f>
        <v>2|3|5|-999.00000</v>
      </c>
      <c r="AO315" s="21" t="str">
        <f aca="false">C315&amp;"|"&amp;E315&amp;"|"&amp;G315&amp;"|"&amp;TEXT(AL315,"0.00000")</f>
        <v>2|3|5|-999.00000</v>
      </c>
    </row>
    <row r="316" customFormat="false" ht="15" hidden="false" customHeight="false" outlineLevel="0" collapsed="false">
      <c r="A316" s="20" t="n">
        <v>11</v>
      </c>
      <c r="B316" s="18" t="str">
        <f aca="false">INDEX(C_Name,A316)</f>
        <v>흑석 아크로리버하임 84.75㎡</v>
      </c>
      <c r="C316" s="20" t="n">
        <v>2</v>
      </c>
      <c r="D316" s="21" t="str">
        <f aca="false">CHOOSE(C316,"1안 표준형(대출 최대)","2안 절충형(대출 50%)","3안 무대출형","4안 임대차 승계 후 입주","5안 매수 보류(전세 거주)")</f>
        <v>2안 절충형(대출 50%)</v>
      </c>
      <c r="E316" s="20" t="n">
        <v>3</v>
      </c>
      <c r="F316" s="10" t="n">
        <f aca="false">CHOOSE(E316,GrowLo,GrowMid,GrowHi)</f>
        <v>0.06</v>
      </c>
      <c r="G316" s="20" t="n">
        <v>10</v>
      </c>
      <c r="H316" s="18" t="n">
        <f aca="false">INDEX(C_Price,A316)</f>
        <v>28.75</v>
      </c>
      <c r="I316" s="18" t="n">
        <f aca="false">INDEX(C_Jeonse,A316)</f>
        <v>14.95</v>
      </c>
      <c r="J316" s="21" t="n">
        <f aca="false">IF(C316=5,0,IF(C316=1,INDEX(C_Loan,A316),IF(C316=2,INDEX(C_Loan,A316)*LoanShare2,IF(C316=3,0,MIN(INDEX(C_Loan,A316),I316)))))</f>
        <v>1</v>
      </c>
      <c r="K316" s="18" t="n">
        <f aca="false">IF(C316=5,0,INDEX(C_Acq,A316))</f>
        <v>0.94875</v>
      </c>
      <c r="L316" s="18" t="n">
        <f aca="false">IF(C316=5,0,INDEX(C_Fee,A316))</f>
        <v>0.241375</v>
      </c>
      <c r="M316" s="21" t="n">
        <f aca="false">IF(C316=4,MAX(0,I316-J316),0)</f>
        <v>0</v>
      </c>
      <c r="N316" s="21" t="n">
        <f aca="false">IF(C316=5,I316,IF(C316=4,(H316-I316)+K316+L316+M316,H316-J316+K316+L316))</f>
        <v>28.940125</v>
      </c>
      <c r="O316" s="20" t="n">
        <f aca="false">IF(C316=4,RentYears,0)</f>
        <v>0</v>
      </c>
      <c r="P316" s="20" t="n">
        <f aca="false">IF(C316=5,0,MAX(0,G316-O316-NonRes))</f>
        <v>10</v>
      </c>
      <c r="Q316" s="21" t="n">
        <f aca="false">IF(C316=5,0,H316*(1+F316)^G316)</f>
        <v>51.4868712756071</v>
      </c>
      <c r="R316" s="21" t="n">
        <f aca="false">IF(C316=5,0,Q316*LOOKUP(Q316,FeeLo,FeeR)*(1+VAT))</f>
        <v>0.396448908822175</v>
      </c>
      <c r="S316" s="21" t="n">
        <f aca="false">IF(J316&gt;0,-CUMIPMT(Rm,LoanYears*12,J316,1,(G316-O316)*12,0),0)</f>
        <v>0.360737946674363</v>
      </c>
      <c r="T316" s="29" t="n">
        <f aca="false">IF(C316=5,0,SUMIFS(Sch_Total,Sch_Idx,A316,Sch_Scen,E316,Sch_Year,"&lt;="&amp;G316))</f>
        <v>1.63773983870504</v>
      </c>
      <c r="U316" s="21" t="n">
        <f aca="false">K316+L316+R316</f>
        <v>1.58657390882217</v>
      </c>
      <c r="V316" s="21" t="n">
        <f aca="false">IF(C316=5,0,Q316-H316-U316)</f>
        <v>21.1502973667849</v>
      </c>
      <c r="W316" s="21" t="n">
        <f aca="false">IF(C316=5,0,MAX(0,IF(P316&gt;=2,IF(Q316&gt;Exempt,V316*(Q316-Exempt)/Q316,0),V316)))</f>
        <v>16.2208160812972</v>
      </c>
      <c r="X316" s="10" t="n">
        <f aca="false">IF(P316&gt;=2,MIN(MaxDed,MIN(0.4,HoldRate*G316)+MIN(0.4,LiveRate*P316)),IF(G316&gt;=3,MIN(0.3,0.02*G316),0))</f>
        <v>0.8</v>
      </c>
      <c r="Y316" s="21" t="n">
        <f aca="false">MAX(0,W316*(1-X316)-InitDed)</f>
        <v>3.21916321625944</v>
      </c>
      <c r="Z316" s="29" t="n">
        <f aca="false">SUMPRODUCT((Y316&gt;CLo)*(Y316-CLo)*CD)*(1+LocalTax)</f>
        <v>1.13109181515415</v>
      </c>
      <c r="AA316" s="21" t="n">
        <f aca="false">K316+T316+Z316</f>
        <v>3.71758165385919</v>
      </c>
      <c r="AB316" s="29" t="n">
        <f aca="false">IF(C316=5,0,(Q316-H316)-K316-L316-R316-S316-T316-Z316)</f>
        <v>18.0207277662513</v>
      </c>
      <c r="AC316" s="21" t="n">
        <f aca="false">IF(C316=5,0,N316*((1+DepRate*(1-DepTax))^G316-1))</f>
        <v>8.24325162225248</v>
      </c>
      <c r="AD316" s="29" t="n">
        <f aca="false">IF(C316=5,0,AB316-AC316+I316*(((1+DepRate*(1-DepTax))^G316-1)-((1+DepRate*(1-DepTax))^O316-1)))</f>
        <v>14.0358064640191</v>
      </c>
      <c r="AE316" s="30" t="n">
        <f aca="false">IF(J316&gt;0,-PMT(Rm,LoanYears*12,J316)*10000,0)</f>
        <v>47.741529546546</v>
      </c>
      <c r="AF316" s="21" t="n">
        <f aca="false">IF(J316&gt;0,-PMT((Rate+Stress)/12,LoanYears*12,J316)*12/DSR,0)</f>
        <v>0.199590748553755</v>
      </c>
      <c r="AG316" s="20" t="n">
        <f aca="false">IF(N316&lt;=CapA,1,0)</f>
        <v>0</v>
      </c>
      <c r="AH316" s="20" t="n">
        <f aca="false">IF(N316&lt;=CapB,1,0)</f>
        <v>0</v>
      </c>
      <c r="AI316" s="20" t="n">
        <f aca="false">IF(N316&lt;=CapC,1,0)</f>
        <v>0</v>
      </c>
      <c r="AJ316" s="21" t="n">
        <f aca="false">IF(AG316=1,AD316,-999)</f>
        <v>-999</v>
      </c>
      <c r="AK316" s="21" t="n">
        <f aca="false">IF(AH316=1,AD316,-999)</f>
        <v>-999</v>
      </c>
      <c r="AL316" s="21" t="n">
        <f aca="false">IF(AI316=1,AD316,-999)</f>
        <v>-999</v>
      </c>
      <c r="AM316" s="21" t="str">
        <f aca="false">C316&amp;"|"&amp;E316&amp;"|"&amp;G316&amp;"|"&amp;TEXT(AJ316,"0.00000")</f>
        <v>2|3|10|-999.00000</v>
      </c>
      <c r="AN316" s="21" t="str">
        <f aca="false">C316&amp;"|"&amp;E316&amp;"|"&amp;G316&amp;"|"&amp;TEXT(AK316,"0.00000")</f>
        <v>2|3|10|-999.00000</v>
      </c>
      <c r="AO316" s="21" t="str">
        <f aca="false">C316&amp;"|"&amp;E316&amp;"|"&amp;G316&amp;"|"&amp;TEXT(AL316,"0.00000")</f>
        <v>2|3|10|-999.00000</v>
      </c>
    </row>
    <row r="317" customFormat="false" ht="15" hidden="false" customHeight="false" outlineLevel="0" collapsed="false">
      <c r="A317" s="20" t="n">
        <v>11</v>
      </c>
      <c r="B317" s="18" t="str">
        <f aca="false">INDEX(C_Name,A317)</f>
        <v>흑석 아크로리버하임 84.75㎡</v>
      </c>
      <c r="C317" s="20" t="n">
        <v>3</v>
      </c>
      <c r="D317" s="21" t="str">
        <f aca="false">CHOOSE(C317,"1안 표준형(대출 최대)","2안 절충형(대출 50%)","3안 무대출형","4안 임대차 승계 후 입주","5안 매수 보류(전세 거주)")</f>
        <v>3안 무대출형</v>
      </c>
      <c r="E317" s="20" t="n">
        <v>1</v>
      </c>
      <c r="F317" s="10" t="n">
        <f aca="false">CHOOSE(E317,GrowLo,GrowMid,GrowHi)</f>
        <v>0.02</v>
      </c>
      <c r="G317" s="20" t="n">
        <v>5</v>
      </c>
      <c r="H317" s="18" t="n">
        <f aca="false">INDEX(C_Price,A317)</f>
        <v>28.75</v>
      </c>
      <c r="I317" s="18" t="n">
        <f aca="false">INDEX(C_Jeonse,A317)</f>
        <v>14.95</v>
      </c>
      <c r="J317" s="21" t="n">
        <f aca="false">IF(C317=5,0,IF(C317=1,INDEX(C_Loan,A317),IF(C317=2,INDEX(C_Loan,A317)*LoanShare2,IF(C317=3,0,MIN(INDEX(C_Loan,A317),I317)))))</f>
        <v>0</v>
      </c>
      <c r="K317" s="18" t="n">
        <f aca="false">IF(C317=5,0,INDEX(C_Acq,A317))</f>
        <v>0.94875</v>
      </c>
      <c r="L317" s="18" t="n">
        <f aca="false">IF(C317=5,0,INDEX(C_Fee,A317))</f>
        <v>0.241375</v>
      </c>
      <c r="M317" s="21" t="n">
        <f aca="false">IF(C317=4,MAX(0,I317-J317),0)</f>
        <v>0</v>
      </c>
      <c r="N317" s="21" t="n">
        <f aca="false">IF(C317=5,I317,IF(C317=4,(H317-I317)+K317+L317+M317,H317-J317+K317+L317))</f>
        <v>29.940125</v>
      </c>
      <c r="O317" s="20" t="n">
        <f aca="false">IF(C317=4,RentYears,0)</f>
        <v>0</v>
      </c>
      <c r="P317" s="20" t="n">
        <f aca="false">IF(C317=5,0,MAX(0,G317-O317-NonRes))</f>
        <v>5</v>
      </c>
      <c r="Q317" s="21" t="n">
        <f aca="false">IF(C317=5,0,H317*(1+F317)^G317)</f>
        <v>31.742323092</v>
      </c>
      <c r="R317" s="21" t="n">
        <f aca="false">IF(C317=5,0,Q317*LOOKUP(Q317,FeeLo,FeeR)*(1+VAT))</f>
        <v>0.2444158878084</v>
      </c>
      <c r="S317" s="21" t="n">
        <f aca="false">IF(J317&gt;0,-CUMIPMT(Rm,LoanYears*12,J317,1,(G317-O317)*12,0),0)</f>
        <v>0</v>
      </c>
      <c r="T317" s="29" t="n">
        <f aca="false">IF(C317=5,0,SUMIFS(Sch_Total,Sch_Idx,A317,Sch_Scen,E317,Sch_Year,"&lt;="&amp;G317))</f>
        <v>0.52813988486424</v>
      </c>
      <c r="U317" s="21" t="n">
        <f aca="false">K317+L317+R317</f>
        <v>1.4345408878084</v>
      </c>
      <c r="V317" s="21" t="n">
        <f aca="false">IF(C317=5,0,Q317-H317-U317)</f>
        <v>1.5577822041916</v>
      </c>
      <c r="W317" s="21" t="n">
        <f aca="false">IF(C317=5,0,MAX(0,IF(P317&gt;=2,IF(Q317&gt;Exempt,V317*(Q317-Exempt)/Q317,0),V317)))</f>
        <v>0.96887173295358</v>
      </c>
      <c r="X317" s="10" t="n">
        <f aca="false">IF(P317&gt;=2,MIN(MaxDed,MIN(0.4,HoldRate*G317)+MIN(0.4,LiveRate*P317)),IF(G317&gt;=3,MIN(0.3,0.02*G317),0))</f>
        <v>0.4</v>
      </c>
      <c r="Y317" s="21" t="n">
        <f aca="false">MAX(0,W317*(1-X317)-InitDed)</f>
        <v>0.556323039772148</v>
      </c>
      <c r="Z317" s="29" t="n">
        <f aca="false">SUMPRODUCT((Y317&gt;CLo)*(Y317-CLo)*CD)*(1+LocalTax)</f>
        <v>0.083509282499847</v>
      </c>
      <c r="AA317" s="21" t="n">
        <f aca="false">K317+T317+Z317</f>
        <v>1.56039916736409</v>
      </c>
      <c r="AB317" s="29" t="n">
        <f aca="false">IF(C317=5,0,(Q317-H317)-K317-L317-R317-S317-T317-Z317)</f>
        <v>0.946133036827512</v>
      </c>
      <c r="AC317" s="21" t="n">
        <f aca="false">IF(C317=5,0,N317*((1+DepRate*(1-DepTax))^G317-1))</f>
        <v>3.99721665728167</v>
      </c>
      <c r="AD317" s="29" t="n">
        <f aca="false">IF(C317=5,0,AB317-AC317+I317*(((1+DepRate*(1-DepTax))^G317-1)-((1+DepRate*(1-DepTax))^O317-1)))</f>
        <v>-1.05515377626143</v>
      </c>
      <c r="AE317" s="30" t="n">
        <f aca="false">IF(J317&gt;0,-PMT(Rm,LoanYears*12,J317)*10000,0)</f>
        <v>0</v>
      </c>
      <c r="AF317" s="21" t="n">
        <f aca="false">IF(J317&gt;0,-PMT((Rate+Stress)/12,LoanYears*12,J317)*12/DSR,0)</f>
        <v>0</v>
      </c>
      <c r="AG317" s="20" t="n">
        <f aca="false">IF(N317&lt;=CapA,1,0)</f>
        <v>0</v>
      </c>
      <c r="AH317" s="20" t="n">
        <f aca="false">IF(N317&lt;=CapB,1,0)</f>
        <v>0</v>
      </c>
      <c r="AI317" s="20" t="n">
        <f aca="false">IF(N317&lt;=CapC,1,0)</f>
        <v>0</v>
      </c>
      <c r="AJ317" s="21" t="n">
        <f aca="false">IF(AG317=1,AD317,-999)</f>
        <v>-999</v>
      </c>
      <c r="AK317" s="21" t="n">
        <f aca="false">IF(AH317=1,AD317,-999)</f>
        <v>-999</v>
      </c>
      <c r="AL317" s="21" t="n">
        <f aca="false">IF(AI317=1,AD317,-999)</f>
        <v>-999</v>
      </c>
      <c r="AM317" s="21" t="str">
        <f aca="false">C317&amp;"|"&amp;E317&amp;"|"&amp;G317&amp;"|"&amp;TEXT(AJ317,"0.00000")</f>
        <v>3|1|5|-999.00000</v>
      </c>
      <c r="AN317" s="21" t="str">
        <f aca="false">C317&amp;"|"&amp;E317&amp;"|"&amp;G317&amp;"|"&amp;TEXT(AK317,"0.00000")</f>
        <v>3|1|5|-999.00000</v>
      </c>
      <c r="AO317" s="21" t="str">
        <f aca="false">C317&amp;"|"&amp;E317&amp;"|"&amp;G317&amp;"|"&amp;TEXT(AL317,"0.00000")</f>
        <v>3|1|5|-999.00000</v>
      </c>
    </row>
    <row r="318" customFormat="false" ht="15" hidden="false" customHeight="false" outlineLevel="0" collapsed="false">
      <c r="A318" s="20" t="n">
        <v>11</v>
      </c>
      <c r="B318" s="18" t="str">
        <f aca="false">INDEX(C_Name,A318)</f>
        <v>흑석 아크로리버하임 84.75㎡</v>
      </c>
      <c r="C318" s="20" t="n">
        <v>3</v>
      </c>
      <c r="D318" s="21" t="str">
        <f aca="false">CHOOSE(C318,"1안 표준형(대출 최대)","2안 절충형(대출 50%)","3안 무대출형","4안 임대차 승계 후 입주","5안 매수 보류(전세 거주)")</f>
        <v>3안 무대출형</v>
      </c>
      <c r="E318" s="20" t="n">
        <v>1</v>
      </c>
      <c r="F318" s="10" t="n">
        <f aca="false">CHOOSE(E318,GrowLo,GrowMid,GrowHi)</f>
        <v>0.02</v>
      </c>
      <c r="G318" s="20" t="n">
        <v>10</v>
      </c>
      <c r="H318" s="18" t="n">
        <f aca="false">INDEX(C_Price,A318)</f>
        <v>28.75</v>
      </c>
      <c r="I318" s="18" t="n">
        <f aca="false">INDEX(C_Jeonse,A318)</f>
        <v>14.95</v>
      </c>
      <c r="J318" s="21" t="n">
        <f aca="false">IF(C318=5,0,IF(C318=1,INDEX(C_Loan,A318),IF(C318=2,INDEX(C_Loan,A318)*LoanShare2,IF(C318=3,0,MIN(INDEX(C_Loan,A318),I318)))))</f>
        <v>0</v>
      </c>
      <c r="K318" s="18" t="n">
        <f aca="false">IF(C318=5,0,INDEX(C_Acq,A318))</f>
        <v>0.94875</v>
      </c>
      <c r="L318" s="18" t="n">
        <f aca="false">IF(C318=5,0,INDEX(C_Fee,A318))</f>
        <v>0.241375</v>
      </c>
      <c r="M318" s="21" t="n">
        <f aca="false">IF(C318=4,MAX(0,I318-J318),0)</f>
        <v>0</v>
      </c>
      <c r="N318" s="21" t="n">
        <f aca="false">IF(C318=5,I318,IF(C318=4,(H318-I318)+K318+L318+M318,H318-J318+K318+L318))</f>
        <v>29.940125</v>
      </c>
      <c r="O318" s="20" t="n">
        <f aca="false">IF(C318=4,RentYears,0)</f>
        <v>0</v>
      </c>
      <c r="P318" s="20" t="n">
        <f aca="false">IF(C318=5,0,MAX(0,G318-O318-NonRes))</f>
        <v>10</v>
      </c>
      <c r="Q318" s="21" t="n">
        <f aca="false">IF(C318=5,0,H318*(1+F318)^G318)</f>
        <v>35.0460895748493</v>
      </c>
      <c r="R318" s="21" t="n">
        <f aca="false">IF(C318=5,0,Q318*LOOKUP(Q318,FeeLo,FeeR)*(1+VAT))</f>
        <v>0.26985488972634</v>
      </c>
      <c r="S318" s="21" t="n">
        <f aca="false">IF(J318&gt;0,-CUMIPMT(Rm,LoanYears*12,J318,1,(G318-O318)*12,0),0)</f>
        <v>0</v>
      </c>
      <c r="T318" s="29" t="n">
        <f aca="false">IF(C318=5,0,SUMIFS(Sch_Total,Sch_Idx,A318,Sch_Scen,E318,Sch_Year,"&lt;="&amp;G318))</f>
        <v>1.15921211127656</v>
      </c>
      <c r="U318" s="21" t="n">
        <f aca="false">K318+L318+R318</f>
        <v>1.45997988972634</v>
      </c>
      <c r="V318" s="21" t="n">
        <f aca="false">IF(C318=5,0,Q318-H318-U318)</f>
        <v>4.83610968512294</v>
      </c>
      <c r="W318" s="21" t="n">
        <f aca="false">IF(C318=5,0,MAX(0,IF(P318&gt;=2,IF(Q318&gt;Exempt,V318*(Q318-Exempt)/Q318,0),V318)))</f>
        <v>3.18019551822191</v>
      </c>
      <c r="X318" s="10" t="n">
        <f aca="false">IF(P318&gt;=2,MIN(MaxDed,MIN(0.4,HoldRate*G318)+MIN(0.4,LiveRate*P318)),IF(G318&gt;=3,MIN(0.3,0.02*G318),0))</f>
        <v>0.8</v>
      </c>
      <c r="Y318" s="21" t="n">
        <f aca="false">MAX(0,W318*(1-X318)-InitDed)</f>
        <v>0.611039103644382</v>
      </c>
      <c r="Z318" s="29" t="n">
        <f aca="false">SUMPRODUCT((Y318&gt;CLo)*(Y318-CLo)*CD)*(1+LocalTax)</f>
        <v>0.0979543233621169</v>
      </c>
      <c r="AA318" s="21" t="n">
        <f aca="false">K318+T318+Z318</f>
        <v>2.20591643463867</v>
      </c>
      <c r="AB318" s="29" t="n">
        <f aca="false">IF(C318=5,0,(Q318-H318)-K318-L318-R318-S318-T318-Z318)</f>
        <v>3.57894325048426</v>
      </c>
      <c r="AC318" s="21" t="n">
        <f aca="false">IF(C318=5,0,N318*((1+DepRate*(1-DepTax))^G318-1))</f>
        <v>8.52808977074882</v>
      </c>
      <c r="AD318" s="29" t="n">
        <f aca="false">IF(C318=5,0,AB318-AC318+I318*(((1+DepRate*(1-DepTax))^G318-1)-((1+DepRate*(1-DepTax))^O318-1)))</f>
        <v>-0.690816200244353</v>
      </c>
      <c r="AE318" s="30" t="n">
        <f aca="false">IF(J318&gt;0,-PMT(Rm,LoanYears*12,J318)*10000,0)</f>
        <v>0</v>
      </c>
      <c r="AF318" s="21" t="n">
        <f aca="false">IF(J318&gt;0,-PMT((Rate+Stress)/12,LoanYears*12,J318)*12/DSR,0)</f>
        <v>0</v>
      </c>
      <c r="AG318" s="20" t="n">
        <f aca="false">IF(N318&lt;=CapA,1,0)</f>
        <v>0</v>
      </c>
      <c r="AH318" s="20" t="n">
        <f aca="false">IF(N318&lt;=CapB,1,0)</f>
        <v>0</v>
      </c>
      <c r="AI318" s="20" t="n">
        <f aca="false">IF(N318&lt;=CapC,1,0)</f>
        <v>0</v>
      </c>
      <c r="AJ318" s="21" t="n">
        <f aca="false">IF(AG318=1,AD318,-999)</f>
        <v>-999</v>
      </c>
      <c r="AK318" s="21" t="n">
        <f aca="false">IF(AH318=1,AD318,-999)</f>
        <v>-999</v>
      </c>
      <c r="AL318" s="21" t="n">
        <f aca="false">IF(AI318=1,AD318,-999)</f>
        <v>-999</v>
      </c>
      <c r="AM318" s="21" t="str">
        <f aca="false">C318&amp;"|"&amp;E318&amp;"|"&amp;G318&amp;"|"&amp;TEXT(AJ318,"0.00000")</f>
        <v>3|1|10|-999.00000</v>
      </c>
      <c r="AN318" s="21" t="str">
        <f aca="false">C318&amp;"|"&amp;E318&amp;"|"&amp;G318&amp;"|"&amp;TEXT(AK318,"0.00000")</f>
        <v>3|1|10|-999.00000</v>
      </c>
      <c r="AO318" s="21" t="str">
        <f aca="false">C318&amp;"|"&amp;E318&amp;"|"&amp;G318&amp;"|"&amp;TEXT(AL318,"0.00000")</f>
        <v>3|1|10|-999.00000</v>
      </c>
    </row>
    <row r="319" customFormat="false" ht="15" hidden="false" customHeight="false" outlineLevel="0" collapsed="false">
      <c r="A319" s="20" t="n">
        <v>11</v>
      </c>
      <c r="B319" s="18" t="str">
        <f aca="false">INDEX(C_Name,A319)</f>
        <v>흑석 아크로리버하임 84.75㎡</v>
      </c>
      <c r="C319" s="20" t="n">
        <v>3</v>
      </c>
      <c r="D319" s="21" t="str">
        <f aca="false">CHOOSE(C319,"1안 표준형(대출 최대)","2안 절충형(대출 50%)","3안 무대출형","4안 임대차 승계 후 입주","5안 매수 보류(전세 거주)")</f>
        <v>3안 무대출형</v>
      </c>
      <c r="E319" s="20" t="n">
        <v>2</v>
      </c>
      <c r="F319" s="10" t="n">
        <f aca="false">CHOOSE(E319,GrowLo,GrowMid,GrowHi)</f>
        <v>0.04</v>
      </c>
      <c r="G319" s="20" t="n">
        <v>5</v>
      </c>
      <c r="H319" s="18" t="n">
        <f aca="false">INDEX(C_Price,A319)</f>
        <v>28.75</v>
      </c>
      <c r="I319" s="18" t="n">
        <f aca="false">INDEX(C_Jeonse,A319)</f>
        <v>14.95</v>
      </c>
      <c r="J319" s="21" t="n">
        <f aca="false">IF(C319=5,0,IF(C319=1,INDEX(C_Loan,A319),IF(C319=2,INDEX(C_Loan,A319)*LoanShare2,IF(C319=3,0,MIN(INDEX(C_Loan,A319),I319)))))</f>
        <v>0</v>
      </c>
      <c r="K319" s="18" t="n">
        <f aca="false">IF(C319=5,0,INDEX(C_Acq,A319))</f>
        <v>0.94875</v>
      </c>
      <c r="L319" s="18" t="n">
        <f aca="false">IF(C319=5,0,INDEX(C_Fee,A319))</f>
        <v>0.241375</v>
      </c>
      <c r="M319" s="21" t="n">
        <f aca="false">IF(C319=4,MAX(0,I319-J319),0)</f>
        <v>0</v>
      </c>
      <c r="N319" s="21" t="n">
        <f aca="false">IF(C319=5,I319,IF(C319=4,(H319-I319)+K319+L319+M319,H319-J319+K319+L319))</f>
        <v>29.940125</v>
      </c>
      <c r="O319" s="20" t="n">
        <f aca="false">IF(C319=4,RentYears,0)</f>
        <v>0</v>
      </c>
      <c r="P319" s="20" t="n">
        <f aca="false">IF(C319=5,0,MAX(0,G319-O319-NonRes))</f>
        <v>5</v>
      </c>
      <c r="Q319" s="21" t="n">
        <f aca="false">IF(C319=5,0,H319*(1+F319)^G319)</f>
        <v>34.978770944</v>
      </c>
      <c r="R319" s="21" t="n">
        <f aca="false">IF(C319=5,0,Q319*LOOKUP(Q319,FeeLo,FeeR)*(1+VAT))</f>
        <v>0.2693365362688</v>
      </c>
      <c r="S319" s="21" t="n">
        <f aca="false">IF(J319&gt;0,-CUMIPMT(Rm,LoanYears*12,J319,1,(G319-O319)*12,0),0)</f>
        <v>0</v>
      </c>
      <c r="T319" s="29" t="n">
        <f aca="false">IF(C319=5,0,SUMIFS(Sch_Total,Sch_Idx,A319,Sch_Scen,E319,Sch_Year,"&lt;="&amp;G319))</f>
        <v>0.56831614432128</v>
      </c>
      <c r="U319" s="21" t="n">
        <f aca="false">K319+L319+R319</f>
        <v>1.4594615362688</v>
      </c>
      <c r="V319" s="21" t="n">
        <f aca="false">IF(C319=5,0,Q319-H319-U319)</f>
        <v>4.7693094077312</v>
      </c>
      <c r="W319" s="21" t="n">
        <f aca="false">IF(C319=5,0,MAX(0,IF(P319&gt;=2,IF(Q319&gt;Exempt,V319*(Q319-Exempt)/Q319,0),V319)))</f>
        <v>3.13312519232807</v>
      </c>
      <c r="X319" s="10" t="n">
        <f aca="false">IF(P319&gt;=2,MIN(MaxDed,MIN(0.4,HoldRate*G319)+MIN(0.4,LiveRate*P319)),IF(G319&gt;=3,MIN(0.3,0.02*G319),0))</f>
        <v>0.4</v>
      </c>
      <c r="Y319" s="21" t="n">
        <f aca="false">MAX(0,W319*(1-X319)-InitDed)</f>
        <v>1.85487511539684</v>
      </c>
      <c r="Z319" s="29" t="n">
        <f aca="false">SUMPRODUCT((Y319&gt;CLo)*(Y319-CLo)*CD)*(1+LocalTax)</f>
        <v>0.555997798235881</v>
      </c>
      <c r="AA319" s="21" t="n">
        <f aca="false">K319+T319+Z319</f>
        <v>2.07306394255716</v>
      </c>
      <c r="AB319" s="29" t="n">
        <f aca="false">IF(C319=5,0,(Q319-H319)-K319-L319-R319-S319-T319-Z319)</f>
        <v>3.64499546517404</v>
      </c>
      <c r="AC319" s="21" t="n">
        <f aca="false">IF(C319=5,0,N319*((1+DepRate*(1-DepTax))^G319-1))</f>
        <v>3.99721665728167</v>
      </c>
      <c r="AD319" s="29" t="n">
        <f aca="false">IF(C319=5,0,AB319-AC319+I319*(((1+DepRate*(1-DepTax))^G319-1)-((1+DepRate*(1-DepTax))^O319-1)))</f>
        <v>1.64370865208511</v>
      </c>
      <c r="AE319" s="30" t="n">
        <f aca="false">IF(J319&gt;0,-PMT(Rm,LoanYears*12,J319)*10000,0)</f>
        <v>0</v>
      </c>
      <c r="AF319" s="21" t="n">
        <f aca="false">IF(J319&gt;0,-PMT((Rate+Stress)/12,LoanYears*12,J319)*12/DSR,0)</f>
        <v>0</v>
      </c>
      <c r="AG319" s="20" t="n">
        <f aca="false">IF(N319&lt;=CapA,1,0)</f>
        <v>0</v>
      </c>
      <c r="AH319" s="20" t="n">
        <f aca="false">IF(N319&lt;=CapB,1,0)</f>
        <v>0</v>
      </c>
      <c r="AI319" s="20" t="n">
        <f aca="false">IF(N319&lt;=CapC,1,0)</f>
        <v>0</v>
      </c>
      <c r="AJ319" s="21" t="n">
        <f aca="false">IF(AG319=1,AD319,-999)</f>
        <v>-999</v>
      </c>
      <c r="AK319" s="21" t="n">
        <f aca="false">IF(AH319=1,AD319,-999)</f>
        <v>-999</v>
      </c>
      <c r="AL319" s="21" t="n">
        <f aca="false">IF(AI319=1,AD319,-999)</f>
        <v>-999</v>
      </c>
      <c r="AM319" s="21" t="str">
        <f aca="false">C319&amp;"|"&amp;E319&amp;"|"&amp;G319&amp;"|"&amp;TEXT(AJ319,"0.00000")</f>
        <v>3|2|5|-999.00000</v>
      </c>
      <c r="AN319" s="21" t="str">
        <f aca="false">C319&amp;"|"&amp;E319&amp;"|"&amp;G319&amp;"|"&amp;TEXT(AK319,"0.00000")</f>
        <v>3|2|5|-999.00000</v>
      </c>
      <c r="AO319" s="21" t="str">
        <f aca="false">C319&amp;"|"&amp;E319&amp;"|"&amp;G319&amp;"|"&amp;TEXT(AL319,"0.00000")</f>
        <v>3|2|5|-999.00000</v>
      </c>
    </row>
    <row r="320" customFormat="false" ht="15" hidden="false" customHeight="false" outlineLevel="0" collapsed="false">
      <c r="A320" s="20" t="n">
        <v>11</v>
      </c>
      <c r="B320" s="18" t="str">
        <f aca="false">INDEX(C_Name,A320)</f>
        <v>흑석 아크로리버하임 84.75㎡</v>
      </c>
      <c r="C320" s="20" t="n">
        <v>3</v>
      </c>
      <c r="D320" s="21" t="str">
        <f aca="false">CHOOSE(C320,"1안 표준형(대출 최대)","2안 절충형(대출 50%)","3안 무대출형","4안 임대차 승계 후 입주","5안 매수 보류(전세 거주)")</f>
        <v>3안 무대출형</v>
      </c>
      <c r="E320" s="20" t="n">
        <v>2</v>
      </c>
      <c r="F320" s="10" t="n">
        <f aca="false">CHOOSE(E320,GrowLo,GrowMid,GrowHi)</f>
        <v>0.04</v>
      </c>
      <c r="G320" s="20" t="n">
        <v>10</v>
      </c>
      <c r="H320" s="18" t="n">
        <f aca="false">INDEX(C_Price,A320)</f>
        <v>28.75</v>
      </c>
      <c r="I320" s="18" t="n">
        <f aca="false">INDEX(C_Jeonse,A320)</f>
        <v>14.95</v>
      </c>
      <c r="J320" s="21" t="n">
        <f aca="false">IF(C320=5,0,IF(C320=1,INDEX(C_Loan,A320),IF(C320=2,INDEX(C_Loan,A320)*LoanShare2,IF(C320=3,0,MIN(INDEX(C_Loan,A320),I320)))))</f>
        <v>0</v>
      </c>
      <c r="K320" s="18" t="n">
        <f aca="false">IF(C320=5,0,INDEX(C_Acq,A320))</f>
        <v>0.94875</v>
      </c>
      <c r="L320" s="18" t="n">
        <f aca="false">IF(C320=5,0,INDEX(C_Fee,A320))</f>
        <v>0.241375</v>
      </c>
      <c r="M320" s="21" t="n">
        <f aca="false">IF(C320=4,MAX(0,I320-J320),0)</f>
        <v>0</v>
      </c>
      <c r="N320" s="21" t="n">
        <f aca="false">IF(C320=5,I320,IF(C320=4,(H320-I320)+K320+L320+M320,H320-J320+K320+L320))</f>
        <v>29.940125</v>
      </c>
      <c r="O320" s="20" t="n">
        <f aca="false">IF(C320=4,RentYears,0)</f>
        <v>0</v>
      </c>
      <c r="P320" s="20" t="n">
        <f aca="false">IF(C320=5,0,MAX(0,G320-O320-NonRes))</f>
        <v>10</v>
      </c>
      <c r="Q320" s="21" t="n">
        <f aca="false">IF(C320=5,0,H320*(1+F320)^G320)</f>
        <v>42.5570231914024</v>
      </c>
      <c r="R320" s="21" t="n">
        <f aca="false">IF(C320=5,0,Q320*LOOKUP(Q320,FeeLo,FeeR)*(1+VAT))</f>
        <v>0.327689078573799</v>
      </c>
      <c r="S320" s="21" t="n">
        <f aca="false">IF(J320&gt;0,-CUMIPMT(Rm,LoanYears*12,J320,1,(G320-O320)*12,0),0)</f>
        <v>0</v>
      </c>
      <c r="T320" s="29" t="n">
        <f aca="false">IF(C320=5,0,SUMIFS(Sch_Total,Sch_Idx,A320,Sch_Scen,E320,Sch_Year,"&lt;="&amp;G320))</f>
        <v>1.38203152016447</v>
      </c>
      <c r="U320" s="21" t="n">
        <f aca="false">K320+L320+R320</f>
        <v>1.5178140785738</v>
      </c>
      <c r="V320" s="21" t="n">
        <f aca="false">IF(C320=5,0,Q320-H320-U320)</f>
        <v>12.2892091128286</v>
      </c>
      <c r="W320" s="21" t="n">
        <f aca="false">IF(C320=5,0,MAX(0,IF(P320&gt;=2,IF(Q320&gt;Exempt,V320*(Q320-Exempt)/Q320,0),V320)))</f>
        <v>8.82396417098464</v>
      </c>
      <c r="X320" s="10" t="n">
        <f aca="false">IF(P320&gt;=2,MIN(MaxDed,MIN(0.4,HoldRate*G320)+MIN(0.4,LiveRate*P320)),IF(G320&gt;=3,MIN(0.3,0.02*G320),0))</f>
        <v>0.8</v>
      </c>
      <c r="Y320" s="21" t="n">
        <f aca="false">MAX(0,W320*(1-X320)-InitDed)</f>
        <v>1.73979283419693</v>
      </c>
      <c r="Z320" s="29" t="n">
        <f aca="false">SUMPRODUCT((Y320&gt;CLo)*(Y320-CLo)*CD)*(1+LocalTax)</f>
        <v>0.507893404694316</v>
      </c>
      <c r="AA320" s="21" t="n">
        <f aca="false">K320+T320+Z320</f>
        <v>2.83867492485878</v>
      </c>
      <c r="AB320" s="29" t="n">
        <f aca="false">IF(C320=5,0,(Q320-H320)-K320-L320-R320-S320-T320-Z320)</f>
        <v>10.3992841879698</v>
      </c>
      <c r="AC320" s="21" t="n">
        <f aca="false">IF(C320=5,0,N320*((1+DepRate*(1-DepTax))^G320-1))</f>
        <v>8.52808977074882</v>
      </c>
      <c r="AD320" s="29" t="n">
        <f aca="false">IF(C320=5,0,AB320-AC320+I320*(((1+DepRate*(1-DepTax))^G320-1)-((1+DepRate*(1-DepTax))^O320-1)))</f>
        <v>6.1295247372412</v>
      </c>
      <c r="AE320" s="30" t="n">
        <f aca="false">IF(J320&gt;0,-PMT(Rm,LoanYears*12,J320)*10000,0)</f>
        <v>0</v>
      </c>
      <c r="AF320" s="21" t="n">
        <f aca="false">IF(J320&gt;0,-PMT((Rate+Stress)/12,LoanYears*12,J320)*12/DSR,0)</f>
        <v>0</v>
      </c>
      <c r="AG320" s="20" t="n">
        <f aca="false">IF(N320&lt;=CapA,1,0)</f>
        <v>0</v>
      </c>
      <c r="AH320" s="20" t="n">
        <f aca="false">IF(N320&lt;=CapB,1,0)</f>
        <v>0</v>
      </c>
      <c r="AI320" s="20" t="n">
        <f aca="false">IF(N320&lt;=CapC,1,0)</f>
        <v>0</v>
      </c>
      <c r="AJ320" s="21" t="n">
        <f aca="false">IF(AG320=1,AD320,-999)</f>
        <v>-999</v>
      </c>
      <c r="AK320" s="21" t="n">
        <f aca="false">IF(AH320=1,AD320,-999)</f>
        <v>-999</v>
      </c>
      <c r="AL320" s="21" t="n">
        <f aca="false">IF(AI320=1,AD320,-999)</f>
        <v>-999</v>
      </c>
      <c r="AM320" s="21" t="str">
        <f aca="false">C320&amp;"|"&amp;E320&amp;"|"&amp;G320&amp;"|"&amp;TEXT(AJ320,"0.00000")</f>
        <v>3|2|10|-999.00000</v>
      </c>
      <c r="AN320" s="21" t="str">
        <f aca="false">C320&amp;"|"&amp;E320&amp;"|"&amp;G320&amp;"|"&amp;TEXT(AK320,"0.00000")</f>
        <v>3|2|10|-999.00000</v>
      </c>
      <c r="AO320" s="21" t="str">
        <f aca="false">C320&amp;"|"&amp;E320&amp;"|"&amp;G320&amp;"|"&amp;TEXT(AL320,"0.00000")</f>
        <v>3|2|10|-999.00000</v>
      </c>
    </row>
    <row r="321" customFormat="false" ht="15" hidden="false" customHeight="false" outlineLevel="0" collapsed="false">
      <c r="A321" s="20" t="n">
        <v>11</v>
      </c>
      <c r="B321" s="18" t="str">
        <f aca="false">INDEX(C_Name,A321)</f>
        <v>흑석 아크로리버하임 84.75㎡</v>
      </c>
      <c r="C321" s="20" t="n">
        <v>3</v>
      </c>
      <c r="D321" s="21" t="str">
        <f aca="false">CHOOSE(C321,"1안 표준형(대출 최대)","2안 절충형(대출 50%)","3안 무대출형","4안 임대차 승계 후 입주","5안 매수 보류(전세 거주)")</f>
        <v>3안 무대출형</v>
      </c>
      <c r="E321" s="20" t="n">
        <v>3</v>
      </c>
      <c r="F321" s="10" t="n">
        <f aca="false">CHOOSE(E321,GrowLo,GrowMid,GrowHi)</f>
        <v>0.06</v>
      </c>
      <c r="G321" s="20" t="n">
        <v>5</v>
      </c>
      <c r="H321" s="18" t="n">
        <f aca="false">INDEX(C_Price,A321)</f>
        <v>28.75</v>
      </c>
      <c r="I321" s="18" t="n">
        <f aca="false">INDEX(C_Jeonse,A321)</f>
        <v>14.95</v>
      </c>
      <c r="J321" s="21" t="n">
        <f aca="false">IF(C321=5,0,IF(C321=1,INDEX(C_Loan,A321),IF(C321=2,INDEX(C_Loan,A321)*LoanShare2,IF(C321=3,0,MIN(INDEX(C_Loan,A321),I321)))))</f>
        <v>0</v>
      </c>
      <c r="K321" s="18" t="n">
        <f aca="false">IF(C321=5,0,INDEX(C_Acq,A321))</f>
        <v>0.94875</v>
      </c>
      <c r="L321" s="18" t="n">
        <f aca="false">IF(C321=5,0,INDEX(C_Fee,A321))</f>
        <v>0.241375</v>
      </c>
      <c r="M321" s="21" t="n">
        <f aca="false">IF(C321=4,MAX(0,I321-J321),0)</f>
        <v>0</v>
      </c>
      <c r="N321" s="21" t="n">
        <f aca="false">IF(C321=5,I321,IF(C321=4,(H321-I321)+K321+L321+M321,H321-J321+K321+L321))</f>
        <v>29.940125</v>
      </c>
      <c r="O321" s="20" t="n">
        <f aca="false">IF(C321=4,RentYears,0)</f>
        <v>0</v>
      </c>
      <c r="P321" s="20" t="n">
        <f aca="false">IF(C321=5,0,MAX(0,G321-O321-NonRes))</f>
        <v>5</v>
      </c>
      <c r="Q321" s="21" t="n">
        <f aca="false">IF(C321=5,0,H321*(1+F321)^G321)</f>
        <v>38.473985356</v>
      </c>
      <c r="R321" s="21" t="n">
        <f aca="false">IF(C321=5,0,Q321*LOOKUP(Q321,FeeLo,FeeR)*(1+VAT))</f>
        <v>0.2962496872412</v>
      </c>
      <c r="S321" s="21" t="n">
        <f aca="false">IF(J321&gt;0,-CUMIPMT(Rm,LoanYears*12,J321,1,(G321-O321)*12,0),0)</f>
        <v>0</v>
      </c>
      <c r="T321" s="29" t="n">
        <f aca="false">IF(C321=5,0,SUMIFS(Sch_Total,Sch_Idx,A321,Sch_Scen,E321,Sch_Year,"&lt;="&amp;G321))</f>
        <v>0.61410914100648</v>
      </c>
      <c r="U321" s="21" t="n">
        <f aca="false">K321+L321+R321</f>
        <v>1.4863746872412</v>
      </c>
      <c r="V321" s="21" t="n">
        <f aca="false">IF(C321=5,0,Q321-H321-U321)</f>
        <v>8.23761066875881</v>
      </c>
      <c r="W321" s="21" t="n">
        <f aca="false">IF(C321=5,0,MAX(0,IF(P321&gt;=2,IF(Q321&gt;Exempt,V321*(Q321-Exempt)/Q321,0),V321)))</f>
        <v>5.66830761604842</v>
      </c>
      <c r="X321" s="10" t="n">
        <f aca="false">IF(P321&gt;=2,MIN(MaxDed,MIN(0.4,HoldRate*G321)+MIN(0.4,LiveRate*P321)),IF(G321&gt;=3,MIN(0.3,0.02*G321),0))</f>
        <v>0.4</v>
      </c>
      <c r="Y321" s="21" t="n">
        <f aca="false">MAX(0,W321*(1-X321)-InitDed)</f>
        <v>3.37598456962905</v>
      </c>
      <c r="Z321" s="29" t="n">
        <f aca="false">SUMPRODUCT((Y321&gt;CLo)*(Y321-CLo)*CD)*(1+LocalTax)</f>
        <v>1.20009321063678</v>
      </c>
      <c r="AA321" s="21" t="n">
        <f aca="false">K321+T321+Z321</f>
        <v>2.76295235164326</v>
      </c>
      <c r="AB321" s="29" t="n">
        <f aca="false">IF(C321=5,0,(Q321-H321)-K321-L321-R321-S321-T321-Z321)</f>
        <v>6.42340831711555</v>
      </c>
      <c r="AC321" s="21" t="n">
        <f aca="false">IF(C321=5,0,N321*((1+DepRate*(1-DepTax))^G321-1))</f>
        <v>3.99721665728167</v>
      </c>
      <c r="AD321" s="29" t="n">
        <f aca="false">IF(C321=5,0,AB321-AC321+I321*(((1+DepRate*(1-DepTax))^G321-1)-((1+DepRate*(1-DepTax))^O321-1)))</f>
        <v>4.42212150402661</v>
      </c>
      <c r="AE321" s="30" t="n">
        <f aca="false">IF(J321&gt;0,-PMT(Rm,LoanYears*12,J321)*10000,0)</f>
        <v>0</v>
      </c>
      <c r="AF321" s="21" t="n">
        <f aca="false">IF(J321&gt;0,-PMT((Rate+Stress)/12,LoanYears*12,J321)*12/DSR,0)</f>
        <v>0</v>
      </c>
      <c r="AG321" s="20" t="n">
        <f aca="false">IF(N321&lt;=CapA,1,0)</f>
        <v>0</v>
      </c>
      <c r="AH321" s="20" t="n">
        <f aca="false">IF(N321&lt;=CapB,1,0)</f>
        <v>0</v>
      </c>
      <c r="AI321" s="20" t="n">
        <f aca="false">IF(N321&lt;=CapC,1,0)</f>
        <v>0</v>
      </c>
      <c r="AJ321" s="21" t="n">
        <f aca="false">IF(AG321=1,AD321,-999)</f>
        <v>-999</v>
      </c>
      <c r="AK321" s="21" t="n">
        <f aca="false">IF(AH321=1,AD321,-999)</f>
        <v>-999</v>
      </c>
      <c r="AL321" s="21" t="n">
        <f aca="false">IF(AI321=1,AD321,-999)</f>
        <v>-999</v>
      </c>
      <c r="AM321" s="21" t="str">
        <f aca="false">C321&amp;"|"&amp;E321&amp;"|"&amp;G321&amp;"|"&amp;TEXT(AJ321,"0.00000")</f>
        <v>3|3|5|-999.00000</v>
      </c>
      <c r="AN321" s="21" t="str">
        <f aca="false">C321&amp;"|"&amp;E321&amp;"|"&amp;G321&amp;"|"&amp;TEXT(AK321,"0.00000")</f>
        <v>3|3|5|-999.00000</v>
      </c>
      <c r="AO321" s="21" t="str">
        <f aca="false">C321&amp;"|"&amp;E321&amp;"|"&amp;G321&amp;"|"&amp;TEXT(AL321,"0.00000")</f>
        <v>3|3|5|-999.00000</v>
      </c>
    </row>
    <row r="322" customFormat="false" ht="15" hidden="false" customHeight="false" outlineLevel="0" collapsed="false">
      <c r="A322" s="20" t="n">
        <v>11</v>
      </c>
      <c r="B322" s="18" t="str">
        <f aca="false">INDEX(C_Name,A322)</f>
        <v>흑석 아크로리버하임 84.75㎡</v>
      </c>
      <c r="C322" s="20" t="n">
        <v>3</v>
      </c>
      <c r="D322" s="21" t="str">
        <f aca="false">CHOOSE(C322,"1안 표준형(대출 최대)","2안 절충형(대출 50%)","3안 무대출형","4안 임대차 승계 후 입주","5안 매수 보류(전세 거주)")</f>
        <v>3안 무대출형</v>
      </c>
      <c r="E322" s="20" t="n">
        <v>3</v>
      </c>
      <c r="F322" s="10" t="n">
        <f aca="false">CHOOSE(E322,GrowLo,GrowMid,GrowHi)</f>
        <v>0.06</v>
      </c>
      <c r="G322" s="20" t="n">
        <v>10</v>
      </c>
      <c r="H322" s="18" t="n">
        <f aca="false">INDEX(C_Price,A322)</f>
        <v>28.75</v>
      </c>
      <c r="I322" s="18" t="n">
        <f aca="false">INDEX(C_Jeonse,A322)</f>
        <v>14.95</v>
      </c>
      <c r="J322" s="21" t="n">
        <f aca="false">IF(C322=5,0,IF(C322=1,INDEX(C_Loan,A322),IF(C322=2,INDEX(C_Loan,A322)*LoanShare2,IF(C322=3,0,MIN(INDEX(C_Loan,A322),I322)))))</f>
        <v>0</v>
      </c>
      <c r="K322" s="18" t="n">
        <f aca="false">IF(C322=5,0,INDEX(C_Acq,A322))</f>
        <v>0.94875</v>
      </c>
      <c r="L322" s="18" t="n">
        <f aca="false">IF(C322=5,0,INDEX(C_Fee,A322))</f>
        <v>0.241375</v>
      </c>
      <c r="M322" s="21" t="n">
        <f aca="false">IF(C322=4,MAX(0,I322-J322),0)</f>
        <v>0</v>
      </c>
      <c r="N322" s="21" t="n">
        <f aca="false">IF(C322=5,I322,IF(C322=4,(H322-I322)+K322+L322+M322,H322-J322+K322+L322))</f>
        <v>29.940125</v>
      </c>
      <c r="O322" s="20" t="n">
        <f aca="false">IF(C322=4,RentYears,0)</f>
        <v>0</v>
      </c>
      <c r="P322" s="20" t="n">
        <f aca="false">IF(C322=5,0,MAX(0,G322-O322-NonRes))</f>
        <v>10</v>
      </c>
      <c r="Q322" s="21" t="n">
        <f aca="false">IF(C322=5,0,H322*(1+F322)^G322)</f>
        <v>51.4868712756071</v>
      </c>
      <c r="R322" s="21" t="n">
        <f aca="false">IF(C322=5,0,Q322*LOOKUP(Q322,FeeLo,FeeR)*(1+VAT))</f>
        <v>0.396448908822175</v>
      </c>
      <c r="S322" s="21" t="n">
        <f aca="false">IF(J322&gt;0,-CUMIPMT(Rm,LoanYears*12,J322,1,(G322-O322)*12,0),0)</f>
        <v>0</v>
      </c>
      <c r="T322" s="29" t="n">
        <f aca="false">IF(C322=5,0,SUMIFS(Sch_Total,Sch_Idx,A322,Sch_Scen,E322,Sch_Year,"&lt;="&amp;G322))</f>
        <v>1.63773983870504</v>
      </c>
      <c r="U322" s="21" t="n">
        <f aca="false">K322+L322+R322</f>
        <v>1.58657390882217</v>
      </c>
      <c r="V322" s="21" t="n">
        <f aca="false">IF(C322=5,0,Q322-H322-U322)</f>
        <v>21.1502973667849</v>
      </c>
      <c r="W322" s="21" t="n">
        <f aca="false">IF(C322=5,0,MAX(0,IF(P322&gt;=2,IF(Q322&gt;Exempt,V322*(Q322-Exempt)/Q322,0),V322)))</f>
        <v>16.2208160812972</v>
      </c>
      <c r="X322" s="10" t="n">
        <f aca="false">IF(P322&gt;=2,MIN(MaxDed,MIN(0.4,HoldRate*G322)+MIN(0.4,LiveRate*P322)),IF(G322&gt;=3,MIN(0.3,0.02*G322),0))</f>
        <v>0.8</v>
      </c>
      <c r="Y322" s="21" t="n">
        <f aca="false">MAX(0,W322*(1-X322)-InitDed)</f>
        <v>3.21916321625944</v>
      </c>
      <c r="Z322" s="29" t="n">
        <f aca="false">SUMPRODUCT((Y322&gt;CLo)*(Y322-CLo)*CD)*(1+LocalTax)</f>
        <v>1.13109181515415</v>
      </c>
      <c r="AA322" s="21" t="n">
        <f aca="false">K322+T322+Z322</f>
        <v>3.71758165385919</v>
      </c>
      <c r="AB322" s="29" t="n">
        <f aca="false">IF(C322=5,0,(Q322-H322)-K322-L322-R322-S322-T322-Z322)</f>
        <v>18.3814657129257</v>
      </c>
      <c r="AC322" s="21" t="n">
        <f aca="false">IF(C322=5,0,N322*((1+DepRate*(1-DepTax))^G322-1))</f>
        <v>8.52808977074882</v>
      </c>
      <c r="AD322" s="29" t="n">
        <f aca="false">IF(C322=5,0,AB322-AC322+I322*(((1+DepRate*(1-DepTax))^G322-1)-((1+DepRate*(1-DepTax))^O322-1)))</f>
        <v>14.1117062621971</v>
      </c>
      <c r="AE322" s="30" t="n">
        <f aca="false">IF(J322&gt;0,-PMT(Rm,LoanYears*12,J322)*10000,0)</f>
        <v>0</v>
      </c>
      <c r="AF322" s="21" t="n">
        <f aca="false">IF(J322&gt;0,-PMT((Rate+Stress)/12,LoanYears*12,J322)*12/DSR,0)</f>
        <v>0</v>
      </c>
      <c r="AG322" s="20" t="n">
        <f aca="false">IF(N322&lt;=CapA,1,0)</f>
        <v>0</v>
      </c>
      <c r="AH322" s="20" t="n">
        <f aca="false">IF(N322&lt;=CapB,1,0)</f>
        <v>0</v>
      </c>
      <c r="AI322" s="20" t="n">
        <f aca="false">IF(N322&lt;=CapC,1,0)</f>
        <v>0</v>
      </c>
      <c r="AJ322" s="21" t="n">
        <f aca="false">IF(AG322=1,AD322,-999)</f>
        <v>-999</v>
      </c>
      <c r="AK322" s="21" t="n">
        <f aca="false">IF(AH322=1,AD322,-999)</f>
        <v>-999</v>
      </c>
      <c r="AL322" s="21" t="n">
        <f aca="false">IF(AI322=1,AD322,-999)</f>
        <v>-999</v>
      </c>
      <c r="AM322" s="21" t="str">
        <f aca="false">C322&amp;"|"&amp;E322&amp;"|"&amp;G322&amp;"|"&amp;TEXT(AJ322,"0.00000")</f>
        <v>3|3|10|-999.00000</v>
      </c>
      <c r="AN322" s="21" t="str">
        <f aca="false">C322&amp;"|"&amp;E322&amp;"|"&amp;G322&amp;"|"&amp;TEXT(AK322,"0.00000")</f>
        <v>3|3|10|-999.00000</v>
      </c>
      <c r="AO322" s="21" t="str">
        <f aca="false">C322&amp;"|"&amp;E322&amp;"|"&amp;G322&amp;"|"&amp;TEXT(AL322,"0.00000")</f>
        <v>3|3|10|-999.00000</v>
      </c>
    </row>
    <row r="323" customFormat="false" ht="15" hidden="false" customHeight="false" outlineLevel="0" collapsed="false">
      <c r="A323" s="20" t="n">
        <v>11</v>
      </c>
      <c r="B323" s="18" t="str">
        <f aca="false">INDEX(C_Name,A323)</f>
        <v>흑석 아크로리버하임 84.75㎡</v>
      </c>
      <c r="C323" s="20" t="n">
        <v>4</v>
      </c>
      <c r="D323" s="21" t="str">
        <f aca="false">CHOOSE(C323,"1안 표준형(대출 최대)","2안 절충형(대출 50%)","3안 무대출형","4안 임대차 승계 후 입주","5안 매수 보류(전세 거주)")</f>
        <v>4안 임대차 승계 후 입주</v>
      </c>
      <c r="E323" s="20" t="n">
        <v>1</v>
      </c>
      <c r="F323" s="10" t="n">
        <f aca="false">CHOOSE(E323,GrowLo,GrowMid,GrowHi)</f>
        <v>0.02</v>
      </c>
      <c r="G323" s="20" t="n">
        <v>5</v>
      </c>
      <c r="H323" s="18" t="n">
        <f aca="false">INDEX(C_Price,A323)</f>
        <v>28.75</v>
      </c>
      <c r="I323" s="18" t="n">
        <f aca="false">INDEX(C_Jeonse,A323)</f>
        <v>14.95</v>
      </c>
      <c r="J323" s="21" t="n">
        <f aca="false">IF(C323=5,0,IF(C323=1,INDEX(C_Loan,A323),IF(C323=2,INDEX(C_Loan,A323)*LoanShare2,IF(C323=3,0,MIN(INDEX(C_Loan,A323),I323)))))</f>
        <v>2</v>
      </c>
      <c r="K323" s="18" t="n">
        <f aca="false">IF(C323=5,0,INDEX(C_Acq,A323))</f>
        <v>0.94875</v>
      </c>
      <c r="L323" s="18" t="n">
        <f aca="false">IF(C323=5,0,INDEX(C_Fee,A323))</f>
        <v>0.241375</v>
      </c>
      <c r="M323" s="21" t="n">
        <f aca="false">IF(C323=4,MAX(0,I323-J323),0)</f>
        <v>12.95</v>
      </c>
      <c r="N323" s="21" t="n">
        <f aca="false">IF(C323=5,I323,IF(C323=4,(H323-I323)+K323+L323+M323,H323-J323+K323+L323))</f>
        <v>27.940125</v>
      </c>
      <c r="O323" s="20" t="n">
        <f aca="false">IF(C323=4,RentYears,0)</f>
        <v>2</v>
      </c>
      <c r="P323" s="20" t="n">
        <f aca="false">IF(C323=5,0,MAX(0,G323-O323-NonRes))</f>
        <v>3</v>
      </c>
      <c r="Q323" s="21" t="n">
        <f aca="false">IF(C323=5,0,H323*(1+F323)^G323)</f>
        <v>31.742323092</v>
      </c>
      <c r="R323" s="21" t="n">
        <f aca="false">IF(C323=5,0,Q323*LOOKUP(Q323,FeeLo,FeeR)*(1+VAT))</f>
        <v>0.2444158878084</v>
      </c>
      <c r="S323" s="21" t="n">
        <f aca="false">IF(J323&gt;0,-CUMIPMT(Rm,LoanYears*12,J323,1,(G323-O323)*12,0),0)</f>
        <v>0.233713524306484</v>
      </c>
      <c r="T323" s="29" t="n">
        <f aca="false">IF(C323=5,0,SUMIFS(Sch_Total,Sch_Idx,A323,Sch_Scen,E323,Sch_Year,"&lt;="&amp;G323))</f>
        <v>0.52813988486424</v>
      </c>
      <c r="U323" s="21" t="n">
        <f aca="false">K323+L323+R323</f>
        <v>1.4345408878084</v>
      </c>
      <c r="V323" s="21" t="n">
        <f aca="false">IF(C323=5,0,Q323-H323-U323)</f>
        <v>1.5577822041916</v>
      </c>
      <c r="W323" s="21" t="n">
        <f aca="false">IF(C323=5,0,MAX(0,IF(P323&gt;=2,IF(Q323&gt;Exempt,V323*(Q323-Exempt)/Q323,0),V323)))</f>
        <v>0.96887173295358</v>
      </c>
      <c r="X323" s="10" t="n">
        <f aca="false">IF(P323&gt;=2,MIN(MaxDed,MIN(0.4,HoldRate*G323)+MIN(0.4,LiveRate*P323)),IF(G323&gt;=3,MIN(0.3,0.02*G323),0))</f>
        <v>0.32</v>
      </c>
      <c r="Y323" s="21" t="n">
        <f aca="false">MAX(0,W323*(1-X323)-InitDed)</f>
        <v>0.633832778408434</v>
      </c>
      <c r="Z323" s="29" t="n">
        <f aca="false">SUMPRODUCT((Y323&gt;CLo)*(Y323-CLo)*CD)*(1+LocalTax)</f>
        <v>0.103971853499827</v>
      </c>
      <c r="AA323" s="21" t="n">
        <f aca="false">K323+T323+Z323</f>
        <v>1.58086173836407</v>
      </c>
      <c r="AB323" s="29" t="n">
        <f aca="false">IF(C323=5,0,(Q323-H323)-K323-L323-R323-S323-T323-Z323)</f>
        <v>0.691956941521049</v>
      </c>
      <c r="AC323" s="21" t="n">
        <f aca="false">IF(C323=5,0,N323*((1+DepRate*(1-DepTax))^G323-1))</f>
        <v>3.73020263130271</v>
      </c>
      <c r="AD323" s="29" t="n">
        <f aca="false">IF(C323=5,0,AB323-AC323+I323*(((1+DepRate*(1-DepTax))^G323-1)-((1+DepRate*(1-DepTax))^O323-1)))</f>
        <v>-1.81080780436893</v>
      </c>
      <c r="AE323" s="30" t="n">
        <f aca="false">IF(J323&gt;0,-PMT(Rm,LoanYears*12,J323)*10000,0)</f>
        <v>95.4830590930919</v>
      </c>
      <c r="AF323" s="21" t="n">
        <f aca="false">IF(J323&gt;0,-PMT((Rate+Stress)/12,LoanYears*12,J323)*12/DSR,0)</f>
        <v>0.39918149710751</v>
      </c>
      <c r="AG323" s="20" t="n">
        <f aca="false">IF(N323&lt;=CapA,1,0)</f>
        <v>0</v>
      </c>
      <c r="AH323" s="20" t="n">
        <f aca="false">IF(N323&lt;=CapB,1,0)</f>
        <v>0</v>
      </c>
      <c r="AI323" s="20" t="n">
        <f aca="false">IF(N323&lt;=CapC,1,0)</f>
        <v>0</v>
      </c>
      <c r="AJ323" s="21" t="n">
        <f aca="false">IF(AG323=1,AD323,-999)</f>
        <v>-999</v>
      </c>
      <c r="AK323" s="21" t="n">
        <f aca="false">IF(AH323=1,AD323,-999)</f>
        <v>-999</v>
      </c>
      <c r="AL323" s="21" t="n">
        <f aca="false">IF(AI323=1,AD323,-999)</f>
        <v>-999</v>
      </c>
      <c r="AM323" s="21" t="str">
        <f aca="false">C323&amp;"|"&amp;E323&amp;"|"&amp;G323&amp;"|"&amp;TEXT(AJ323,"0.00000")</f>
        <v>4|1|5|-999.00000</v>
      </c>
      <c r="AN323" s="21" t="str">
        <f aca="false">C323&amp;"|"&amp;E323&amp;"|"&amp;G323&amp;"|"&amp;TEXT(AK323,"0.00000")</f>
        <v>4|1|5|-999.00000</v>
      </c>
      <c r="AO323" s="21" t="str">
        <f aca="false">C323&amp;"|"&amp;E323&amp;"|"&amp;G323&amp;"|"&amp;TEXT(AL323,"0.00000")</f>
        <v>4|1|5|-999.00000</v>
      </c>
    </row>
    <row r="324" customFormat="false" ht="15" hidden="false" customHeight="false" outlineLevel="0" collapsed="false">
      <c r="A324" s="20" t="n">
        <v>11</v>
      </c>
      <c r="B324" s="18" t="str">
        <f aca="false">INDEX(C_Name,A324)</f>
        <v>흑석 아크로리버하임 84.75㎡</v>
      </c>
      <c r="C324" s="20" t="n">
        <v>4</v>
      </c>
      <c r="D324" s="21" t="str">
        <f aca="false">CHOOSE(C324,"1안 표준형(대출 최대)","2안 절충형(대출 50%)","3안 무대출형","4안 임대차 승계 후 입주","5안 매수 보류(전세 거주)")</f>
        <v>4안 임대차 승계 후 입주</v>
      </c>
      <c r="E324" s="20" t="n">
        <v>1</v>
      </c>
      <c r="F324" s="10" t="n">
        <f aca="false">CHOOSE(E324,GrowLo,GrowMid,GrowHi)</f>
        <v>0.02</v>
      </c>
      <c r="G324" s="20" t="n">
        <v>10</v>
      </c>
      <c r="H324" s="18" t="n">
        <f aca="false">INDEX(C_Price,A324)</f>
        <v>28.75</v>
      </c>
      <c r="I324" s="18" t="n">
        <f aca="false">INDEX(C_Jeonse,A324)</f>
        <v>14.95</v>
      </c>
      <c r="J324" s="21" t="n">
        <f aca="false">IF(C324=5,0,IF(C324=1,INDEX(C_Loan,A324),IF(C324=2,INDEX(C_Loan,A324)*LoanShare2,IF(C324=3,0,MIN(INDEX(C_Loan,A324),I324)))))</f>
        <v>2</v>
      </c>
      <c r="K324" s="18" t="n">
        <f aca="false">IF(C324=5,0,INDEX(C_Acq,A324))</f>
        <v>0.94875</v>
      </c>
      <c r="L324" s="18" t="n">
        <f aca="false">IF(C324=5,0,INDEX(C_Fee,A324))</f>
        <v>0.241375</v>
      </c>
      <c r="M324" s="21" t="n">
        <f aca="false">IF(C324=4,MAX(0,I324-J324),0)</f>
        <v>12.95</v>
      </c>
      <c r="N324" s="21" t="n">
        <f aca="false">IF(C324=5,I324,IF(C324=4,(H324-I324)+K324+L324+M324,H324-J324+K324+L324))</f>
        <v>27.940125</v>
      </c>
      <c r="O324" s="20" t="n">
        <f aca="false">IF(C324=4,RentYears,0)</f>
        <v>2</v>
      </c>
      <c r="P324" s="20" t="n">
        <f aca="false">IF(C324=5,0,MAX(0,G324-O324-NonRes))</f>
        <v>8</v>
      </c>
      <c r="Q324" s="21" t="n">
        <f aca="false">IF(C324=5,0,H324*(1+F324)^G324)</f>
        <v>35.0460895748493</v>
      </c>
      <c r="R324" s="21" t="n">
        <f aca="false">IF(C324=5,0,Q324*LOOKUP(Q324,FeeLo,FeeR)*(1+VAT))</f>
        <v>0.26985488972634</v>
      </c>
      <c r="S324" s="21" t="n">
        <f aca="false">IF(J324&gt;0,-CUMIPMT(Rm,LoanYears*12,J324,1,(G324-O324)*12,0),0)</f>
        <v>0.591246883397305</v>
      </c>
      <c r="T324" s="29" t="n">
        <f aca="false">IF(C324=5,0,SUMIFS(Sch_Total,Sch_Idx,A324,Sch_Scen,E324,Sch_Year,"&lt;="&amp;G324))</f>
        <v>1.15921211127656</v>
      </c>
      <c r="U324" s="21" t="n">
        <f aca="false">K324+L324+R324</f>
        <v>1.45997988972634</v>
      </c>
      <c r="V324" s="21" t="n">
        <f aca="false">IF(C324=5,0,Q324-H324-U324)</f>
        <v>4.83610968512294</v>
      </c>
      <c r="W324" s="21" t="n">
        <f aca="false">IF(C324=5,0,MAX(0,IF(P324&gt;=2,IF(Q324&gt;Exempt,V324*(Q324-Exempt)/Q324,0),V324)))</f>
        <v>3.18019551822191</v>
      </c>
      <c r="X324" s="10" t="n">
        <f aca="false">IF(P324&gt;=2,MIN(MaxDed,MIN(0.4,HoldRate*G324)+MIN(0.4,LiveRate*P324)),IF(G324&gt;=3,MIN(0.3,0.02*G324),0))</f>
        <v>0.72</v>
      </c>
      <c r="Y324" s="21" t="n">
        <f aca="false">MAX(0,W324*(1-X324)-InitDed)</f>
        <v>0.865454745102135</v>
      </c>
      <c r="Z324" s="29" t="n">
        <f aca="false">SUMPRODUCT((Y324&gt;CLo)*(Y324-CLo)*CD)*(1+LocalTax)</f>
        <v>0.165120052706964</v>
      </c>
      <c r="AA324" s="21" t="n">
        <f aca="false">K324+T324+Z324</f>
        <v>2.27308216398352</v>
      </c>
      <c r="AB324" s="29" t="n">
        <f aca="false">IF(C324=5,0,(Q324-H324)-K324-L324-R324-S324-T324-Z324)</f>
        <v>2.92053063774211</v>
      </c>
      <c r="AC324" s="21" t="n">
        <f aca="false">IF(C324=5,0,N324*((1+DepRate*(1-DepTax))^G324-1))</f>
        <v>7.95841347375615</v>
      </c>
      <c r="AD324" s="29" t="n">
        <f aca="false">IF(C324=5,0,AB324-AC324+I324*(((1+DepRate*(1-DepTax))^G324-1)-((1+DepRate*(1-DepTax))^O324-1)))</f>
        <v>-1.54804447477383</v>
      </c>
      <c r="AE324" s="30" t="n">
        <f aca="false">IF(J324&gt;0,-PMT(Rm,LoanYears*12,J324)*10000,0)</f>
        <v>95.4830590930919</v>
      </c>
      <c r="AF324" s="21" t="n">
        <f aca="false">IF(J324&gt;0,-PMT((Rate+Stress)/12,LoanYears*12,J324)*12/DSR,0)</f>
        <v>0.39918149710751</v>
      </c>
      <c r="AG324" s="20" t="n">
        <f aca="false">IF(N324&lt;=CapA,1,0)</f>
        <v>0</v>
      </c>
      <c r="AH324" s="20" t="n">
        <f aca="false">IF(N324&lt;=CapB,1,0)</f>
        <v>0</v>
      </c>
      <c r="AI324" s="20" t="n">
        <f aca="false">IF(N324&lt;=CapC,1,0)</f>
        <v>0</v>
      </c>
      <c r="AJ324" s="21" t="n">
        <f aca="false">IF(AG324=1,AD324,-999)</f>
        <v>-999</v>
      </c>
      <c r="AK324" s="21" t="n">
        <f aca="false">IF(AH324=1,AD324,-999)</f>
        <v>-999</v>
      </c>
      <c r="AL324" s="21" t="n">
        <f aca="false">IF(AI324=1,AD324,-999)</f>
        <v>-999</v>
      </c>
      <c r="AM324" s="21" t="str">
        <f aca="false">C324&amp;"|"&amp;E324&amp;"|"&amp;G324&amp;"|"&amp;TEXT(AJ324,"0.00000")</f>
        <v>4|1|10|-999.00000</v>
      </c>
      <c r="AN324" s="21" t="str">
        <f aca="false">C324&amp;"|"&amp;E324&amp;"|"&amp;G324&amp;"|"&amp;TEXT(AK324,"0.00000")</f>
        <v>4|1|10|-999.00000</v>
      </c>
      <c r="AO324" s="21" t="str">
        <f aca="false">C324&amp;"|"&amp;E324&amp;"|"&amp;G324&amp;"|"&amp;TEXT(AL324,"0.00000")</f>
        <v>4|1|10|-999.00000</v>
      </c>
    </row>
    <row r="325" customFormat="false" ht="15" hidden="false" customHeight="false" outlineLevel="0" collapsed="false">
      <c r="A325" s="20" t="n">
        <v>11</v>
      </c>
      <c r="B325" s="18" t="str">
        <f aca="false">INDEX(C_Name,A325)</f>
        <v>흑석 아크로리버하임 84.75㎡</v>
      </c>
      <c r="C325" s="20" t="n">
        <v>4</v>
      </c>
      <c r="D325" s="21" t="str">
        <f aca="false">CHOOSE(C325,"1안 표준형(대출 최대)","2안 절충형(대출 50%)","3안 무대출형","4안 임대차 승계 후 입주","5안 매수 보류(전세 거주)")</f>
        <v>4안 임대차 승계 후 입주</v>
      </c>
      <c r="E325" s="20" t="n">
        <v>2</v>
      </c>
      <c r="F325" s="10" t="n">
        <f aca="false">CHOOSE(E325,GrowLo,GrowMid,GrowHi)</f>
        <v>0.04</v>
      </c>
      <c r="G325" s="20" t="n">
        <v>5</v>
      </c>
      <c r="H325" s="18" t="n">
        <f aca="false">INDEX(C_Price,A325)</f>
        <v>28.75</v>
      </c>
      <c r="I325" s="18" t="n">
        <f aca="false">INDEX(C_Jeonse,A325)</f>
        <v>14.95</v>
      </c>
      <c r="J325" s="21" t="n">
        <f aca="false">IF(C325=5,0,IF(C325=1,INDEX(C_Loan,A325),IF(C325=2,INDEX(C_Loan,A325)*LoanShare2,IF(C325=3,0,MIN(INDEX(C_Loan,A325),I325)))))</f>
        <v>2</v>
      </c>
      <c r="K325" s="18" t="n">
        <f aca="false">IF(C325=5,0,INDEX(C_Acq,A325))</f>
        <v>0.94875</v>
      </c>
      <c r="L325" s="18" t="n">
        <f aca="false">IF(C325=5,0,INDEX(C_Fee,A325))</f>
        <v>0.241375</v>
      </c>
      <c r="M325" s="21" t="n">
        <f aca="false">IF(C325=4,MAX(0,I325-J325),0)</f>
        <v>12.95</v>
      </c>
      <c r="N325" s="21" t="n">
        <f aca="false">IF(C325=5,I325,IF(C325=4,(H325-I325)+K325+L325+M325,H325-J325+K325+L325))</f>
        <v>27.940125</v>
      </c>
      <c r="O325" s="20" t="n">
        <f aca="false">IF(C325=4,RentYears,0)</f>
        <v>2</v>
      </c>
      <c r="P325" s="20" t="n">
        <f aca="false">IF(C325=5,0,MAX(0,G325-O325-NonRes))</f>
        <v>3</v>
      </c>
      <c r="Q325" s="21" t="n">
        <f aca="false">IF(C325=5,0,H325*(1+F325)^G325)</f>
        <v>34.978770944</v>
      </c>
      <c r="R325" s="21" t="n">
        <f aca="false">IF(C325=5,0,Q325*LOOKUP(Q325,FeeLo,FeeR)*(1+VAT))</f>
        <v>0.2693365362688</v>
      </c>
      <c r="S325" s="21" t="n">
        <f aca="false">IF(J325&gt;0,-CUMIPMT(Rm,LoanYears*12,J325,1,(G325-O325)*12,0),0)</f>
        <v>0.233713524306484</v>
      </c>
      <c r="T325" s="29" t="n">
        <f aca="false">IF(C325=5,0,SUMIFS(Sch_Total,Sch_Idx,A325,Sch_Scen,E325,Sch_Year,"&lt;="&amp;G325))</f>
        <v>0.56831614432128</v>
      </c>
      <c r="U325" s="21" t="n">
        <f aca="false">K325+L325+R325</f>
        <v>1.4594615362688</v>
      </c>
      <c r="V325" s="21" t="n">
        <f aca="false">IF(C325=5,0,Q325-H325-U325)</f>
        <v>4.7693094077312</v>
      </c>
      <c r="W325" s="21" t="n">
        <f aca="false">IF(C325=5,0,MAX(0,IF(P325&gt;=2,IF(Q325&gt;Exempt,V325*(Q325-Exempt)/Q325,0),V325)))</f>
        <v>3.13312519232807</v>
      </c>
      <c r="X325" s="10" t="n">
        <f aca="false">IF(P325&gt;=2,MIN(MaxDed,MIN(0.4,HoldRate*G325)+MIN(0.4,LiveRate*P325)),IF(G325&gt;=3,MIN(0.3,0.02*G325),0))</f>
        <v>0.32</v>
      </c>
      <c r="Y325" s="21" t="n">
        <f aca="false">MAX(0,W325*(1-X325)-InitDed)</f>
        <v>2.10552513078309</v>
      </c>
      <c r="Z325" s="29" t="n">
        <f aca="false">SUMPRODUCT((Y325&gt;CLo)*(Y325-CLo)*CD)*(1+LocalTax)</f>
        <v>0.660769504667332</v>
      </c>
      <c r="AA325" s="21" t="n">
        <f aca="false">K325+T325+Z325</f>
        <v>2.17783564898861</v>
      </c>
      <c r="AB325" s="29" t="n">
        <f aca="false">IF(C325=5,0,(Q325-H325)-K325-L325-R325-S325-T325-Z325)</f>
        <v>3.30651023443611</v>
      </c>
      <c r="AC325" s="21" t="n">
        <f aca="false">IF(C325=5,0,N325*((1+DepRate*(1-DepTax))^G325-1))</f>
        <v>3.73020263130271</v>
      </c>
      <c r="AD325" s="29" t="n">
        <f aca="false">IF(C325=5,0,AB325-AC325+I325*(((1+DepRate*(1-DepTax))^G325-1)-((1+DepRate*(1-DepTax))^O325-1)))</f>
        <v>0.803745488546132</v>
      </c>
      <c r="AE325" s="30" t="n">
        <f aca="false">IF(J325&gt;0,-PMT(Rm,LoanYears*12,J325)*10000,0)</f>
        <v>95.4830590930919</v>
      </c>
      <c r="AF325" s="21" t="n">
        <f aca="false">IF(J325&gt;0,-PMT((Rate+Stress)/12,LoanYears*12,J325)*12/DSR,0)</f>
        <v>0.39918149710751</v>
      </c>
      <c r="AG325" s="20" t="n">
        <f aca="false">IF(N325&lt;=CapA,1,0)</f>
        <v>0</v>
      </c>
      <c r="AH325" s="20" t="n">
        <f aca="false">IF(N325&lt;=CapB,1,0)</f>
        <v>0</v>
      </c>
      <c r="AI325" s="20" t="n">
        <f aca="false">IF(N325&lt;=CapC,1,0)</f>
        <v>0</v>
      </c>
      <c r="AJ325" s="21" t="n">
        <f aca="false">IF(AG325=1,AD325,-999)</f>
        <v>-999</v>
      </c>
      <c r="AK325" s="21" t="n">
        <f aca="false">IF(AH325=1,AD325,-999)</f>
        <v>-999</v>
      </c>
      <c r="AL325" s="21" t="n">
        <f aca="false">IF(AI325=1,AD325,-999)</f>
        <v>-999</v>
      </c>
      <c r="AM325" s="21" t="str">
        <f aca="false">C325&amp;"|"&amp;E325&amp;"|"&amp;G325&amp;"|"&amp;TEXT(AJ325,"0.00000")</f>
        <v>4|2|5|-999.00000</v>
      </c>
      <c r="AN325" s="21" t="str">
        <f aca="false">C325&amp;"|"&amp;E325&amp;"|"&amp;G325&amp;"|"&amp;TEXT(AK325,"0.00000")</f>
        <v>4|2|5|-999.00000</v>
      </c>
      <c r="AO325" s="21" t="str">
        <f aca="false">C325&amp;"|"&amp;E325&amp;"|"&amp;G325&amp;"|"&amp;TEXT(AL325,"0.00000")</f>
        <v>4|2|5|-999.00000</v>
      </c>
    </row>
    <row r="326" customFormat="false" ht="15" hidden="false" customHeight="false" outlineLevel="0" collapsed="false">
      <c r="A326" s="20" t="n">
        <v>11</v>
      </c>
      <c r="B326" s="18" t="str">
        <f aca="false">INDEX(C_Name,A326)</f>
        <v>흑석 아크로리버하임 84.75㎡</v>
      </c>
      <c r="C326" s="20" t="n">
        <v>4</v>
      </c>
      <c r="D326" s="21" t="str">
        <f aca="false">CHOOSE(C326,"1안 표준형(대출 최대)","2안 절충형(대출 50%)","3안 무대출형","4안 임대차 승계 후 입주","5안 매수 보류(전세 거주)")</f>
        <v>4안 임대차 승계 후 입주</v>
      </c>
      <c r="E326" s="20" t="n">
        <v>2</v>
      </c>
      <c r="F326" s="10" t="n">
        <f aca="false">CHOOSE(E326,GrowLo,GrowMid,GrowHi)</f>
        <v>0.04</v>
      </c>
      <c r="G326" s="20" t="n">
        <v>10</v>
      </c>
      <c r="H326" s="18" t="n">
        <f aca="false">INDEX(C_Price,A326)</f>
        <v>28.75</v>
      </c>
      <c r="I326" s="18" t="n">
        <f aca="false">INDEX(C_Jeonse,A326)</f>
        <v>14.95</v>
      </c>
      <c r="J326" s="21" t="n">
        <f aca="false">IF(C326=5,0,IF(C326=1,INDEX(C_Loan,A326),IF(C326=2,INDEX(C_Loan,A326)*LoanShare2,IF(C326=3,0,MIN(INDEX(C_Loan,A326),I326)))))</f>
        <v>2</v>
      </c>
      <c r="K326" s="18" t="n">
        <f aca="false">IF(C326=5,0,INDEX(C_Acq,A326))</f>
        <v>0.94875</v>
      </c>
      <c r="L326" s="18" t="n">
        <f aca="false">IF(C326=5,0,INDEX(C_Fee,A326))</f>
        <v>0.241375</v>
      </c>
      <c r="M326" s="21" t="n">
        <f aca="false">IF(C326=4,MAX(0,I326-J326),0)</f>
        <v>12.95</v>
      </c>
      <c r="N326" s="21" t="n">
        <f aca="false">IF(C326=5,I326,IF(C326=4,(H326-I326)+K326+L326+M326,H326-J326+K326+L326))</f>
        <v>27.940125</v>
      </c>
      <c r="O326" s="20" t="n">
        <f aca="false">IF(C326=4,RentYears,0)</f>
        <v>2</v>
      </c>
      <c r="P326" s="20" t="n">
        <f aca="false">IF(C326=5,0,MAX(0,G326-O326-NonRes))</f>
        <v>8</v>
      </c>
      <c r="Q326" s="21" t="n">
        <f aca="false">IF(C326=5,0,H326*(1+F326)^G326)</f>
        <v>42.5570231914024</v>
      </c>
      <c r="R326" s="21" t="n">
        <f aca="false">IF(C326=5,0,Q326*LOOKUP(Q326,FeeLo,FeeR)*(1+VAT))</f>
        <v>0.327689078573799</v>
      </c>
      <c r="S326" s="21" t="n">
        <f aca="false">IF(J326&gt;0,-CUMIPMT(Rm,LoanYears*12,J326,1,(G326-O326)*12,0),0)</f>
        <v>0.591246883397305</v>
      </c>
      <c r="T326" s="29" t="n">
        <f aca="false">IF(C326=5,0,SUMIFS(Sch_Total,Sch_Idx,A326,Sch_Scen,E326,Sch_Year,"&lt;="&amp;G326))</f>
        <v>1.38203152016447</v>
      </c>
      <c r="U326" s="21" t="n">
        <f aca="false">K326+L326+R326</f>
        <v>1.5178140785738</v>
      </c>
      <c r="V326" s="21" t="n">
        <f aca="false">IF(C326=5,0,Q326-H326-U326)</f>
        <v>12.2892091128286</v>
      </c>
      <c r="W326" s="21" t="n">
        <f aca="false">IF(C326=5,0,MAX(0,IF(P326&gt;=2,IF(Q326&gt;Exempt,V326*(Q326-Exempt)/Q326,0),V326)))</f>
        <v>8.82396417098464</v>
      </c>
      <c r="X326" s="10" t="n">
        <f aca="false">IF(P326&gt;=2,MIN(MaxDed,MIN(0.4,HoldRate*G326)+MIN(0.4,LiveRate*P326)),IF(G326&gt;=3,MIN(0.3,0.02*G326),0))</f>
        <v>0.72</v>
      </c>
      <c r="Y326" s="21" t="n">
        <f aca="false">MAX(0,W326*(1-X326)-InitDed)</f>
        <v>2.4457099678757</v>
      </c>
      <c r="Z326" s="29" t="n">
        <f aca="false">SUMPRODUCT((Y326&gt;CLo)*(Y326-CLo)*CD)*(1+LocalTax)</f>
        <v>0.802966766572043</v>
      </c>
      <c r="AA326" s="21" t="n">
        <f aca="false">K326+T326+Z326</f>
        <v>3.13374828673651</v>
      </c>
      <c r="AB326" s="29" t="n">
        <f aca="false">IF(C326=5,0,(Q326-H326)-K326-L326-R326-S326-T326-Z326)</f>
        <v>9.51296394269479</v>
      </c>
      <c r="AC326" s="21" t="n">
        <f aca="false">IF(C326=5,0,N326*((1+DepRate*(1-DepTax))^G326-1))</f>
        <v>7.95841347375615</v>
      </c>
      <c r="AD326" s="29" t="n">
        <f aca="false">IF(C326=5,0,AB326-AC326+I326*(((1+DepRate*(1-DepTax))^G326-1)-((1+DepRate*(1-DepTax))^O326-1)))</f>
        <v>5.04438883017884</v>
      </c>
      <c r="AE326" s="30" t="n">
        <f aca="false">IF(J326&gt;0,-PMT(Rm,LoanYears*12,J326)*10000,0)</f>
        <v>95.4830590930919</v>
      </c>
      <c r="AF326" s="21" t="n">
        <f aca="false">IF(J326&gt;0,-PMT((Rate+Stress)/12,LoanYears*12,J326)*12/DSR,0)</f>
        <v>0.39918149710751</v>
      </c>
      <c r="AG326" s="20" t="n">
        <f aca="false">IF(N326&lt;=CapA,1,0)</f>
        <v>0</v>
      </c>
      <c r="AH326" s="20" t="n">
        <f aca="false">IF(N326&lt;=CapB,1,0)</f>
        <v>0</v>
      </c>
      <c r="AI326" s="20" t="n">
        <f aca="false">IF(N326&lt;=CapC,1,0)</f>
        <v>0</v>
      </c>
      <c r="AJ326" s="21" t="n">
        <f aca="false">IF(AG326=1,AD326,-999)</f>
        <v>-999</v>
      </c>
      <c r="AK326" s="21" t="n">
        <f aca="false">IF(AH326=1,AD326,-999)</f>
        <v>-999</v>
      </c>
      <c r="AL326" s="21" t="n">
        <f aca="false">IF(AI326=1,AD326,-999)</f>
        <v>-999</v>
      </c>
      <c r="AM326" s="21" t="str">
        <f aca="false">C326&amp;"|"&amp;E326&amp;"|"&amp;G326&amp;"|"&amp;TEXT(AJ326,"0.00000")</f>
        <v>4|2|10|-999.00000</v>
      </c>
      <c r="AN326" s="21" t="str">
        <f aca="false">C326&amp;"|"&amp;E326&amp;"|"&amp;G326&amp;"|"&amp;TEXT(AK326,"0.00000")</f>
        <v>4|2|10|-999.00000</v>
      </c>
      <c r="AO326" s="21" t="str">
        <f aca="false">C326&amp;"|"&amp;E326&amp;"|"&amp;G326&amp;"|"&amp;TEXT(AL326,"0.00000")</f>
        <v>4|2|10|-999.00000</v>
      </c>
    </row>
    <row r="327" customFormat="false" ht="15" hidden="false" customHeight="false" outlineLevel="0" collapsed="false">
      <c r="A327" s="20" t="n">
        <v>11</v>
      </c>
      <c r="B327" s="18" t="str">
        <f aca="false">INDEX(C_Name,A327)</f>
        <v>흑석 아크로리버하임 84.75㎡</v>
      </c>
      <c r="C327" s="20" t="n">
        <v>4</v>
      </c>
      <c r="D327" s="21" t="str">
        <f aca="false">CHOOSE(C327,"1안 표준형(대출 최대)","2안 절충형(대출 50%)","3안 무대출형","4안 임대차 승계 후 입주","5안 매수 보류(전세 거주)")</f>
        <v>4안 임대차 승계 후 입주</v>
      </c>
      <c r="E327" s="20" t="n">
        <v>3</v>
      </c>
      <c r="F327" s="10" t="n">
        <f aca="false">CHOOSE(E327,GrowLo,GrowMid,GrowHi)</f>
        <v>0.06</v>
      </c>
      <c r="G327" s="20" t="n">
        <v>5</v>
      </c>
      <c r="H327" s="18" t="n">
        <f aca="false">INDEX(C_Price,A327)</f>
        <v>28.75</v>
      </c>
      <c r="I327" s="18" t="n">
        <f aca="false">INDEX(C_Jeonse,A327)</f>
        <v>14.95</v>
      </c>
      <c r="J327" s="21" t="n">
        <f aca="false">IF(C327=5,0,IF(C327=1,INDEX(C_Loan,A327),IF(C327=2,INDEX(C_Loan,A327)*LoanShare2,IF(C327=3,0,MIN(INDEX(C_Loan,A327),I327)))))</f>
        <v>2</v>
      </c>
      <c r="K327" s="18" t="n">
        <f aca="false">IF(C327=5,0,INDEX(C_Acq,A327))</f>
        <v>0.94875</v>
      </c>
      <c r="L327" s="18" t="n">
        <f aca="false">IF(C327=5,0,INDEX(C_Fee,A327))</f>
        <v>0.241375</v>
      </c>
      <c r="M327" s="21" t="n">
        <f aca="false">IF(C327=4,MAX(0,I327-J327),0)</f>
        <v>12.95</v>
      </c>
      <c r="N327" s="21" t="n">
        <f aca="false">IF(C327=5,I327,IF(C327=4,(H327-I327)+K327+L327+M327,H327-J327+K327+L327))</f>
        <v>27.940125</v>
      </c>
      <c r="O327" s="20" t="n">
        <f aca="false">IF(C327=4,RentYears,0)</f>
        <v>2</v>
      </c>
      <c r="P327" s="20" t="n">
        <f aca="false">IF(C327=5,0,MAX(0,G327-O327-NonRes))</f>
        <v>3</v>
      </c>
      <c r="Q327" s="21" t="n">
        <f aca="false">IF(C327=5,0,H327*(1+F327)^G327)</f>
        <v>38.473985356</v>
      </c>
      <c r="R327" s="21" t="n">
        <f aca="false">IF(C327=5,0,Q327*LOOKUP(Q327,FeeLo,FeeR)*(1+VAT))</f>
        <v>0.2962496872412</v>
      </c>
      <c r="S327" s="21" t="n">
        <f aca="false">IF(J327&gt;0,-CUMIPMT(Rm,LoanYears*12,J327,1,(G327-O327)*12,0),0)</f>
        <v>0.233713524306484</v>
      </c>
      <c r="T327" s="29" t="n">
        <f aca="false">IF(C327=5,0,SUMIFS(Sch_Total,Sch_Idx,A327,Sch_Scen,E327,Sch_Year,"&lt;="&amp;G327))</f>
        <v>0.61410914100648</v>
      </c>
      <c r="U327" s="21" t="n">
        <f aca="false">K327+L327+R327</f>
        <v>1.4863746872412</v>
      </c>
      <c r="V327" s="21" t="n">
        <f aca="false">IF(C327=5,0,Q327-H327-U327)</f>
        <v>8.23761066875881</v>
      </c>
      <c r="W327" s="21" t="n">
        <f aca="false">IF(C327=5,0,MAX(0,IF(P327&gt;=2,IF(Q327&gt;Exempt,V327*(Q327-Exempt)/Q327,0),V327)))</f>
        <v>5.66830761604842</v>
      </c>
      <c r="X327" s="10" t="n">
        <f aca="false">IF(P327&gt;=2,MIN(MaxDed,MIN(0.4,HoldRate*G327)+MIN(0.4,LiveRate*P327)),IF(G327&gt;=3,MIN(0.3,0.02*G327),0))</f>
        <v>0.32</v>
      </c>
      <c r="Y327" s="21" t="n">
        <f aca="false">MAX(0,W327*(1-X327)-InitDed)</f>
        <v>3.82944917891292</v>
      </c>
      <c r="Z327" s="29" t="n">
        <f aca="false">SUMPRODUCT((Y327&gt;CLo)*(Y327-CLo)*CD)*(1+LocalTax)</f>
        <v>1.39961763872169</v>
      </c>
      <c r="AA327" s="21" t="n">
        <f aca="false">K327+T327+Z327</f>
        <v>2.96247677972817</v>
      </c>
      <c r="AB327" s="29" t="n">
        <f aca="false">IF(C327=5,0,(Q327-H327)-K327-L327-R327-S327-T327-Z327)</f>
        <v>5.99017036472416</v>
      </c>
      <c r="AC327" s="21" t="n">
        <f aca="false">IF(C327=5,0,N327*((1+DepRate*(1-DepTax))^G327-1))</f>
        <v>3.73020263130271</v>
      </c>
      <c r="AD327" s="29" t="n">
        <f aca="false">IF(C327=5,0,AB327-AC327+I327*(((1+DepRate*(1-DepTax))^G327-1)-((1+DepRate*(1-DepTax))^O327-1)))</f>
        <v>3.48740561883418</v>
      </c>
      <c r="AE327" s="30" t="n">
        <f aca="false">IF(J327&gt;0,-PMT(Rm,LoanYears*12,J327)*10000,0)</f>
        <v>95.4830590930919</v>
      </c>
      <c r="AF327" s="21" t="n">
        <f aca="false">IF(J327&gt;0,-PMT((Rate+Stress)/12,LoanYears*12,J327)*12/DSR,0)</f>
        <v>0.39918149710751</v>
      </c>
      <c r="AG327" s="20" t="n">
        <f aca="false">IF(N327&lt;=CapA,1,0)</f>
        <v>0</v>
      </c>
      <c r="AH327" s="20" t="n">
        <f aca="false">IF(N327&lt;=CapB,1,0)</f>
        <v>0</v>
      </c>
      <c r="AI327" s="20" t="n">
        <f aca="false">IF(N327&lt;=CapC,1,0)</f>
        <v>0</v>
      </c>
      <c r="AJ327" s="21" t="n">
        <f aca="false">IF(AG327=1,AD327,-999)</f>
        <v>-999</v>
      </c>
      <c r="AK327" s="21" t="n">
        <f aca="false">IF(AH327=1,AD327,-999)</f>
        <v>-999</v>
      </c>
      <c r="AL327" s="21" t="n">
        <f aca="false">IF(AI327=1,AD327,-999)</f>
        <v>-999</v>
      </c>
      <c r="AM327" s="21" t="str">
        <f aca="false">C327&amp;"|"&amp;E327&amp;"|"&amp;G327&amp;"|"&amp;TEXT(AJ327,"0.00000")</f>
        <v>4|3|5|-999.00000</v>
      </c>
      <c r="AN327" s="21" t="str">
        <f aca="false">C327&amp;"|"&amp;E327&amp;"|"&amp;G327&amp;"|"&amp;TEXT(AK327,"0.00000")</f>
        <v>4|3|5|-999.00000</v>
      </c>
      <c r="AO327" s="21" t="str">
        <f aca="false">C327&amp;"|"&amp;E327&amp;"|"&amp;G327&amp;"|"&amp;TEXT(AL327,"0.00000")</f>
        <v>4|3|5|-999.00000</v>
      </c>
    </row>
    <row r="328" customFormat="false" ht="15" hidden="false" customHeight="false" outlineLevel="0" collapsed="false">
      <c r="A328" s="20" t="n">
        <v>11</v>
      </c>
      <c r="B328" s="18" t="str">
        <f aca="false">INDEX(C_Name,A328)</f>
        <v>흑석 아크로리버하임 84.75㎡</v>
      </c>
      <c r="C328" s="20" t="n">
        <v>4</v>
      </c>
      <c r="D328" s="21" t="str">
        <f aca="false">CHOOSE(C328,"1안 표준형(대출 최대)","2안 절충형(대출 50%)","3안 무대출형","4안 임대차 승계 후 입주","5안 매수 보류(전세 거주)")</f>
        <v>4안 임대차 승계 후 입주</v>
      </c>
      <c r="E328" s="20" t="n">
        <v>3</v>
      </c>
      <c r="F328" s="10" t="n">
        <f aca="false">CHOOSE(E328,GrowLo,GrowMid,GrowHi)</f>
        <v>0.06</v>
      </c>
      <c r="G328" s="20" t="n">
        <v>10</v>
      </c>
      <c r="H328" s="18" t="n">
        <f aca="false">INDEX(C_Price,A328)</f>
        <v>28.75</v>
      </c>
      <c r="I328" s="18" t="n">
        <f aca="false">INDEX(C_Jeonse,A328)</f>
        <v>14.95</v>
      </c>
      <c r="J328" s="21" t="n">
        <f aca="false">IF(C328=5,0,IF(C328=1,INDEX(C_Loan,A328),IF(C328=2,INDEX(C_Loan,A328)*LoanShare2,IF(C328=3,0,MIN(INDEX(C_Loan,A328),I328)))))</f>
        <v>2</v>
      </c>
      <c r="K328" s="18" t="n">
        <f aca="false">IF(C328=5,0,INDEX(C_Acq,A328))</f>
        <v>0.94875</v>
      </c>
      <c r="L328" s="18" t="n">
        <f aca="false">IF(C328=5,0,INDEX(C_Fee,A328))</f>
        <v>0.241375</v>
      </c>
      <c r="M328" s="21" t="n">
        <f aca="false">IF(C328=4,MAX(0,I328-J328),0)</f>
        <v>12.95</v>
      </c>
      <c r="N328" s="21" t="n">
        <f aca="false">IF(C328=5,I328,IF(C328=4,(H328-I328)+K328+L328+M328,H328-J328+K328+L328))</f>
        <v>27.940125</v>
      </c>
      <c r="O328" s="20" t="n">
        <f aca="false">IF(C328=4,RentYears,0)</f>
        <v>2</v>
      </c>
      <c r="P328" s="20" t="n">
        <f aca="false">IF(C328=5,0,MAX(0,G328-O328-NonRes))</f>
        <v>8</v>
      </c>
      <c r="Q328" s="21" t="n">
        <f aca="false">IF(C328=5,0,H328*(1+F328)^G328)</f>
        <v>51.4868712756071</v>
      </c>
      <c r="R328" s="21" t="n">
        <f aca="false">IF(C328=5,0,Q328*LOOKUP(Q328,FeeLo,FeeR)*(1+VAT))</f>
        <v>0.396448908822175</v>
      </c>
      <c r="S328" s="21" t="n">
        <f aca="false">IF(J328&gt;0,-CUMIPMT(Rm,LoanYears*12,J328,1,(G328-O328)*12,0),0)</f>
        <v>0.591246883397305</v>
      </c>
      <c r="T328" s="29" t="n">
        <f aca="false">IF(C328=5,0,SUMIFS(Sch_Total,Sch_Idx,A328,Sch_Scen,E328,Sch_Year,"&lt;="&amp;G328))</f>
        <v>1.63773983870504</v>
      </c>
      <c r="U328" s="21" t="n">
        <f aca="false">K328+L328+R328</f>
        <v>1.58657390882217</v>
      </c>
      <c r="V328" s="21" t="n">
        <f aca="false">IF(C328=5,0,Q328-H328-U328)</f>
        <v>21.1502973667849</v>
      </c>
      <c r="W328" s="21" t="n">
        <f aca="false">IF(C328=5,0,MAX(0,IF(P328&gt;=2,IF(Q328&gt;Exempt,V328*(Q328-Exempt)/Q328,0),V328)))</f>
        <v>16.2208160812972</v>
      </c>
      <c r="X328" s="10" t="n">
        <f aca="false">IF(P328&gt;=2,MIN(MaxDed,MIN(0.4,HoldRate*G328)+MIN(0.4,LiveRate*P328)),IF(G328&gt;=3,MIN(0.3,0.02*G328),0))</f>
        <v>0.72</v>
      </c>
      <c r="Y328" s="21" t="n">
        <f aca="false">MAX(0,W328*(1-X328)-InitDed)</f>
        <v>4.51682850276322</v>
      </c>
      <c r="Z328" s="29" t="n">
        <f aca="false">SUMPRODUCT((Y328&gt;CLo)*(Y328-CLo)*CD)*(1+LocalTax)</f>
        <v>1.70206454121582</v>
      </c>
      <c r="AA328" s="21" t="n">
        <f aca="false">K328+T328+Z328</f>
        <v>4.28855437992086</v>
      </c>
      <c r="AB328" s="29" t="n">
        <f aca="false">IF(C328=5,0,(Q328-H328)-K328-L328-R328-S328-T328-Z328)</f>
        <v>17.2192461034667</v>
      </c>
      <c r="AC328" s="21" t="n">
        <f aca="false">IF(C328=5,0,N328*((1+DepRate*(1-DepTax))^G328-1))</f>
        <v>7.95841347375615</v>
      </c>
      <c r="AD328" s="29" t="n">
        <f aca="false">IF(C328=5,0,AB328-AC328+I328*(((1+DepRate*(1-DepTax))^G328-1)-((1+DepRate*(1-DepTax))^O328-1)))</f>
        <v>12.7506709909508</v>
      </c>
      <c r="AE328" s="30" t="n">
        <f aca="false">IF(J328&gt;0,-PMT(Rm,LoanYears*12,J328)*10000,0)</f>
        <v>95.4830590930919</v>
      </c>
      <c r="AF328" s="21" t="n">
        <f aca="false">IF(J328&gt;0,-PMT((Rate+Stress)/12,LoanYears*12,J328)*12/DSR,0)</f>
        <v>0.39918149710751</v>
      </c>
      <c r="AG328" s="20" t="n">
        <f aca="false">IF(N328&lt;=CapA,1,0)</f>
        <v>0</v>
      </c>
      <c r="AH328" s="20" t="n">
        <f aca="false">IF(N328&lt;=CapB,1,0)</f>
        <v>0</v>
      </c>
      <c r="AI328" s="20" t="n">
        <f aca="false">IF(N328&lt;=CapC,1,0)</f>
        <v>0</v>
      </c>
      <c r="AJ328" s="21" t="n">
        <f aca="false">IF(AG328=1,AD328,-999)</f>
        <v>-999</v>
      </c>
      <c r="AK328" s="21" t="n">
        <f aca="false">IF(AH328=1,AD328,-999)</f>
        <v>-999</v>
      </c>
      <c r="AL328" s="21" t="n">
        <f aca="false">IF(AI328=1,AD328,-999)</f>
        <v>-999</v>
      </c>
      <c r="AM328" s="21" t="str">
        <f aca="false">C328&amp;"|"&amp;E328&amp;"|"&amp;G328&amp;"|"&amp;TEXT(AJ328,"0.00000")</f>
        <v>4|3|10|-999.00000</v>
      </c>
      <c r="AN328" s="21" t="str">
        <f aca="false">C328&amp;"|"&amp;E328&amp;"|"&amp;G328&amp;"|"&amp;TEXT(AK328,"0.00000")</f>
        <v>4|3|10|-999.00000</v>
      </c>
      <c r="AO328" s="21" t="str">
        <f aca="false">C328&amp;"|"&amp;E328&amp;"|"&amp;G328&amp;"|"&amp;TEXT(AL328,"0.00000")</f>
        <v>4|3|10|-999.00000</v>
      </c>
    </row>
    <row r="329" customFormat="false" ht="15" hidden="false" customHeight="false" outlineLevel="0" collapsed="false">
      <c r="A329" s="20" t="n">
        <v>11</v>
      </c>
      <c r="B329" s="18" t="str">
        <f aca="false">INDEX(C_Name,A329)</f>
        <v>흑석 아크로리버하임 84.75㎡</v>
      </c>
      <c r="C329" s="20" t="n">
        <v>5</v>
      </c>
      <c r="D329" s="21" t="str">
        <f aca="false">CHOOSE(C329,"1안 표준형(대출 최대)","2안 절충형(대출 50%)","3안 무대출형","4안 임대차 승계 후 입주","5안 매수 보류(전세 거주)")</f>
        <v>5안 매수 보류(전세 거주)</v>
      </c>
      <c r="E329" s="20" t="n">
        <v>1</v>
      </c>
      <c r="F329" s="10" t="n">
        <f aca="false">CHOOSE(E329,GrowLo,GrowMid,GrowHi)</f>
        <v>0.02</v>
      </c>
      <c r="G329" s="20" t="n">
        <v>5</v>
      </c>
      <c r="H329" s="18" t="n">
        <f aca="false">INDEX(C_Price,A329)</f>
        <v>28.75</v>
      </c>
      <c r="I329" s="18" t="n">
        <f aca="false">INDEX(C_Jeonse,A329)</f>
        <v>14.95</v>
      </c>
      <c r="J329" s="21" t="n">
        <f aca="false">IF(C329=5,0,IF(C329=1,INDEX(C_Loan,A329),IF(C329=2,INDEX(C_Loan,A329)*LoanShare2,IF(C329=3,0,MIN(INDEX(C_Loan,A329),I329)))))</f>
        <v>0</v>
      </c>
      <c r="K329" s="18" t="n">
        <f aca="false">IF(C329=5,0,INDEX(C_Acq,A329))</f>
        <v>0</v>
      </c>
      <c r="L329" s="18" t="n">
        <f aca="false">IF(C329=5,0,INDEX(C_Fee,A329))</f>
        <v>0</v>
      </c>
      <c r="M329" s="21" t="n">
        <f aca="false">IF(C329=4,MAX(0,I329-J329),0)</f>
        <v>0</v>
      </c>
      <c r="N329" s="21" t="n">
        <f aca="false">IF(C329=5,I329,IF(C329=4,(H329-I329)+K329+L329+M329,H329-J329+K329+L329))</f>
        <v>14.95</v>
      </c>
      <c r="O329" s="20" t="n">
        <f aca="false">IF(C329=4,RentYears,0)</f>
        <v>0</v>
      </c>
      <c r="P329" s="20" t="n">
        <f aca="false">IF(C329=5,0,MAX(0,G329-O329-NonRes))</f>
        <v>0</v>
      </c>
      <c r="Q329" s="21" t="n">
        <f aca="false">IF(C329=5,0,H329*(1+F329)^G329)</f>
        <v>0</v>
      </c>
      <c r="R329" s="21" t="n">
        <f aca="false">IF(C329=5,0,Q329*LOOKUP(Q329,FeeLo,FeeR)*(1+VAT))</f>
        <v>0</v>
      </c>
      <c r="S329" s="21" t="n">
        <f aca="false">IF(J329&gt;0,-CUMIPMT(Rm,LoanYears*12,J329,1,(G329-O329)*12,0),0)</f>
        <v>0</v>
      </c>
      <c r="T329" s="29" t="n">
        <f aca="false">IF(C329=5,0,SUMIFS(Sch_Total,Sch_Idx,A329,Sch_Scen,E329,Sch_Year,"&lt;="&amp;G329))</f>
        <v>0</v>
      </c>
      <c r="U329" s="21" t="n">
        <f aca="false">K329+L329+R329</f>
        <v>0</v>
      </c>
      <c r="V329" s="21" t="n">
        <f aca="false">IF(C329=5,0,Q329-H329-U329)</f>
        <v>0</v>
      </c>
      <c r="W329" s="21" t="n">
        <f aca="false">IF(C329=5,0,MAX(0,IF(P329&gt;=2,IF(Q329&gt;Exempt,V329*(Q329-Exempt)/Q329,0),V329)))</f>
        <v>0</v>
      </c>
      <c r="X329" s="10" t="n">
        <f aca="false">IF(P329&gt;=2,MIN(MaxDed,MIN(0.4,HoldRate*G329)+MIN(0.4,LiveRate*P329)),IF(G329&gt;=3,MIN(0.3,0.02*G329),0))</f>
        <v>0.1</v>
      </c>
      <c r="Y329" s="21" t="n">
        <f aca="false">MAX(0,W329*(1-X329)-InitDed)</f>
        <v>0</v>
      </c>
      <c r="Z329" s="29" t="n">
        <f aca="false">SUMPRODUCT((Y329&gt;CLo)*(Y329-CLo)*CD)*(1+LocalTax)</f>
        <v>0</v>
      </c>
      <c r="AA329" s="21" t="n">
        <f aca="false">K329+T329+Z329</f>
        <v>0</v>
      </c>
      <c r="AB329" s="29" t="n">
        <f aca="false">IF(C329=5,0,(Q329-H329)-K329-L329-R329-S329-T329-Z329)</f>
        <v>0</v>
      </c>
      <c r="AC329" s="21" t="n">
        <f aca="false">IF(C329=5,0,N329*((1+DepRate*(1-DepTax))^G329-1))</f>
        <v>0</v>
      </c>
      <c r="AD329" s="29" t="n">
        <f aca="false">IF(C329=5,0,AB329-AC329+I329*(((1+DepRate*(1-DepTax))^G329-1)-((1+DepRate*(1-DepTax))^O329-1)))</f>
        <v>0</v>
      </c>
      <c r="AE329" s="30" t="n">
        <f aca="false">IF(J329&gt;0,-PMT(Rm,LoanYears*12,J329)*10000,0)</f>
        <v>0</v>
      </c>
      <c r="AF329" s="21" t="n">
        <f aca="false">IF(J329&gt;0,-PMT((Rate+Stress)/12,LoanYears*12,J329)*12/DSR,0)</f>
        <v>0</v>
      </c>
      <c r="AG329" s="20" t="n">
        <f aca="false">IF(N329&lt;=CapA,1,0)</f>
        <v>0</v>
      </c>
      <c r="AH329" s="20" t="n">
        <f aca="false">IF(N329&lt;=CapB,1,0)</f>
        <v>0</v>
      </c>
      <c r="AI329" s="20" t="n">
        <f aca="false">IF(N329&lt;=CapC,1,0)</f>
        <v>1</v>
      </c>
      <c r="AJ329" s="21" t="n">
        <f aca="false">IF(AG329=1,AD329,-999)</f>
        <v>-999</v>
      </c>
      <c r="AK329" s="21" t="n">
        <f aca="false">IF(AH329=1,AD329,-999)</f>
        <v>-999</v>
      </c>
      <c r="AL329" s="21" t="n">
        <f aca="false">IF(AI329=1,AD329,-999)</f>
        <v>0</v>
      </c>
      <c r="AM329" s="21" t="str">
        <f aca="false">C329&amp;"|"&amp;E329&amp;"|"&amp;G329&amp;"|"&amp;TEXT(AJ329,"0.00000")</f>
        <v>5|1|5|-999.00000</v>
      </c>
      <c r="AN329" s="21" t="str">
        <f aca="false">C329&amp;"|"&amp;E329&amp;"|"&amp;G329&amp;"|"&amp;TEXT(AK329,"0.00000")</f>
        <v>5|1|5|-999.00000</v>
      </c>
      <c r="AO329" s="21" t="str">
        <f aca="false">C329&amp;"|"&amp;E329&amp;"|"&amp;G329&amp;"|"&amp;TEXT(AL329,"0.00000")</f>
        <v>5|1|5|0.00000</v>
      </c>
    </row>
    <row r="330" customFormat="false" ht="15" hidden="false" customHeight="false" outlineLevel="0" collapsed="false">
      <c r="A330" s="20" t="n">
        <v>11</v>
      </c>
      <c r="B330" s="18" t="str">
        <f aca="false">INDEX(C_Name,A330)</f>
        <v>흑석 아크로리버하임 84.75㎡</v>
      </c>
      <c r="C330" s="20" t="n">
        <v>5</v>
      </c>
      <c r="D330" s="21" t="str">
        <f aca="false">CHOOSE(C330,"1안 표준형(대출 최대)","2안 절충형(대출 50%)","3안 무대출형","4안 임대차 승계 후 입주","5안 매수 보류(전세 거주)")</f>
        <v>5안 매수 보류(전세 거주)</v>
      </c>
      <c r="E330" s="20" t="n">
        <v>1</v>
      </c>
      <c r="F330" s="10" t="n">
        <f aca="false">CHOOSE(E330,GrowLo,GrowMid,GrowHi)</f>
        <v>0.02</v>
      </c>
      <c r="G330" s="20" t="n">
        <v>10</v>
      </c>
      <c r="H330" s="18" t="n">
        <f aca="false">INDEX(C_Price,A330)</f>
        <v>28.75</v>
      </c>
      <c r="I330" s="18" t="n">
        <f aca="false">INDEX(C_Jeonse,A330)</f>
        <v>14.95</v>
      </c>
      <c r="J330" s="21" t="n">
        <f aca="false">IF(C330=5,0,IF(C330=1,INDEX(C_Loan,A330),IF(C330=2,INDEX(C_Loan,A330)*LoanShare2,IF(C330=3,0,MIN(INDEX(C_Loan,A330),I330)))))</f>
        <v>0</v>
      </c>
      <c r="K330" s="18" t="n">
        <f aca="false">IF(C330=5,0,INDEX(C_Acq,A330))</f>
        <v>0</v>
      </c>
      <c r="L330" s="18" t="n">
        <f aca="false">IF(C330=5,0,INDEX(C_Fee,A330))</f>
        <v>0</v>
      </c>
      <c r="M330" s="21" t="n">
        <f aca="false">IF(C330=4,MAX(0,I330-J330),0)</f>
        <v>0</v>
      </c>
      <c r="N330" s="21" t="n">
        <f aca="false">IF(C330=5,I330,IF(C330=4,(H330-I330)+K330+L330+M330,H330-J330+K330+L330))</f>
        <v>14.95</v>
      </c>
      <c r="O330" s="20" t="n">
        <f aca="false">IF(C330=4,RentYears,0)</f>
        <v>0</v>
      </c>
      <c r="P330" s="20" t="n">
        <f aca="false">IF(C330=5,0,MAX(0,G330-O330-NonRes))</f>
        <v>0</v>
      </c>
      <c r="Q330" s="21" t="n">
        <f aca="false">IF(C330=5,0,H330*(1+F330)^G330)</f>
        <v>0</v>
      </c>
      <c r="R330" s="21" t="n">
        <f aca="false">IF(C330=5,0,Q330*LOOKUP(Q330,FeeLo,FeeR)*(1+VAT))</f>
        <v>0</v>
      </c>
      <c r="S330" s="21" t="n">
        <f aca="false">IF(J330&gt;0,-CUMIPMT(Rm,LoanYears*12,J330,1,(G330-O330)*12,0),0)</f>
        <v>0</v>
      </c>
      <c r="T330" s="29" t="n">
        <f aca="false">IF(C330=5,0,SUMIFS(Sch_Total,Sch_Idx,A330,Sch_Scen,E330,Sch_Year,"&lt;="&amp;G330))</f>
        <v>0</v>
      </c>
      <c r="U330" s="21" t="n">
        <f aca="false">K330+L330+R330</f>
        <v>0</v>
      </c>
      <c r="V330" s="21" t="n">
        <f aca="false">IF(C330=5,0,Q330-H330-U330)</f>
        <v>0</v>
      </c>
      <c r="W330" s="21" t="n">
        <f aca="false">IF(C330=5,0,MAX(0,IF(P330&gt;=2,IF(Q330&gt;Exempt,V330*(Q330-Exempt)/Q330,0),V330)))</f>
        <v>0</v>
      </c>
      <c r="X330" s="10" t="n">
        <f aca="false">IF(P330&gt;=2,MIN(MaxDed,MIN(0.4,HoldRate*G330)+MIN(0.4,LiveRate*P330)),IF(G330&gt;=3,MIN(0.3,0.02*G330),0))</f>
        <v>0.2</v>
      </c>
      <c r="Y330" s="21" t="n">
        <f aca="false">MAX(0,W330*(1-X330)-InitDed)</f>
        <v>0</v>
      </c>
      <c r="Z330" s="29" t="n">
        <f aca="false">SUMPRODUCT((Y330&gt;CLo)*(Y330-CLo)*CD)*(1+LocalTax)</f>
        <v>0</v>
      </c>
      <c r="AA330" s="21" t="n">
        <f aca="false">K330+T330+Z330</f>
        <v>0</v>
      </c>
      <c r="AB330" s="29" t="n">
        <f aca="false">IF(C330=5,0,(Q330-H330)-K330-L330-R330-S330-T330-Z330)</f>
        <v>0</v>
      </c>
      <c r="AC330" s="21" t="n">
        <f aca="false">IF(C330=5,0,N330*((1+DepRate*(1-DepTax))^G330-1))</f>
        <v>0</v>
      </c>
      <c r="AD330" s="29" t="n">
        <f aca="false">IF(C330=5,0,AB330-AC330+I330*(((1+DepRate*(1-DepTax))^G330-1)-((1+DepRate*(1-DepTax))^O330-1)))</f>
        <v>0</v>
      </c>
      <c r="AE330" s="30" t="n">
        <f aca="false">IF(J330&gt;0,-PMT(Rm,LoanYears*12,J330)*10000,0)</f>
        <v>0</v>
      </c>
      <c r="AF330" s="21" t="n">
        <f aca="false">IF(J330&gt;0,-PMT((Rate+Stress)/12,LoanYears*12,J330)*12/DSR,0)</f>
        <v>0</v>
      </c>
      <c r="AG330" s="20" t="n">
        <f aca="false">IF(N330&lt;=CapA,1,0)</f>
        <v>0</v>
      </c>
      <c r="AH330" s="20" t="n">
        <f aca="false">IF(N330&lt;=CapB,1,0)</f>
        <v>0</v>
      </c>
      <c r="AI330" s="20" t="n">
        <f aca="false">IF(N330&lt;=CapC,1,0)</f>
        <v>1</v>
      </c>
      <c r="AJ330" s="21" t="n">
        <f aca="false">IF(AG330=1,AD330,-999)</f>
        <v>-999</v>
      </c>
      <c r="AK330" s="21" t="n">
        <f aca="false">IF(AH330=1,AD330,-999)</f>
        <v>-999</v>
      </c>
      <c r="AL330" s="21" t="n">
        <f aca="false">IF(AI330=1,AD330,-999)</f>
        <v>0</v>
      </c>
      <c r="AM330" s="21" t="str">
        <f aca="false">C330&amp;"|"&amp;E330&amp;"|"&amp;G330&amp;"|"&amp;TEXT(AJ330,"0.00000")</f>
        <v>5|1|10|-999.00000</v>
      </c>
      <c r="AN330" s="21" t="str">
        <f aca="false">C330&amp;"|"&amp;E330&amp;"|"&amp;G330&amp;"|"&amp;TEXT(AK330,"0.00000")</f>
        <v>5|1|10|-999.00000</v>
      </c>
      <c r="AO330" s="21" t="str">
        <f aca="false">C330&amp;"|"&amp;E330&amp;"|"&amp;G330&amp;"|"&amp;TEXT(AL330,"0.00000")</f>
        <v>5|1|10|0.00000</v>
      </c>
    </row>
    <row r="331" customFormat="false" ht="15" hidden="false" customHeight="false" outlineLevel="0" collapsed="false">
      <c r="A331" s="20" t="n">
        <v>11</v>
      </c>
      <c r="B331" s="18" t="str">
        <f aca="false">INDEX(C_Name,A331)</f>
        <v>흑석 아크로리버하임 84.75㎡</v>
      </c>
      <c r="C331" s="20" t="n">
        <v>5</v>
      </c>
      <c r="D331" s="21" t="str">
        <f aca="false">CHOOSE(C331,"1안 표준형(대출 최대)","2안 절충형(대출 50%)","3안 무대출형","4안 임대차 승계 후 입주","5안 매수 보류(전세 거주)")</f>
        <v>5안 매수 보류(전세 거주)</v>
      </c>
      <c r="E331" s="20" t="n">
        <v>2</v>
      </c>
      <c r="F331" s="10" t="n">
        <f aca="false">CHOOSE(E331,GrowLo,GrowMid,GrowHi)</f>
        <v>0.04</v>
      </c>
      <c r="G331" s="20" t="n">
        <v>5</v>
      </c>
      <c r="H331" s="18" t="n">
        <f aca="false">INDEX(C_Price,A331)</f>
        <v>28.75</v>
      </c>
      <c r="I331" s="18" t="n">
        <f aca="false">INDEX(C_Jeonse,A331)</f>
        <v>14.95</v>
      </c>
      <c r="J331" s="21" t="n">
        <f aca="false">IF(C331=5,0,IF(C331=1,INDEX(C_Loan,A331),IF(C331=2,INDEX(C_Loan,A331)*LoanShare2,IF(C331=3,0,MIN(INDEX(C_Loan,A331),I331)))))</f>
        <v>0</v>
      </c>
      <c r="K331" s="18" t="n">
        <f aca="false">IF(C331=5,0,INDEX(C_Acq,A331))</f>
        <v>0</v>
      </c>
      <c r="L331" s="18" t="n">
        <f aca="false">IF(C331=5,0,INDEX(C_Fee,A331))</f>
        <v>0</v>
      </c>
      <c r="M331" s="21" t="n">
        <f aca="false">IF(C331=4,MAX(0,I331-J331),0)</f>
        <v>0</v>
      </c>
      <c r="N331" s="21" t="n">
        <f aca="false">IF(C331=5,I331,IF(C331=4,(H331-I331)+K331+L331+M331,H331-J331+K331+L331))</f>
        <v>14.95</v>
      </c>
      <c r="O331" s="20" t="n">
        <f aca="false">IF(C331=4,RentYears,0)</f>
        <v>0</v>
      </c>
      <c r="P331" s="20" t="n">
        <f aca="false">IF(C331=5,0,MAX(0,G331-O331-NonRes))</f>
        <v>0</v>
      </c>
      <c r="Q331" s="21" t="n">
        <f aca="false">IF(C331=5,0,H331*(1+F331)^G331)</f>
        <v>0</v>
      </c>
      <c r="R331" s="21" t="n">
        <f aca="false">IF(C331=5,0,Q331*LOOKUP(Q331,FeeLo,FeeR)*(1+VAT))</f>
        <v>0</v>
      </c>
      <c r="S331" s="21" t="n">
        <f aca="false">IF(J331&gt;0,-CUMIPMT(Rm,LoanYears*12,J331,1,(G331-O331)*12,0),0)</f>
        <v>0</v>
      </c>
      <c r="T331" s="29" t="n">
        <f aca="false">IF(C331=5,0,SUMIFS(Sch_Total,Sch_Idx,A331,Sch_Scen,E331,Sch_Year,"&lt;="&amp;G331))</f>
        <v>0</v>
      </c>
      <c r="U331" s="21" t="n">
        <f aca="false">K331+L331+R331</f>
        <v>0</v>
      </c>
      <c r="V331" s="21" t="n">
        <f aca="false">IF(C331=5,0,Q331-H331-U331)</f>
        <v>0</v>
      </c>
      <c r="W331" s="21" t="n">
        <f aca="false">IF(C331=5,0,MAX(0,IF(P331&gt;=2,IF(Q331&gt;Exempt,V331*(Q331-Exempt)/Q331,0),V331)))</f>
        <v>0</v>
      </c>
      <c r="X331" s="10" t="n">
        <f aca="false">IF(P331&gt;=2,MIN(MaxDed,MIN(0.4,HoldRate*G331)+MIN(0.4,LiveRate*P331)),IF(G331&gt;=3,MIN(0.3,0.02*G331),0))</f>
        <v>0.1</v>
      </c>
      <c r="Y331" s="21" t="n">
        <f aca="false">MAX(0,W331*(1-X331)-InitDed)</f>
        <v>0</v>
      </c>
      <c r="Z331" s="29" t="n">
        <f aca="false">SUMPRODUCT((Y331&gt;CLo)*(Y331-CLo)*CD)*(1+LocalTax)</f>
        <v>0</v>
      </c>
      <c r="AA331" s="21" t="n">
        <f aca="false">K331+T331+Z331</f>
        <v>0</v>
      </c>
      <c r="AB331" s="29" t="n">
        <f aca="false">IF(C331=5,0,(Q331-H331)-K331-L331-R331-S331-T331-Z331)</f>
        <v>0</v>
      </c>
      <c r="AC331" s="21" t="n">
        <f aca="false">IF(C331=5,0,N331*((1+DepRate*(1-DepTax))^G331-1))</f>
        <v>0</v>
      </c>
      <c r="AD331" s="29" t="n">
        <f aca="false">IF(C331=5,0,AB331-AC331+I331*(((1+DepRate*(1-DepTax))^G331-1)-((1+DepRate*(1-DepTax))^O331-1)))</f>
        <v>0</v>
      </c>
      <c r="AE331" s="30" t="n">
        <f aca="false">IF(J331&gt;0,-PMT(Rm,LoanYears*12,J331)*10000,0)</f>
        <v>0</v>
      </c>
      <c r="AF331" s="21" t="n">
        <f aca="false">IF(J331&gt;0,-PMT((Rate+Stress)/12,LoanYears*12,J331)*12/DSR,0)</f>
        <v>0</v>
      </c>
      <c r="AG331" s="20" t="n">
        <f aca="false">IF(N331&lt;=CapA,1,0)</f>
        <v>0</v>
      </c>
      <c r="AH331" s="20" t="n">
        <f aca="false">IF(N331&lt;=CapB,1,0)</f>
        <v>0</v>
      </c>
      <c r="AI331" s="20" t="n">
        <f aca="false">IF(N331&lt;=CapC,1,0)</f>
        <v>1</v>
      </c>
      <c r="AJ331" s="21" t="n">
        <f aca="false">IF(AG331=1,AD331,-999)</f>
        <v>-999</v>
      </c>
      <c r="AK331" s="21" t="n">
        <f aca="false">IF(AH331=1,AD331,-999)</f>
        <v>-999</v>
      </c>
      <c r="AL331" s="21" t="n">
        <f aca="false">IF(AI331=1,AD331,-999)</f>
        <v>0</v>
      </c>
      <c r="AM331" s="21" t="str">
        <f aca="false">C331&amp;"|"&amp;E331&amp;"|"&amp;G331&amp;"|"&amp;TEXT(AJ331,"0.00000")</f>
        <v>5|2|5|-999.00000</v>
      </c>
      <c r="AN331" s="21" t="str">
        <f aca="false">C331&amp;"|"&amp;E331&amp;"|"&amp;G331&amp;"|"&amp;TEXT(AK331,"0.00000")</f>
        <v>5|2|5|-999.00000</v>
      </c>
      <c r="AO331" s="21" t="str">
        <f aca="false">C331&amp;"|"&amp;E331&amp;"|"&amp;G331&amp;"|"&amp;TEXT(AL331,"0.00000")</f>
        <v>5|2|5|0.00000</v>
      </c>
    </row>
    <row r="332" customFormat="false" ht="15" hidden="false" customHeight="false" outlineLevel="0" collapsed="false">
      <c r="A332" s="20" t="n">
        <v>11</v>
      </c>
      <c r="B332" s="18" t="str">
        <f aca="false">INDEX(C_Name,A332)</f>
        <v>흑석 아크로리버하임 84.75㎡</v>
      </c>
      <c r="C332" s="20" t="n">
        <v>5</v>
      </c>
      <c r="D332" s="21" t="str">
        <f aca="false">CHOOSE(C332,"1안 표준형(대출 최대)","2안 절충형(대출 50%)","3안 무대출형","4안 임대차 승계 후 입주","5안 매수 보류(전세 거주)")</f>
        <v>5안 매수 보류(전세 거주)</v>
      </c>
      <c r="E332" s="20" t="n">
        <v>2</v>
      </c>
      <c r="F332" s="10" t="n">
        <f aca="false">CHOOSE(E332,GrowLo,GrowMid,GrowHi)</f>
        <v>0.04</v>
      </c>
      <c r="G332" s="20" t="n">
        <v>10</v>
      </c>
      <c r="H332" s="18" t="n">
        <f aca="false">INDEX(C_Price,A332)</f>
        <v>28.75</v>
      </c>
      <c r="I332" s="18" t="n">
        <f aca="false">INDEX(C_Jeonse,A332)</f>
        <v>14.95</v>
      </c>
      <c r="J332" s="21" t="n">
        <f aca="false">IF(C332=5,0,IF(C332=1,INDEX(C_Loan,A332),IF(C332=2,INDEX(C_Loan,A332)*LoanShare2,IF(C332=3,0,MIN(INDEX(C_Loan,A332),I332)))))</f>
        <v>0</v>
      </c>
      <c r="K332" s="18" t="n">
        <f aca="false">IF(C332=5,0,INDEX(C_Acq,A332))</f>
        <v>0</v>
      </c>
      <c r="L332" s="18" t="n">
        <f aca="false">IF(C332=5,0,INDEX(C_Fee,A332))</f>
        <v>0</v>
      </c>
      <c r="M332" s="21" t="n">
        <f aca="false">IF(C332=4,MAX(0,I332-J332),0)</f>
        <v>0</v>
      </c>
      <c r="N332" s="21" t="n">
        <f aca="false">IF(C332=5,I332,IF(C332=4,(H332-I332)+K332+L332+M332,H332-J332+K332+L332))</f>
        <v>14.95</v>
      </c>
      <c r="O332" s="20" t="n">
        <f aca="false">IF(C332=4,RentYears,0)</f>
        <v>0</v>
      </c>
      <c r="P332" s="20" t="n">
        <f aca="false">IF(C332=5,0,MAX(0,G332-O332-NonRes))</f>
        <v>0</v>
      </c>
      <c r="Q332" s="21" t="n">
        <f aca="false">IF(C332=5,0,H332*(1+F332)^G332)</f>
        <v>0</v>
      </c>
      <c r="R332" s="21" t="n">
        <f aca="false">IF(C332=5,0,Q332*LOOKUP(Q332,FeeLo,FeeR)*(1+VAT))</f>
        <v>0</v>
      </c>
      <c r="S332" s="21" t="n">
        <f aca="false">IF(J332&gt;0,-CUMIPMT(Rm,LoanYears*12,J332,1,(G332-O332)*12,0),0)</f>
        <v>0</v>
      </c>
      <c r="T332" s="29" t="n">
        <f aca="false">IF(C332=5,0,SUMIFS(Sch_Total,Sch_Idx,A332,Sch_Scen,E332,Sch_Year,"&lt;="&amp;G332))</f>
        <v>0</v>
      </c>
      <c r="U332" s="21" t="n">
        <f aca="false">K332+L332+R332</f>
        <v>0</v>
      </c>
      <c r="V332" s="21" t="n">
        <f aca="false">IF(C332=5,0,Q332-H332-U332)</f>
        <v>0</v>
      </c>
      <c r="W332" s="21" t="n">
        <f aca="false">IF(C332=5,0,MAX(0,IF(P332&gt;=2,IF(Q332&gt;Exempt,V332*(Q332-Exempt)/Q332,0),V332)))</f>
        <v>0</v>
      </c>
      <c r="X332" s="10" t="n">
        <f aca="false">IF(P332&gt;=2,MIN(MaxDed,MIN(0.4,HoldRate*G332)+MIN(0.4,LiveRate*P332)),IF(G332&gt;=3,MIN(0.3,0.02*G332),0))</f>
        <v>0.2</v>
      </c>
      <c r="Y332" s="21" t="n">
        <f aca="false">MAX(0,W332*(1-X332)-InitDed)</f>
        <v>0</v>
      </c>
      <c r="Z332" s="29" t="n">
        <f aca="false">SUMPRODUCT((Y332&gt;CLo)*(Y332-CLo)*CD)*(1+LocalTax)</f>
        <v>0</v>
      </c>
      <c r="AA332" s="21" t="n">
        <f aca="false">K332+T332+Z332</f>
        <v>0</v>
      </c>
      <c r="AB332" s="29" t="n">
        <f aca="false">IF(C332=5,0,(Q332-H332)-K332-L332-R332-S332-T332-Z332)</f>
        <v>0</v>
      </c>
      <c r="AC332" s="21" t="n">
        <f aca="false">IF(C332=5,0,N332*((1+DepRate*(1-DepTax))^G332-1))</f>
        <v>0</v>
      </c>
      <c r="AD332" s="29" t="n">
        <f aca="false">IF(C332=5,0,AB332-AC332+I332*(((1+DepRate*(1-DepTax))^G332-1)-((1+DepRate*(1-DepTax))^O332-1)))</f>
        <v>0</v>
      </c>
      <c r="AE332" s="30" t="n">
        <f aca="false">IF(J332&gt;0,-PMT(Rm,LoanYears*12,J332)*10000,0)</f>
        <v>0</v>
      </c>
      <c r="AF332" s="21" t="n">
        <f aca="false">IF(J332&gt;0,-PMT((Rate+Stress)/12,LoanYears*12,J332)*12/DSR,0)</f>
        <v>0</v>
      </c>
      <c r="AG332" s="20" t="n">
        <f aca="false">IF(N332&lt;=CapA,1,0)</f>
        <v>0</v>
      </c>
      <c r="AH332" s="20" t="n">
        <f aca="false">IF(N332&lt;=CapB,1,0)</f>
        <v>0</v>
      </c>
      <c r="AI332" s="20" t="n">
        <f aca="false">IF(N332&lt;=CapC,1,0)</f>
        <v>1</v>
      </c>
      <c r="AJ332" s="21" t="n">
        <f aca="false">IF(AG332=1,AD332,-999)</f>
        <v>-999</v>
      </c>
      <c r="AK332" s="21" t="n">
        <f aca="false">IF(AH332=1,AD332,-999)</f>
        <v>-999</v>
      </c>
      <c r="AL332" s="21" t="n">
        <f aca="false">IF(AI332=1,AD332,-999)</f>
        <v>0</v>
      </c>
      <c r="AM332" s="21" t="str">
        <f aca="false">C332&amp;"|"&amp;E332&amp;"|"&amp;G332&amp;"|"&amp;TEXT(AJ332,"0.00000")</f>
        <v>5|2|10|-999.00000</v>
      </c>
      <c r="AN332" s="21" t="str">
        <f aca="false">C332&amp;"|"&amp;E332&amp;"|"&amp;G332&amp;"|"&amp;TEXT(AK332,"0.00000")</f>
        <v>5|2|10|-999.00000</v>
      </c>
      <c r="AO332" s="21" t="str">
        <f aca="false">C332&amp;"|"&amp;E332&amp;"|"&amp;G332&amp;"|"&amp;TEXT(AL332,"0.00000")</f>
        <v>5|2|10|0.00000</v>
      </c>
    </row>
    <row r="333" customFormat="false" ht="15" hidden="false" customHeight="false" outlineLevel="0" collapsed="false">
      <c r="A333" s="20" t="n">
        <v>11</v>
      </c>
      <c r="B333" s="18" t="str">
        <f aca="false">INDEX(C_Name,A333)</f>
        <v>흑석 아크로리버하임 84.75㎡</v>
      </c>
      <c r="C333" s="20" t="n">
        <v>5</v>
      </c>
      <c r="D333" s="21" t="str">
        <f aca="false">CHOOSE(C333,"1안 표준형(대출 최대)","2안 절충형(대출 50%)","3안 무대출형","4안 임대차 승계 후 입주","5안 매수 보류(전세 거주)")</f>
        <v>5안 매수 보류(전세 거주)</v>
      </c>
      <c r="E333" s="20" t="n">
        <v>3</v>
      </c>
      <c r="F333" s="10" t="n">
        <f aca="false">CHOOSE(E333,GrowLo,GrowMid,GrowHi)</f>
        <v>0.06</v>
      </c>
      <c r="G333" s="20" t="n">
        <v>5</v>
      </c>
      <c r="H333" s="18" t="n">
        <f aca="false">INDEX(C_Price,A333)</f>
        <v>28.75</v>
      </c>
      <c r="I333" s="18" t="n">
        <f aca="false">INDEX(C_Jeonse,A333)</f>
        <v>14.95</v>
      </c>
      <c r="J333" s="21" t="n">
        <f aca="false">IF(C333=5,0,IF(C333=1,INDEX(C_Loan,A333),IF(C333=2,INDEX(C_Loan,A333)*LoanShare2,IF(C333=3,0,MIN(INDEX(C_Loan,A333),I333)))))</f>
        <v>0</v>
      </c>
      <c r="K333" s="18" t="n">
        <f aca="false">IF(C333=5,0,INDEX(C_Acq,A333))</f>
        <v>0</v>
      </c>
      <c r="L333" s="18" t="n">
        <f aca="false">IF(C333=5,0,INDEX(C_Fee,A333))</f>
        <v>0</v>
      </c>
      <c r="M333" s="21" t="n">
        <f aca="false">IF(C333=4,MAX(0,I333-J333),0)</f>
        <v>0</v>
      </c>
      <c r="N333" s="21" t="n">
        <f aca="false">IF(C333=5,I333,IF(C333=4,(H333-I333)+K333+L333+M333,H333-J333+K333+L333))</f>
        <v>14.95</v>
      </c>
      <c r="O333" s="20" t="n">
        <f aca="false">IF(C333=4,RentYears,0)</f>
        <v>0</v>
      </c>
      <c r="P333" s="20" t="n">
        <f aca="false">IF(C333=5,0,MAX(0,G333-O333-NonRes))</f>
        <v>0</v>
      </c>
      <c r="Q333" s="21" t="n">
        <f aca="false">IF(C333=5,0,H333*(1+F333)^G333)</f>
        <v>0</v>
      </c>
      <c r="R333" s="21" t="n">
        <f aca="false">IF(C333=5,0,Q333*LOOKUP(Q333,FeeLo,FeeR)*(1+VAT))</f>
        <v>0</v>
      </c>
      <c r="S333" s="21" t="n">
        <f aca="false">IF(J333&gt;0,-CUMIPMT(Rm,LoanYears*12,J333,1,(G333-O333)*12,0),0)</f>
        <v>0</v>
      </c>
      <c r="T333" s="29" t="n">
        <f aca="false">IF(C333=5,0,SUMIFS(Sch_Total,Sch_Idx,A333,Sch_Scen,E333,Sch_Year,"&lt;="&amp;G333))</f>
        <v>0</v>
      </c>
      <c r="U333" s="21" t="n">
        <f aca="false">K333+L333+R333</f>
        <v>0</v>
      </c>
      <c r="V333" s="21" t="n">
        <f aca="false">IF(C333=5,0,Q333-H333-U333)</f>
        <v>0</v>
      </c>
      <c r="W333" s="21" t="n">
        <f aca="false">IF(C333=5,0,MAX(0,IF(P333&gt;=2,IF(Q333&gt;Exempt,V333*(Q333-Exempt)/Q333,0),V333)))</f>
        <v>0</v>
      </c>
      <c r="X333" s="10" t="n">
        <f aca="false">IF(P333&gt;=2,MIN(MaxDed,MIN(0.4,HoldRate*G333)+MIN(0.4,LiveRate*P333)),IF(G333&gt;=3,MIN(0.3,0.02*G333),0))</f>
        <v>0.1</v>
      </c>
      <c r="Y333" s="21" t="n">
        <f aca="false">MAX(0,W333*(1-X333)-InitDed)</f>
        <v>0</v>
      </c>
      <c r="Z333" s="29" t="n">
        <f aca="false">SUMPRODUCT((Y333&gt;CLo)*(Y333-CLo)*CD)*(1+LocalTax)</f>
        <v>0</v>
      </c>
      <c r="AA333" s="21" t="n">
        <f aca="false">K333+T333+Z333</f>
        <v>0</v>
      </c>
      <c r="AB333" s="29" t="n">
        <f aca="false">IF(C333=5,0,(Q333-H333)-K333-L333-R333-S333-T333-Z333)</f>
        <v>0</v>
      </c>
      <c r="AC333" s="21" t="n">
        <f aca="false">IF(C333=5,0,N333*((1+DepRate*(1-DepTax))^G333-1))</f>
        <v>0</v>
      </c>
      <c r="AD333" s="29" t="n">
        <f aca="false">IF(C333=5,0,AB333-AC333+I333*(((1+DepRate*(1-DepTax))^G333-1)-((1+DepRate*(1-DepTax))^O333-1)))</f>
        <v>0</v>
      </c>
      <c r="AE333" s="30" t="n">
        <f aca="false">IF(J333&gt;0,-PMT(Rm,LoanYears*12,J333)*10000,0)</f>
        <v>0</v>
      </c>
      <c r="AF333" s="21" t="n">
        <f aca="false">IF(J333&gt;0,-PMT((Rate+Stress)/12,LoanYears*12,J333)*12/DSR,0)</f>
        <v>0</v>
      </c>
      <c r="AG333" s="20" t="n">
        <f aca="false">IF(N333&lt;=CapA,1,0)</f>
        <v>0</v>
      </c>
      <c r="AH333" s="20" t="n">
        <f aca="false">IF(N333&lt;=CapB,1,0)</f>
        <v>0</v>
      </c>
      <c r="AI333" s="20" t="n">
        <f aca="false">IF(N333&lt;=CapC,1,0)</f>
        <v>1</v>
      </c>
      <c r="AJ333" s="21" t="n">
        <f aca="false">IF(AG333=1,AD333,-999)</f>
        <v>-999</v>
      </c>
      <c r="AK333" s="21" t="n">
        <f aca="false">IF(AH333=1,AD333,-999)</f>
        <v>-999</v>
      </c>
      <c r="AL333" s="21" t="n">
        <f aca="false">IF(AI333=1,AD333,-999)</f>
        <v>0</v>
      </c>
      <c r="AM333" s="21" t="str">
        <f aca="false">C333&amp;"|"&amp;E333&amp;"|"&amp;G333&amp;"|"&amp;TEXT(AJ333,"0.00000")</f>
        <v>5|3|5|-999.00000</v>
      </c>
      <c r="AN333" s="21" t="str">
        <f aca="false">C333&amp;"|"&amp;E333&amp;"|"&amp;G333&amp;"|"&amp;TEXT(AK333,"0.00000")</f>
        <v>5|3|5|-999.00000</v>
      </c>
      <c r="AO333" s="21" t="str">
        <f aca="false">C333&amp;"|"&amp;E333&amp;"|"&amp;G333&amp;"|"&amp;TEXT(AL333,"0.00000")</f>
        <v>5|3|5|0.00000</v>
      </c>
    </row>
    <row r="334" customFormat="false" ht="15" hidden="false" customHeight="false" outlineLevel="0" collapsed="false">
      <c r="A334" s="20" t="n">
        <v>11</v>
      </c>
      <c r="B334" s="18" t="str">
        <f aca="false">INDEX(C_Name,A334)</f>
        <v>흑석 아크로리버하임 84.75㎡</v>
      </c>
      <c r="C334" s="20" t="n">
        <v>5</v>
      </c>
      <c r="D334" s="21" t="str">
        <f aca="false">CHOOSE(C334,"1안 표준형(대출 최대)","2안 절충형(대출 50%)","3안 무대출형","4안 임대차 승계 후 입주","5안 매수 보류(전세 거주)")</f>
        <v>5안 매수 보류(전세 거주)</v>
      </c>
      <c r="E334" s="20" t="n">
        <v>3</v>
      </c>
      <c r="F334" s="10" t="n">
        <f aca="false">CHOOSE(E334,GrowLo,GrowMid,GrowHi)</f>
        <v>0.06</v>
      </c>
      <c r="G334" s="20" t="n">
        <v>10</v>
      </c>
      <c r="H334" s="18" t="n">
        <f aca="false">INDEX(C_Price,A334)</f>
        <v>28.75</v>
      </c>
      <c r="I334" s="18" t="n">
        <f aca="false">INDEX(C_Jeonse,A334)</f>
        <v>14.95</v>
      </c>
      <c r="J334" s="21" t="n">
        <f aca="false">IF(C334=5,0,IF(C334=1,INDEX(C_Loan,A334),IF(C334=2,INDEX(C_Loan,A334)*LoanShare2,IF(C334=3,0,MIN(INDEX(C_Loan,A334),I334)))))</f>
        <v>0</v>
      </c>
      <c r="K334" s="18" t="n">
        <f aca="false">IF(C334=5,0,INDEX(C_Acq,A334))</f>
        <v>0</v>
      </c>
      <c r="L334" s="18" t="n">
        <f aca="false">IF(C334=5,0,INDEX(C_Fee,A334))</f>
        <v>0</v>
      </c>
      <c r="M334" s="21" t="n">
        <f aca="false">IF(C334=4,MAX(0,I334-J334),0)</f>
        <v>0</v>
      </c>
      <c r="N334" s="21" t="n">
        <f aca="false">IF(C334=5,I334,IF(C334=4,(H334-I334)+K334+L334+M334,H334-J334+K334+L334))</f>
        <v>14.95</v>
      </c>
      <c r="O334" s="20" t="n">
        <f aca="false">IF(C334=4,RentYears,0)</f>
        <v>0</v>
      </c>
      <c r="P334" s="20" t="n">
        <f aca="false">IF(C334=5,0,MAX(0,G334-O334-NonRes))</f>
        <v>0</v>
      </c>
      <c r="Q334" s="21" t="n">
        <f aca="false">IF(C334=5,0,H334*(1+F334)^G334)</f>
        <v>0</v>
      </c>
      <c r="R334" s="21" t="n">
        <f aca="false">IF(C334=5,0,Q334*LOOKUP(Q334,FeeLo,FeeR)*(1+VAT))</f>
        <v>0</v>
      </c>
      <c r="S334" s="21" t="n">
        <f aca="false">IF(J334&gt;0,-CUMIPMT(Rm,LoanYears*12,J334,1,(G334-O334)*12,0),0)</f>
        <v>0</v>
      </c>
      <c r="T334" s="29" t="n">
        <f aca="false">IF(C334=5,0,SUMIFS(Sch_Total,Sch_Idx,A334,Sch_Scen,E334,Sch_Year,"&lt;="&amp;G334))</f>
        <v>0</v>
      </c>
      <c r="U334" s="21" t="n">
        <f aca="false">K334+L334+R334</f>
        <v>0</v>
      </c>
      <c r="V334" s="21" t="n">
        <f aca="false">IF(C334=5,0,Q334-H334-U334)</f>
        <v>0</v>
      </c>
      <c r="W334" s="21" t="n">
        <f aca="false">IF(C334=5,0,MAX(0,IF(P334&gt;=2,IF(Q334&gt;Exempt,V334*(Q334-Exempt)/Q334,0),V334)))</f>
        <v>0</v>
      </c>
      <c r="X334" s="10" t="n">
        <f aca="false">IF(P334&gt;=2,MIN(MaxDed,MIN(0.4,HoldRate*G334)+MIN(0.4,LiveRate*P334)),IF(G334&gt;=3,MIN(0.3,0.02*G334),0))</f>
        <v>0.2</v>
      </c>
      <c r="Y334" s="21" t="n">
        <f aca="false">MAX(0,W334*(1-X334)-InitDed)</f>
        <v>0</v>
      </c>
      <c r="Z334" s="29" t="n">
        <f aca="false">SUMPRODUCT((Y334&gt;CLo)*(Y334-CLo)*CD)*(1+LocalTax)</f>
        <v>0</v>
      </c>
      <c r="AA334" s="21" t="n">
        <f aca="false">K334+T334+Z334</f>
        <v>0</v>
      </c>
      <c r="AB334" s="29" t="n">
        <f aca="false">IF(C334=5,0,(Q334-H334)-K334-L334-R334-S334-T334-Z334)</f>
        <v>0</v>
      </c>
      <c r="AC334" s="21" t="n">
        <f aca="false">IF(C334=5,0,N334*((1+DepRate*(1-DepTax))^G334-1))</f>
        <v>0</v>
      </c>
      <c r="AD334" s="29" t="n">
        <f aca="false">IF(C334=5,0,AB334-AC334+I334*(((1+DepRate*(1-DepTax))^G334-1)-((1+DepRate*(1-DepTax))^O334-1)))</f>
        <v>0</v>
      </c>
      <c r="AE334" s="30" t="n">
        <f aca="false">IF(J334&gt;0,-PMT(Rm,LoanYears*12,J334)*10000,0)</f>
        <v>0</v>
      </c>
      <c r="AF334" s="21" t="n">
        <f aca="false">IF(J334&gt;0,-PMT((Rate+Stress)/12,LoanYears*12,J334)*12/DSR,0)</f>
        <v>0</v>
      </c>
      <c r="AG334" s="20" t="n">
        <f aca="false">IF(N334&lt;=CapA,1,0)</f>
        <v>0</v>
      </c>
      <c r="AH334" s="20" t="n">
        <f aca="false">IF(N334&lt;=CapB,1,0)</f>
        <v>0</v>
      </c>
      <c r="AI334" s="20" t="n">
        <f aca="false">IF(N334&lt;=CapC,1,0)</f>
        <v>1</v>
      </c>
      <c r="AJ334" s="21" t="n">
        <f aca="false">IF(AG334=1,AD334,-999)</f>
        <v>-999</v>
      </c>
      <c r="AK334" s="21" t="n">
        <f aca="false">IF(AH334=1,AD334,-999)</f>
        <v>-999</v>
      </c>
      <c r="AL334" s="21" t="n">
        <f aca="false">IF(AI334=1,AD334,-999)</f>
        <v>0</v>
      </c>
      <c r="AM334" s="21" t="str">
        <f aca="false">C334&amp;"|"&amp;E334&amp;"|"&amp;G334&amp;"|"&amp;TEXT(AJ334,"0.00000")</f>
        <v>5|3|10|-999.00000</v>
      </c>
      <c r="AN334" s="21" t="str">
        <f aca="false">C334&amp;"|"&amp;E334&amp;"|"&amp;G334&amp;"|"&amp;TEXT(AK334,"0.00000")</f>
        <v>5|3|10|-999.00000</v>
      </c>
      <c r="AO334" s="21" t="str">
        <f aca="false">C334&amp;"|"&amp;E334&amp;"|"&amp;G334&amp;"|"&amp;TEXT(AL334,"0.00000")</f>
        <v>5|3|10|0.00000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9" min="2" style="0" width="12"/>
  </cols>
  <sheetData>
    <row r="1" customFormat="false" ht="19.4" hidden="false" customHeight="false" outlineLevel="0" collapsed="false">
      <c r="A1" s="1" t="s">
        <v>86</v>
      </c>
    </row>
    <row r="2" customFormat="false" ht="15" hidden="false" customHeight="false" outlineLevel="0" collapsed="false">
      <c r="A2" s="7" t="s">
        <v>87</v>
      </c>
      <c r="C2" s="8" t="n">
        <v>2</v>
      </c>
      <c r="E2" s="9" t="s">
        <v>29</v>
      </c>
      <c r="F2" s="10" t="n">
        <f aca="false">CHOOSE(SelScen,GrowLo,GrowMid,GrowHi)</f>
        <v>0.04</v>
      </c>
    </row>
    <row r="3" customFormat="false" ht="15" hidden="false" customHeight="false" outlineLevel="0" collapsed="false">
      <c r="A3" s="7" t="s">
        <v>88</v>
      </c>
      <c r="C3" s="8" t="n">
        <v>10</v>
      </c>
    </row>
    <row r="5" customFormat="false" ht="42" hidden="false" customHeight="true" outlineLevel="0" collapsed="false">
      <c r="A5" s="13" t="s">
        <v>58</v>
      </c>
      <c r="B5" s="13" t="s">
        <v>89</v>
      </c>
      <c r="C5" s="13" t="s">
        <v>35</v>
      </c>
      <c r="D5" s="13" t="s">
        <v>90</v>
      </c>
      <c r="E5" s="14" t="s">
        <v>91</v>
      </c>
      <c r="F5" s="14" t="s">
        <v>92</v>
      </c>
      <c r="G5" s="14" t="s">
        <v>93</v>
      </c>
      <c r="H5" s="13" t="s">
        <v>63</v>
      </c>
      <c r="I5" s="13" t="s">
        <v>94</v>
      </c>
      <c r="J5" s="13" t="s">
        <v>38</v>
      </c>
      <c r="K5" s="13" t="s">
        <v>39</v>
      </c>
      <c r="L5" s="13" t="s">
        <v>40</v>
      </c>
      <c r="M5" s="13" t="s">
        <v>95</v>
      </c>
      <c r="N5" s="13" t="s">
        <v>96</v>
      </c>
      <c r="O5" s="13" t="s">
        <v>41</v>
      </c>
      <c r="P5" s="13" t="s">
        <v>97</v>
      </c>
      <c r="Q5" s="13" t="s">
        <v>98</v>
      </c>
      <c r="R5" s="13" t="s">
        <v>99</v>
      </c>
      <c r="S5" s="13" t="s">
        <v>100</v>
      </c>
    </row>
    <row r="6" customFormat="false" ht="30" hidden="false" customHeight="true" outlineLevel="0" collapsed="false">
      <c r="A6" s="16" t="str">
        <f aca="false">INDEX(C_Name,1)</f>
        <v>문래건영아파트 84㎡</v>
      </c>
      <c r="B6" s="17" t="n">
        <f aca="false">INDEX(C_Price,1)</f>
        <v>13.9</v>
      </c>
      <c r="C6" s="17" t="n">
        <f aca="false">INDEX(C_Loan,1)</f>
        <v>5.56</v>
      </c>
      <c r="D6" s="17" t="n">
        <f aca="false">INDEX(C_Equity,1)</f>
        <v>8.91044</v>
      </c>
      <c r="E6" s="31" t="str">
        <f aca="false">INDEX(단지!$Q$6:$Q$17,1)</f>
        <v>가능</v>
      </c>
      <c r="F6" s="31" t="str">
        <f aca="false">INDEX(단지!$R$6:$R$17,1)</f>
        <v>가능</v>
      </c>
      <c r="G6" s="31" t="str">
        <f aca="false">INDEX(단지!$S$6:$S$17,1)</f>
        <v>가능</v>
      </c>
      <c r="H6" s="18" t="n">
        <f aca="false">SUMIFS(Sim_acq,Sim_Idx,1,Sim_Scen,SelScen,Sim_N,SelN)</f>
        <v>0.4587</v>
      </c>
      <c r="I6" s="19" t="n">
        <f aca="false">INDEX(단지!$V$6:$V$17,1)</f>
        <v>281.1852</v>
      </c>
      <c r="J6" s="18" t="n">
        <f aca="false">SUMIFS(Sim_ptax,Sim_Idx,1,Sim_Scen,SelScen,Sim_N,SelN)</f>
        <v>0.365481473831724</v>
      </c>
      <c r="K6" s="18" t="n">
        <f aca="false">SUMIFS(Sim_ctax,Sim_Idx,1,Sim_Scen,SelScen,Sim_N,SelN)</f>
        <v>0.0638017891760452</v>
      </c>
      <c r="L6" s="29" t="n">
        <f aca="false">H6+J6+K6</f>
        <v>0.887983263007769</v>
      </c>
      <c r="M6" s="10" t="n">
        <f aca="false">IF(N6&gt;0,L6/N6,0)</f>
        <v>0.133023317491498</v>
      </c>
      <c r="N6" s="17" t="n">
        <f aca="false">SUMIFS(Sim_S,Sim_Idx,1,Sim_Scen,SelScen,Sim_N,SelN)-B6</f>
        <v>6.67539556036499</v>
      </c>
      <c r="O6" s="32" t="n">
        <f aca="false">SUMIFS(Sim_net,Sim_Idx,1,Sim_Scen,SelScen,Sim_N,SelN)</f>
        <v>3.51153876803295</v>
      </c>
      <c r="P6" s="33" t="n">
        <f aca="false">SUMIFS(Sim_roi,Sim_Idx,1,Sim_Scen,SelScen,Sim_N,SelN)</f>
        <v>0.394092633813027</v>
      </c>
      <c r="Q6" s="33" t="n">
        <f aca="false">SUMIFS(Sim_cagr,Sim_Idx,1,Sim_Scen,SelScen,Sim_N,SelN)</f>
        <v>0.0337824693957394</v>
      </c>
      <c r="R6" s="17" t="n">
        <f aca="false">SUMIFS(Sim_recr,Sim_Idx,1,Sim_Scen,SelScen,Sim_N,SelN)</f>
        <v>1.79259106095885</v>
      </c>
      <c r="S6" s="17" t="n">
        <f aca="false">SUMIFS(Sim_exc,Sim_Idx,1,Sim_Scen,SelScen,Sim_N,SelN)</f>
        <v>0.973505536145274</v>
      </c>
    </row>
    <row r="7" customFormat="false" ht="30" hidden="false" customHeight="true" outlineLevel="0" collapsed="false">
      <c r="A7" s="16" t="str">
        <f aca="false">INDEX(C_Name,2)</f>
        <v>e편한세상 문래 에듀플라츠 84.99㎡</v>
      </c>
      <c r="B7" s="17" t="n">
        <f aca="false">INDEX(C_Price,2)</f>
        <v>14.9</v>
      </c>
      <c r="C7" s="17" t="n">
        <f aca="false">INDEX(C_Loan,2)</f>
        <v>5.96</v>
      </c>
      <c r="D7" s="17" t="n">
        <f aca="false">INDEX(C_Equity,2)</f>
        <v>9.55004</v>
      </c>
      <c r="E7" s="31" t="str">
        <f aca="false">INDEX(단지!$Q$6:$Q$17,2)</f>
        <v>가능</v>
      </c>
      <c r="F7" s="31" t="str">
        <f aca="false">INDEX(단지!$R$6:$R$17,2)</f>
        <v>가능</v>
      </c>
      <c r="G7" s="31" t="str">
        <f aca="false">INDEX(단지!$S$6:$S$17,2)</f>
        <v>가능</v>
      </c>
      <c r="H7" s="18" t="n">
        <f aca="false">SUMIFS(Sim_acq,Sim_Idx,2,Sim_Scen,SelScen,Sim_N,SelN)</f>
        <v>0.4917</v>
      </c>
      <c r="I7" s="19" t="n">
        <f aca="false">INDEX(단지!$V$6:$V$17,2)</f>
        <v>306.8532</v>
      </c>
      <c r="J7" s="18" t="n">
        <f aca="false">SUMIFS(Sim_ptax,Sim_Idx,2,Sim_Scen,SelScen,Sim_N,SelN)</f>
        <v>0.411574216281525</v>
      </c>
      <c r="K7" s="18" t="n">
        <f aca="false">SUMIFS(Sim_ctax,Sim_Idx,2,Sim_Scen,SelScen,Sim_N,SelN)</f>
        <v>0.083521738497903</v>
      </c>
      <c r="L7" s="29" t="n">
        <f aca="false">H7+J7+K7</f>
        <v>0.986795954779429</v>
      </c>
      <c r="M7" s="10" t="n">
        <f aca="false">IF(N7&gt;0,L7/N7,0)</f>
        <v>0.137904642507948</v>
      </c>
      <c r="N7" s="17" t="n">
        <f aca="false">SUMIFS(Sim_S,Sim_Idx,2,Sim_Scen,SelScen,Sim_N,SelN)-B7</f>
        <v>7.15563984528333</v>
      </c>
      <c r="O7" s="32" t="n">
        <f aca="false">SUMIFS(Sim_net,Sim_Idx,2,Sim_Scen,SelScen,Sim_N,SelN)</f>
        <v>3.73067730151602</v>
      </c>
      <c r="P7" s="33" t="n">
        <f aca="false">SUMIFS(Sim_roi,Sim_Idx,2,Sim_Scen,SelScen,Sim_N,SelN)</f>
        <v>0.390645201644812</v>
      </c>
      <c r="Q7" s="33" t="n">
        <f aca="false">SUMIFS(Sim_cagr,Sim_Idx,2,Sim_Scen,SelScen,Sim_N,SelN)</f>
        <v>0.0335265418502195</v>
      </c>
      <c r="R7" s="17" t="n">
        <f aca="false">SUMIFS(Sim_recr,Sim_Idx,2,Sim_Scen,SelScen,Sim_N,SelN)</f>
        <v>1.79127686491015</v>
      </c>
      <c r="S7" s="17" t="n">
        <f aca="false">SUMIFS(Sim_exc,Sim_Idx,2,Sim_Scen,SelScen,Sim_N,SelN)</f>
        <v>1.01046158985009</v>
      </c>
    </row>
    <row r="8" customFormat="false" ht="30" hidden="false" customHeight="true" outlineLevel="0" collapsed="false">
      <c r="A8" s="16" t="str">
        <f aca="false">INDEX(C_Name,3)</f>
        <v>문래자이 84㎡</v>
      </c>
      <c r="B8" s="17" t="n">
        <f aca="false">INDEX(C_Price,3)</f>
        <v>19.5</v>
      </c>
      <c r="C8" s="17" t="n">
        <f aca="false">INDEX(C_Loan,3)</f>
        <v>4</v>
      </c>
      <c r="D8" s="17" t="n">
        <f aca="false">INDEX(C_Equity,3)</f>
        <v>16.31365</v>
      </c>
      <c r="E8" s="31" t="str">
        <f aca="false">INDEX(단지!$Q$6:$Q$17,3)</f>
        <v>부족 4.3억</v>
      </c>
      <c r="F8" s="31" t="str">
        <f aca="false">INDEX(단지!$R$6:$R$17,3)</f>
        <v>부족 2.3억</v>
      </c>
      <c r="G8" s="31" t="str">
        <f aca="false">INDEX(단지!$S$6:$S$17,3)</f>
        <v>부족 0.3억</v>
      </c>
      <c r="H8" s="18" t="n">
        <f aca="false">SUMIFS(Sim_acq,Sim_Idx,3,Sim_Scen,SelScen,Sim_N,SelN)</f>
        <v>0.6435</v>
      </c>
      <c r="I8" s="19" t="n">
        <f aca="false">INDEX(단지!$V$6:$V$17,3)</f>
        <v>477.306</v>
      </c>
      <c r="J8" s="18" t="n">
        <f aca="false">SUMIFS(Sim_ptax,Sim_Idx,3,Sim_Scen,SelScen,Sim_N,SelN)</f>
        <v>0.681074194754121</v>
      </c>
      <c r="K8" s="18" t="n">
        <f aca="false">SUMIFS(Sim_ctax,Sim_Idx,3,Sim_Scen,SelScen,Sim_N,SelN)</f>
        <v>0.195238951037981</v>
      </c>
      <c r="L8" s="29" t="n">
        <f aca="false">H8+J8+K8</f>
        <v>1.5198131457921</v>
      </c>
      <c r="M8" s="10" t="n">
        <f aca="false">IF(N8&gt;0,L8/N8,0)</f>
        <v>0.162290605279974</v>
      </c>
      <c r="N8" s="17" t="n">
        <f aca="false">SUMIFS(Sim_S,Sim_Idx,3,Sim_Scen,SelScen,Sim_N,SelN)-B8</f>
        <v>9.36476355590771</v>
      </c>
      <c r="O8" s="32" t="n">
        <f aca="false">SUMIFS(Sim_net,Sim_Idx,3,Sim_Scen,SelScen,Sim_N,SelN)</f>
        <v>6.00958994403767</v>
      </c>
      <c r="P8" s="33" t="n">
        <f aca="false">SUMIFS(Sim_roi,Sim_Idx,3,Sim_Scen,SelScen,Sim_N,SelN)</f>
        <v>0.368378011299597</v>
      </c>
      <c r="Q8" s="33" t="n">
        <f aca="false">SUMIFS(Sim_cagr,Sim_Idx,3,Sim_Scen,SelScen,Sim_N,SelN)</f>
        <v>0.0318595991903559</v>
      </c>
      <c r="R8" s="17" t="n">
        <f aca="false">SUMIFS(Sim_recr,Sim_Idx,3,Sim_Scen,SelScen,Sim_N,SelN)</f>
        <v>1.55059766251121</v>
      </c>
      <c r="S8" s="17" t="n">
        <f aca="false">SUMIFS(Sim_exc,Sim_Idx,3,Sim_Scen,SelScen,Sim_N,SelN)</f>
        <v>1.36284008282045</v>
      </c>
    </row>
    <row r="9" customFormat="false" ht="30" hidden="false" customHeight="true" outlineLevel="0" collapsed="false">
      <c r="A9" s="16" t="str">
        <f aca="false">INDEX(C_Name,4)</f>
        <v>신길삼성래미안 84㎡</v>
      </c>
      <c r="B9" s="17" t="n">
        <f aca="false">INDEX(C_Price,4)</f>
        <v>13</v>
      </c>
      <c r="C9" s="17" t="n">
        <f aca="false">INDEX(C_Loan,4)</f>
        <v>5.2</v>
      </c>
      <c r="D9" s="17" t="n">
        <f aca="false">INDEX(C_Equity,4)</f>
        <v>8.3348</v>
      </c>
      <c r="E9" s="31" t="str">
        <f aca="false">INDEX(단지!$Q$6:$Q$17,4)</f>
        <v>가능</v>
      </c>
      <c r="F9" s="31" t="str">
        <f aca="false">INDEX(단지!$R$6:$R$17,4)</f>
        <v>가능</v>
      </c>
      <c r="G9" s="31" t="str">
        <f aca="false">INDEX(단지!$S$6:$S$17,4)</f>
        <v>가능</v>
      </c>
      <c r="H9" s="18" t="n">
        <f aca="false">SUMIFS(Sim_acq,Sim_Idx,4,Sim_Scen,SelScen,Sim_N,SelN)</f>
        <v>0.429</v>
      </c>
      <c r="I9" s="19" t="n">
        <f aca="false">INDEX(단지!$V$6:$V$17,4)</f>
        <v>225.792</v>
      </c>
      <c r="J9" s="18" t="n">
        <f aca="false">SUMIFS(Sim_ptax,Sim_Idx,4,Sim_Scen,SelScen,Sim_N,SelN)</f>
        <v>0.325550801744133</v>
      </c>
      <c r="K9" s="18" t="n">
        <f aca="false">SUMIFS(Sim_ctax,Sim_Idx,4,Sim_Scen,SelScen,Sim_N,SelN)</f>
        <v>0.0510798196867123</v>
      </c>
      <c r="L9" s="29" t="n">
        <f aca="false">H9+J9+K9</f>
        <v>0.805630621430846</v>
      </c>
      <c r="M9" s="10" t="n">
        <f aca="false">IF(N9&gt;0,L9/N9,0)</f>
        <v>0.129041798538942</v>
      </c>
      <c r="N9" s="17" t="n">
        <f aca="false">SUMIFS(Sim_S,Sim_Idx,4,Sim_Scen,SelScen,Sim_N,SelN)-B9</f>
        <v>6.24317570393848</v>
      </c>
      <c r="O9" s="32" t="n">
        <f aca="false">SUMIFS(Sim_net,Sim_Idx,4,Sim_Scen,SelScen,Sim_N,SelN)</f>
        <v>3.30773530688062</v>
      </c>
      <c r="P9" s="33" t="n">
        <f aca="false">SUMIFS(Sim_roi,Sim_Idx,4,Sim_Scen,SelScen,Sim_N,SelN)</f>
        <v>0.396858389749078</v>
      </c>
      <c r="Q9" s="33" t="n">
        <f aca="false">SUMIFS(Sim_cagr,Sim_Idx,4,Sim_Scen,SelScen,Sim_N,SelN)</f>
        <v>0.0339873797843422</v>
      </c>
      <c r="R9" s="17" t="n">
        <f aca="false">SUMIFS(Sim_recr,Sim_Idx,4,Sim_Scen,SelScen,Sim_N,SelN)</f>
        <v>1.7933432778626</v>
      </c>
      <c r="S9" s="17" t="n">
        <f aca="false">SUMIFS(Sim_exc,Sim_Idx,4,Sim_Scen,SelScen,Sim_N,SelN)</f>
        <v>0.93366630679337</v>
      </c>
    </row>
    <row r="10" customFormat="false" ht="30" hidden="false" customHeight="true" outlineLevel="0" collapsed="false">
      <c r="A10" s="16" t="str">
        <f aca="false">INDEX(C_Name,5)</f>
        <v>신길 래미안에스티움 84㎡</v>
      </c>
      <c r="B10" s="17" t="n">
        <f aca="false">INDEX(C_Price,5)</f>
        <v>18.8</v>
      </c>
      <c r="C10" s="17" t="n">
        <f aca="false">INDEX(C_Loan,5)</f>
        <v>4</v>
      </c>
      <c r="D10" s="17" t="n">
        <f aca="false">INDEX(C_Equity,5)</f>
        <v>15.58516</v>
      </c>
      <c r="E10" s="31" t="str">
        <f aca="false">INDEX(단지!$Q$6:$Q$17,5)</f>
        <v>부족 3.6억</v>
      </c>
      <c r="F10" s="31" t="str">
        <f aca="false">INDEX(단지!$R$6:$R$17,5)</f>
        <v>부족 1.6억</v>
      </c>
      <c r="G10" s="31" t="str">
        <f aca="false">INDEX(단지!$S$6:$S$17,5)</f>
        <v>가능</v>
      </c>
      <c r="H10" s="18" t="n">
        <f aca="false">SUMIFS(Sim_acq,Sim_Idx,5,Sim_Scen,SelScen,Sim_N,SelN)</f>
        <v>0.6204</v>
      </c>
      <c r="I10" s="19" t="n">
        <f aca="false">INDEX(단지!$V$6:$V$17,5)</f>
        <v>441.9504</v>
      </c>
      <c r="J10" s="18" t="n">
        <f aca="false">SUMIFS(Sim_ptax,Sim_Idx,5,Sim_Scen,SelScen,Sim_N,SelN)</f>
        <v>0.635733007758503</v>
      </c>
      <c r="K10" s="18" t="n">
        <f aca="false">SUMIFS(Sim_ctax,Sim_Idx,5,Sim_Scen,SelScen,Sim_N,SelN)</f>
        <v>0.172185698104553</v>
      </c>
      <c r="L10" s="29" t="n">
        <f aca="false">H10+J10+K10</f>
        <v>1.42831870586306</v>
      </c>
      <c r="M10" s="10" t="n">
        <f aca="false">IF(N10&gt;0,L10/N10,0)</f>
        <v>0.158199486457091</v>
      </c>
      <c r="N10" s="17" t="n">
        <f aca="false">SUMIFS(Sim_S,Sim_Idx,5,Sim_Scen,SelScen,Sim_N,SelN)-B10</f>
        <v>9.02859255646488</v>
      </c>
      <c r="O10" s="32" t="n">
        <f aca="false">SUMIFS(Sim_net,Sim_Idx,5,Sim_Scen,SelScen,Sim_N,SelN)</f>
        <v>5.77828190121959</v>
      </c>
      <c r="P10" s="33" t="n">
        <f aca="false">SUMIFS(Sim_roi,Sim_Idx,5,Sim_Scen,SelScen,Sim_N,SelN)</f>
        <v>0.370755378912991</v>
      </c>
      <c r="Q10" s="33" t="n">
        <f aca="false">SUMIFS(Sim_cagr,Sim_Idx,5,Sim_Scen,SelScen,Sim_N,SelN)</f>
        <v>0.0320387305274303</v>
      </c>
      <c r="R10" s="17" t="n">
        <f aca="false">SUMIFS(Sim_recr,Sim_Idx,5,Sim_Scen,SelScen,Sim_N,SelN)</f>
        <v>1.55858318600594</v>
      </c>
      <c r="S10" s="17" t="n">
        <f aca="false">SUMIFS(Sim_exc,Sim_Idx,5,Sim_Scen,SelScen,Sim_N,SelN)</f>
        <v>1.33903378280046</v>
      </c>
    </row>
    <row r="11" customFormat="false" ht="30" hidden="false" customHeight="true" outlineLevel="0" collapsed="false">
      <c r="A11" s="16" t="str">
        <f aca="false">INDEX(C_Name,6)</f>
        <v>신길 보라매SK뷰 84.98㎡</v>
      </c>
      <c r="B11" s="17" t="n">
        <f aca="false">INDEX(C_Price,6)</f>
        <v>20.4</v>
      </c>
      <c r="C11" s="17" t="n">
        <f aca="false">INDEX(C_Loan,6)</f>
        <v>4</v>
      </c>
      <c r="D11" s="17" t="n">
        <f aca="false">INDEX(C_Equity,6)</f>
        <v>17.25028</v>
      </c>
      <c r="E11" s="31" t="str">
        <f aca="false">INDEX(단지!$Q$6:$Q$17,6)</f>
        <v>부족 5.3억</v>
      </c>
      <c r="F11" s="31" t="str">
        <f aca="false">INDEX(단지!$R$6:$R$17,6)</f>
        <v>부족 3.3억</v>
      </c>
      <c r="G11" s="31" t="str">
        <f aca="false">INDEX(단지!$S$6:$S$17,6)</f>
        <v>부족 1.3억</v>
      </c>
      <c r="H11" s="18" t="n">
        <f aca="false">SUMIFS(Sim_acq,Sim_Idx,6,Sim_Scen,SelScen,Sim_N,SelN)</f>
        <v>0.6732</v>
      </c>
      <c r="I11" s="19" t="n">
        <f aca="false">INDEX(단지!$V$6:$V$17,6)</f>
        <v>522.7632</v>
      </c>
      <c r="J11" s="18" t="n">
        <f aca="false">SUMIFS(Sim_ptax,Sim_Idx,6,Sim_Scen,SelScen,Sim_N,SelN)</f>
        <v>0.740636338287257</v>
      </c>
      <c r="K11" s="18" t="n">
        <f aca="false">SUMIFS(Sim_ctax,Sim_Idx,6,Sim_Scen,SelScen,Sim_N,SelN)</f>
        <v>0.224881251522617</v>
      </c>
      <c r="L11" s="29" t="n">
        <f aca="false">H11+J11+K11</f>
        <v>1.63871758980987</v>
      </c>
      <c r="M11" s="10" t="n">
        <f aca="false">IF(N11&gt;0,L11/N11,0)</f>
        <v>0.167267568070674</v>
      </c>
      <c r="N11" s="17" t="n">
        <f aca="false">SUMIFS(Sim_S,Sim_Idx,6,Sim_Scen,SelScen,Sim_N,SelN)-B11</f>
        <v>9.79698341233423</v>
      </c>
      <c r="O11" s="32" t="n">
        <f aca="false">SUMIFS(Sim_net,Sim_Idx,6,Sim_Scen,SelScen,Sim_N,SelN)</f>
        <v>6.30571726355193</v>
      </c>
      <c r="P11" s="33" t="n">
        <f aca="false">SUMIFS(Sim_roi,Sim_Idx,6,Sim_Scen,SelScen,Sim_N,SelN)</f>
        <v>0.365542893422711</v>
      </c>
      <c r="Q11" s="33" t="n">
        <f aca="false">SUMIFS(Sim_cagr,Sim_Idx,6,Sim_Scen,SelScen,Sim_N,SelN)</f>
        <v>0.0316456104617504</v>
      </c>
      <c r="R11" s="17" t="n">
        <f aca="false">SUMIFS(Sim_recr,Sim_Idx,6,Sim_Scen,SelScen,Sim_N,SelN)</f>
        <v>1.54132147536581</v>
      </c>
      <c r="S11" s="17" t="n">
        <f aca="false">SUMIFS(Sim_exc,Sim_Idx,6,Sim_Scen,SelScen,Sim_N,SelN)</f>
        <v>1.39217944730858</v>
      </c>
    </row>
    <row r="12" customFormat="false" ht="30" hidden="false" customHeight="true" outlineLevel="0" collapsed="false">
      <c r="A12" s="16" t="str">
        <f aca="false">INDEX(C_Name,7)</f>
        <v>노량진동 쌍용예가 85㎡</v>
      </c>
      <c r="B12" s="17" t="n">
        <f aca="false">INDEX(C_Price,7)</f>
        <v>14.5</v>
      </c>
      <c r="C12" s="17" t="n">
        <f aca="false">INDEX(C_Loan,7)</f>
        <v>5.8</v>
      </c>
      <c r="D12" s="17" t="n">
        <f aca="false">INDEX(C_Equity,7)</f>
        <v>9.2942</v>
      </c>
      <c r="E12" s="31" t="str">
        <f aca="false">INDEX(단지!$Q$6:$Q$17,7)</f>
        <v>가능</v>
      </c>
      <c r="F12" s="31" t="str">
        <f aca="false">INDEX(단지!$R$6:$R$17,7)</f>
        <v>가능</v>
      </c>
      <c r="G12" s="31" t="str">
        <f aca="false">INDEX(단지!$S$6:$S$17,7)</f>
        <v>가능</v>
      </c>
      <c r="H12" s="18" t="n">
        <f aca="false">SUMIFS(Sim_acq,Sim_Idx,7,Sim_Scen,SelScen,Sim_N,SelN)</f>
        <v>0.4785</v>
      </c>
      <c r="I12" s="19" t="n">
        <f aca="false">INDEX(단지!$V$6:$V$17,7)</f>
        <v>296.586</v>
      </c>
      <c r="J12" s="18" t="n">
        <f aca="false">SUMIFS(Sim_ptax,Sim_Idx,7,Sim_Scen,SelScen,Sim_N,SelN)</f>
        <v>0.39260135895519</v>
      </c>
      <c r="K12" s="18" t="n">
        <f aca="false">SUMIFS(Sim_ctax,Sim_Idx,7,Sim_Scen,SelScen,Sim_N,SelN)</f>
        <v>0.0744719040172979</v>
      </c>
      <c r="L12" s="29" t="n">
        <f aca="false">H12+J12+K12</f>
        <v>0.945573262972488</v>
      </c>
      <c r="M12" s="10" t="n">
        <f aca="false">IF(N12&gt;0,L12/N12,0)</f>
        <v>0.135789120700529</v>
      </c>
      <c r="N12" s="17" t="n">
        <f aca="false">SUMIFS(Sim_S,Sim_Idx,7,Sim_Scen,SelScen,Sim_N,SelN)-B12</f>
        <v>6.96354213131599</v>
      </c>
      <c r="O12" s="32" t="n">
        <f aca="false">SUMIFS(Sim_net,Sim_Idx,7,Sim_Scen,SelScen,Sim_N,SelN)</f>
        <v>3.64471950322107</v>
      </c>
      <c r="P12" s="33" t="n">
        <f aca="false">SUMIFS(Sim_roi,Sim_Idx,7,Sim_Scen,SelScen,Sim_N,SelN)</f>
        <v>0.392149889524765</v>
      </c>
      <c r="Q12" s="33" t="n">
        <f aca="false">SUMIFS(Sim_cagr,Sim_Idx,7,Sim_Scen,SelScen,Sim_N,SelN)</f>
        <v>0.0336383157360167</v>
      </c>
      <c r="R12" s="17" t="n">
        <f aca="false">SUMIFS(Sim_recr,Sim_Idx,7,Sim_Scen,SelScen,Sim_N,SelN)</f>
        <v>1.79190584650813</v>
      </c>
      <c r="S12" s="17" t="n">
        <f aca="false">SUMIFS(Sim_exc,Sim_Idx,7,Sim_Scen,SelScen,Sim_N,SelN)</f>
        <v>0.997376783466436</v>
      </c>
    </row>
    <row r="13" customFormat="false" ht="30" hidden="false" customHeight="true" outlineLevel="0" collapsed="false">
      <c r="A13" s="16" t="str">
        <f aca="false">INDEX(C_Name,8)</f>
        <v>본동 래미안트윈파크 (32평형)</v>
      </c>
      <c r="B13" s="17" t="n">
        <f aca="false">INDEX(C_Price,8)</f>
        <v>24.2</v>
      </c>
      <c r="C13" s="17" t="n">
        <f aca="false">INDEX(C_Loan,8)</f>
        <v>4</v>
      </c>
      <c r="D13" s="17" t="n">
        <f aca="false">INDEX(C_Equity,8)</f>
        <v>21.20494</v>
      </c>
      <c r="E13" s="31" t="str">
        <f aca="false">INDEX(단지!$Q$6:$Q$17,8)</f>
        <v>부족 9.2억</v>
      </c>
      <c r="F13" s="31" t="str">
        <f aca="false">INDEX(단지!$R$6:$R$17,8)</f>
        <v>부족 7.2억</v>
      </c>
      <c r="G13" s="31" t="str">
        <f aca="false">INDEX(단지!$S$6:$S$17,8)</f>
        <v>부족 5.2억</v>
      </c>
      <c r="H13" s="18" t="n">
        <f aca="false">SUMIFS(Sim_acq,Sim_Idx,8,Sim_Scen,SelScen,Sim_N,SelN)</f>
        <v>0.7986</v>
      </c>
      <c r="I13" s="19" t="n">
        <f aca="false">INDEX(단지!$V$6:$V$17,8)</f>
        <v>714.6936</v>
      </c>
      <c r="J13" s="18" t="n">
        <f aca="false">SUMIFS(Sim_ptax,Sim_Idx,8,Sim_Scen,SelScen,Sim_N,SelN)</f>
        <v>1.00987862179362</v>
      </c>
      <c r="K13" s="18" t="n">
        <f aca="false">SUMIFS(Sim_ctax,Sim_Idx,8,Sim_Scen,SelScen,Sim_N,SelN)</f>
        <v>0.350060793017384</v>
      </c>
      <c r="L13" s="29" t="n">
        <f aca="false">H13+J13+K13</f>
        <v>2.15853941481101</v>
      </c>
      <c r="M13" s="10" t="n">
        <f aca="false">IF(N13&gt;0,L13/N13,0)</f>
        <v>0.185730151067592</v>
      </c>
      <c r="N13" s="17" t="n">
        <f aca="false">SUMIFS(Sim_S,Sim_Idx,8,Sim_Scen,SelScen,Sim_N,SelN)-B13</f>
        <v>11.6219116950239</v>
      </c>
      <c r="O13" s="32" t="n">
        <f aca="false">SUMIFS(Sim_net,Sim_Idx,8,Sim_Scen,SelScen,Sim_N,SelN)</f>
        <v>7.53825177346379</v>
      </c>
      <c r="P13" s="33" t="n">
        <f aca="false">SUMIFS(Sim_roi,Sim_Idx,8,Sim_Scen,SelScen,Sim_N,SelN)</f>
        <v>0.355495076782287</v>
      </c>
      <c r="Q13" s="33" t="n">
        <f aca="false">SUMIFS(Sim_cagr,Sim_Idx,8,Sim_Scen,SelScen,Sim_N,SelN)</f>
        <v>0.0308839888780128</v>
      </c>
      <c r="R13" s="17" t="n">
        <f aca="false">SUMIFS(Sim_recr,Sim_Idx,8,Sim_Scen,SelScen,Sim_N,SelN)</f>
        <v>1.51118861046019</v>
      </c>
      <c r="S13" s="17" t="n">
        <f aca="false">SUMIFS(Sim_exc,Sim_Idx,8,Sim_Scen,SelScen,Sim_N,SelN)</f>
        <v>1.49827592488793</v>
      </c>
    </row>
    <row r="14" customFormat="false" ht="30" hidden="false" customHeight="true" outlineLevel="0" collapsed="false">
      <c r="A14" s="16" t="str">
        <f aca="false">INDEX(C_Name,9)</f>
        <v>흑석한강푸르지오 84.98㎡</v>
      </c>
      <c r="B14" s="17" t="n">
        <f aca="false">INDEX(C_Price,9)</f>
        <v>20</v>
      </c>
      <c r="C14" s="17" t="n">
        <f aca="false">INDEX(C_Loan,9)</f>
        <v>4</v>
      </c>
      <c r="D14" s="17" t="n">
        <f aca="false">INDEX(C_Equity,9)</f>
        <v>16.834</v>
      </c>
      <c r="E14" s="31" t="str">
        <f aca="false">INDEX(단지!$Q$6:$Q$17,9)</f>
        <v>부족 4.8억</v>
      </c>
      <c r="F14" s="31" t="str">
        <f aca="false">INDEX(단지!$R$6:$R$17,9)</f>
        <v>부족 2.8억</v>
      </c>
      <c r="G14" s="31" t="str">
        <f aca="false">INDEX(단지!$S$6:$S$17,9)</f>
        <v>부족 0.8억</v>
      </c>
      <c r="H14" s="18" t="n">
        <f aca="false">SUMIFS(Sim_acq,Sim_Idx,9,Sim_Scen,SelScen,Sim_N,SelN)</f>
        <v>0.66</v>
      </c>
      <c r="I14" s="19" t="n">
        <f aca="false">INDEX(단지!$V$6:$V$17,9)</f>
        <v>502.56</v>
      </c>
      <c r="J14" s="18" t="n">
        <f aca="false">SUMIFS(Sim_ptax,Sim_Idx,9,Sim_Scen,SelScen,Sim_N,SelN)</f>
        <v>0.714063789491406</v>
      </c>
      <c r="K14" s="18" t="n">
        <f aca="false">SUMIFS(Sim_ctax,Sim_Idx,9,Sim_Scen,SelScen,Sim_N,SelN)</f>
        <v>0.211706581914919</v>
      </c>
      <c r="L14" s="29" t="n">
        <f aca="false">H14+J14+K14</f>
        <v>1.58577037140633</v>
      </c>
      <c r="M14" s="10" t="n">
        <f aca="false">IF(N14&gt;0,L14/N14,0)</f>
        <v>0.16510038965648</v>
      </c>
      <c r="N14" s="17" t="n">
        <f aca="false">SUMIFS(Sim_S,Sim_Idx,9,Sim_Scen,SelScen,Sim_N,SelN)-B14</f>
        <v>9.60488569836689</v>
      </c>
      <c r="O14" s="32" t="n">
        <f aca="false">SUMIFS(Sim_net,Sim_Idx,9,Sim_Scen,SelScen,Sim_N,SelN)</f>
        <v>6.17420592038569</v>
      </c>
      <c r="P14" s="33" t="n">
        <f aca="false">SUMIFS(Sim_roi,Sim_Idx,9,Sim_Scen,SelScen,Sim_N,SelN)</f>
        <v>0.366769984577978</v>
      </c>
      <c r="Q14" s="33" t="n">
        <f aca="false">SUMIFS(Sim_cagr,Sim_Idx,9,Sim_Scen,SelScen,Sim_N,SelN)</f>
        <v>0.0317382777513591</v>
      </c>
      <c r="R14" s="17" t="n">
        <f aca="false">SUMIFS(Sim_recr,Sim_Idx,9,Sim_Scen,SelScen,Sim_N,SelN)</f>
        <v>1.54531680694495</v>
      </c>
      <c r="S14" s="17" t="n">
        <f aca="false">SUMIFS(Sim_exc,Sim_Idx,9,Sim_Scen,SelScen,Sim_N,SelN)</f>
        <v>1.37924052859839</v>
      </c>
    </row>
    <row r="15" customFormat="false" ht="30" hidden="false" customHeight="true" outlineLevel="0" collapsed="false">
      <c r="A15" s="16" t="str">
        <f aca="false">INDEX(C_Name,10)</f>
        <v>흑석리버파크자이 85㎡</v>
      </c>
      <c r="B15" s="17" t="n">
        <f aca="false">INDEX(C_Price,10)</f>
        <v>23.07</v>
      </c>
      <c r="C15" s="17" t="n">
        <f aca="false">INDEX(C_Loan,10)</f>
        <v>4</v>
      </c>
      <c r="D15" s="17" t="n">
        <f aca="false">INDEX(C_Equity,10)</f>
        <v>20.028949</v>
      </c>
      <c r="E15" s="31" t="str">
        <f aca="false">INDEX(단지!$Q$6:$Q$17,10)</f>
        <v>부족 8.0억</v>
      </c>
      <c r="F15" s="31" t="str">
        <f aca="false">INDEX(단지!$R$6:$R$17,10)</f>
        <v>부족 6.0억</v>
      </c>
      <c r="G15" s="31" t="str">
        <f aca="false">INDEX(단지!$S$6:$S$17,10)</f>
        <v>부족 4.0억</v>
      </c>
      <c r="H15" s="18" t="n">
        <f aca="false">SUMIFS(Sim_acq,Sim_Idx,10,Sim_Scen,SelScen,Sim_N,SelN)</f>
        <v>0.76131</v>
      </c>
      <c r="I15" s="19" t="n">
        <f aca="false">INDEX(단지!$V$6:$V$17,10)</f>
        <v>657.61956</v>
      </c>
      <c r="J15" s="18" t="n">
        <f aca="false">SUMIFS(Sim_ptax,Sim_Idx,10,Sim_Scen,SelScen,Sim_N,SelN)</f>
        <v>0.925400183009958</v>
      </c>
      <c r="K15" s="18" t="n">
        <f aca="false">SUMIFS(Sim_ctax,Sim_Idx,10,Sim_Scen,SelScen,Sim_N,SelN)</f>
        <v>0.312833043179266</v>
      </c>
      <c r="L15" s="29" t="n">
        <f aca="false">H15+J15+K15</f>
        <v>1.99954322618922</v>
      </c>
      <c r="M15" s="10" t="n">
        <f aca="false">IF(N15&gt;0,L15/N15,0)</f>
        <v>0.180476640158461</v>
      </c>
      <c r="N15" s="17" t="n">
        <f aca="false">SUMIFS(Sim_S,Sim_Idx,10,Sim_Scen,SelScen,Sim_N,SelN)-B15</f>
        <v>11.0792356530662</v>
      </c>
      <c r="O15" s="32" t="n">
        <f aca="false">SUMIFS(Sim_net,Sim_Idx,10,Sim_Scen,SelScen,Sim_N,SelN)</f>
        <v>7.17615252565092</v>
      </c>
      <c r="P15" s="33" t="n">
        <f aca="false">SUMIFS(Sim_roi,Sim_Idx,10,Sim_Scen,SelScen,Sim_N,SelN)</f>
        <v>0.358289020839332</v>
      </c>
      <c r="Q15" s="33" t="n">
        <f aca="false">SUMIFS(Sim_cagr,Sim_Idx,10,Sim_Scen,SelScen,Sim_N,SelN)</f>
        <v>0.0310962776717914</v>
      </c>
      <c r="R15" s="17" t="n">
        <f aca="false">SUMIFS(Sim_recr,Sim_Idx,10,Sim_Scen,SelScen,Sim_N,SelN)</f>
        <v>1.51890621554307</v>
      </c>
      <c r="S15" s="17" t="n">
        <f aca="false">SUMIFS(Sim_exc,Sim_Idx,10,Sim_Scen,SelScen,Sim_N,SelN)</f>
        <v>1.47114377616341</v>
      </c>
    </row>
    <row r="16" customFormat="false" ht="30" hidden="false" customHeight="true" outlineLevel="0" collapsed="false">
      <c r="A16" s="16" t="str">
        <f aca="false">INDEX(C_Name,11)</f>
        <v>흑석 아크로리버하임 84.75㎡</v>
      </c>
      <c r="B16" s="17" t="n">
        <f aca="false">INDEX(C_Price,11)</f>
        <v>28.75</v>
      </c>
      <c r="C16" s="17" t="n">
        <f aca="false">INDEX(C_Loan,11)</f>
        <v>2</v>
      </c>
      <c r="D16" s="17" t="n">
        <f aca="false">INDEX(C_Equity,11)</f>
        <v>27.940125</v>
      </c>
      <c r="E16" s="31" t="str">
        <f aca="false">INDEX(단지!$Q$6:$Q$17,11)</f>
        <v>부족 15.9억</v>
      </c>
      <c r="F16" s="31" t="str">
        <f aca="false">INDEX(단지!$R$6:$R$17,11)</f>
        <v>부족 13.9억</v>
      </c>
      <c r="G16" s="31" t="str">
        <f aca="false">INDEX(단지!$S$6:$S$17,11)</f>
        <v>부족 11.9억</v>
      </c>
      <c r="H16" s="18" t="n">
        <f aca="false">SUMIFS(Sim_acq,Sim_Idx,11,Sim_Scen,SelScen,Sim_N,SelN)</f>
        <v>0.94875</v>
      </c>
      <c r="I16" s="19" t="n">
        <f aca="false">INDEX(단지!$V$6:$V$17,11)</f>
        <v>985.365</v>
      </c>
      <c r="J16" s="18" t="n">
        <f aca="false">SUMIFS(Sim_ptax,Sim_Idx,11,Sim_Scen,SelScen,Sim_N,SelN)</f>
        <v>1.38203152016447</v>
      </c>
      <c r="K16" s="18" t="n">
        <f aca="false">SUMIFS(Sim_ctax,Sim_Idx,11,Sim_Scen,SelScen,Sim_N,SelN)</f>
        <v>0.507893404694316</v>
      </c>
      <c r="L16" s="29" t="n">
        <f aca="false">H16+J16+K16</f>
        <v>2.83867492485878</v>
      </c>
      <c r="M16" s="10" t="n">
        <f aca="false">IF(N16&gt;0,L16/N16,0)</f>
        <v>0.205596447945885</v>
      </c>
      <c r="N16" s="17" t="n">
        <f aca="false">SUMIFS(Sim_S,Sim_Idx,11,Sim_Scen,SelScen,Sim_N,SelN)-B16</f>
        <v>13.8070231914024</v>
      </c>
      <c r="O16" s="32" t="n">
        <f aca="false">SUMIFS(Sim_net,Sim_Idx,11,Sim_Scen,SelScen,Sim_N,SelN)</f>
        <v>9.67780829462109</v>
      </c>
      <c r="P16" s="33" t="n">
        <f aca="false">SUMIFS(Sim_roi,Sim_Idx,11,Sim_Scen,SelScen,Sim_N,SelN)</f>
        <v>0.346376699983307</v>
      </c>
      <c r="Q16" s="33" t="n">
        <f aca="false">SUMIFS(Sim_cagr,Sim_Idx,11,Sim_Scen,SelScen,Sim_N,SelN)</f>
        <v>0.0301884079284342</v>
      </c>
      <c r="R16" s="17" t="n">
        <f aca="false">SUMIFS(Sim_recr,Sim_Idx,11,Sim_Scen,SelScen,Sim_N,SelN)</f>
        <v>1.43684974651698</v>
      </c>
      <c r="S16" s="17" t="n">
        <f aca="false">SUMIFS(Sim_exc,Sim_Idx,11,Sim_Scen,SelScen,Sim_N,SelN)</f>
        <v>1.71939482086494</v>
      </c>
    </row>
    <row r="17" customFormat="false" ht="30" hidden="false" customHeight="true" outlineLevel="0" collapsed="false">
      <c r="A17" s="16" t="str">
        <f aca="false">INDEX(C_Name,12)</f>
        <v>예시 행: 직접 입력 (비교 시트 제외)</v>
      </c>
      <c r="B17" s="17" t="n">
        <f aca="false">INDEX(C_Price,12)</f>
        <v>14</v>
      </c>
      <c r="C17" s="17" t="n">
        <f aca="false">INDEX(C_Loan,12)</f>
        <v>5.6</v>
      </c>
      <c r="D17" s="17" t="n">
        <f aca="false">INDEX(C_Equity,12)</f>
        <v>8.9744</v>
      </c>
      <c r="E17" s="31" t="str">
        <f aca="false">INDEX(단지!$Q$6:$Q$17,12)</f>
        <v>가능</v>
      </c>
      <c r="F17" s="31" t="str">
        <f aca="false">INDEX(단지!$R$6:$R$17,12)</f>
        <v>가능</v>
      </c>
      <c r="G17" s="31" t="str">
        <f aca="false">INDEX(단지!$S$6:$S$17,12)</f>
        <v>가능</v>
      </c>
      <c r="H17" s="18" t="n">
        <f aca="false">SUMIFS(Sim_acq,Sim_Idx,12,Sim_Scen,SelScen,Sim_N,SelN)</f>
        <v>0.462</v>
      </c>
      <c r="I17" s="19" t="n">
        <f aca="false">INDEX(단지!$V$6:$V$17,12)</f>
        <v>283.752</v>
      </c>
      <c r="J17" s="18" t="n">
        <f aca="false">SUMIFS(Sim_ptax,Sim_Idx,12,Sim_Scen,SelScen,Sim_N,SelN)</f>
        <v>0.369897887312528</v>
      </c>
      <c r="K17" s="18" t="n">
        <f aca="false">SUMIFS(Sim_ctax,Sim_Idx,12,Sim_Scen,SelScen,Sim_N,SelN)</f>
        <v>0.0652155528392029</v>
      </c>
      <c r="L17" s="29" t="n">
        <f aca="false">H17+J17+K17</f>
        <v>0.897113440151731</v>
      </c>
      <c r="M17" s="10" t="n">
        <f aca="false">IF(N17&gt;0,L17/N17,0)</f>
        <v>0.133431117145527</v>
      </c>
      <c r="N17" s="17" t="n">
        <f aca="false">SUMIFS(Sim_S,Sim_Idx,12,Sim_Scen,SelScen,Sim_N,SelN)-B17</f>
        <v>6.72341998885682</v>
      </c>
      <c r="O17" s="32" t="n">
        <f aca="false">SUMIFS(Sim_net,Sim_Idx,12,Sim_Scen,SelScen,Sim_N,SelN)</f>
        <v>3.53420371341446</v>
      </c>
      <c r="P17" s="33" t="n">
        <f aca="false">SUMIFS(Sim_roi,Sim_Idx,12,Sim_Scen,SelScen,Sim_N,SelN)</f>
        <v>0.39380947065146</v>
      </c>
      <c r="Q17" s="33" t="n">
        <f aca="false">SUMIFS(Sim_cagr,Sim_Idx,12,Sim_Scen,SelScen,Sim_N,SelN)</f>
        <v>0.0337614696526167</v>
      </c>
      <c r="R17" s="17" t="n">
        <f aca="false">SUMIFS(Sim_recr,Sim_Idx,12,Sim_Scen,SelScen,Sim_N,SelN)</f>
        <v>1.79251341440708</v>
      </c>
      <c r="S17" s="17" t="n">
        <f aca="false">SUMIFS(Sim_exc,Sim_Idx,12,Sim_Scen,SelScen,Sim_N,SelN)</f>
        <v>0.97795223354896</v>
      </c>
    </row>
    <row r="20" customFormat="false" ht="15" hidden="false" customHeight="false" outlineLevel="0" collapsed="false">
      <c r="A20" s="12" t="s">
        <v>101</v>
      </c>
    </row>
    <row r="21" customFormat="false" ht="42" hidden="false" customHeight="true" outlineLevel="0" collapsed="false">
      <c r="A21" s="13" t="s">
        <v>58</v>
      </c>
      <c r="B21" s="13" t="s">
        <v>102</v>
      </c>
      <c r="C21" s="13" t="s">
        <v>103</v>
      </c>
      <c r="D21" s="13" t="s">
        <v>104</v>
      </c>
    </row>
    <row r="22" customFormat="false" ht="15" hidden="false" customHeight="false" outlineLevel="0" collapsed="false">
      <c r="A22" s="16" t="str">
        <f aca="false">INDEX(C_Name,1)</f>
        <v>문래건영아파트 84㎡</v>
      </c>
      <c r="B22" s="17" t="n">
        <f aca="false">SUMIFS(Sim_net,Sim_Idx,1,Sim_Scen,1,Sim_N,SelN)</f>
        <v>0.0149659753711292</v>
      </c>
      <c r="C22" s="17" t="n">
        <f aca="false">SUMIFS(Sim_net,Sim_Idx,1,Sim_Scen,2,Sim_N,SelN)</f>
        <v>3.51153876803295</v>
      </c>
      <c r="D22" s="17" t="n">
        <f aca="false">SUMIFS(Sim_net,Sim_Idx,1,Sim_Scen,3,Sim_N,SelN)</f>
        <v>7.55689576491474</v>
      </c>
    </row>
    <row r="23" customFormat="false" ht="15" hidden="false" customHeight="false" outlineLevel="0" collapsed="false">
      <c r="A23" s="16" t="str">
        <f aca="false">INDEX(C_Name,2)</f>
        <v>e편한세상 문래 에듀플라츠 84.99㎡</v>
      </c>
      <c r="B23" s="17" t="n">
        <f aca="false">SUMIFS(Sim_net,Sim_Idx,2,Sim_Scen,1,Sim_N,SelN)</f>
        <v>0.00859504064616888</v>
      </c>
      <c r="C23" s="17" t="n">
        <f aca="false">SUMIFS(Sim_net,Sim_Idx,2,Sim_Scen,2,Sim_N,SelN)</f>
        <v>3.73067730151602</v>
      </c>
      <c r="D23" s="17" t="n">
        <f aca="false">SUMIFS(Sim_net,Sim_Idx,2,Sim_Scen,3,Sim_N,SelN)</f>
        <v>8.03620375239704</v>
      </c>
    </row>
    <row r="24" customFormat="false" ht="15" hidden="false" customHeight="false" outlineLevel="0" collapsed="false">
      <c r="A24" s="16" t="str">
        <f aca="false">INDEX(C_Name,3)</f>
        <v>문래자이 84㎡</v>
      </c>
      <c r="B24" s="17" t="n">
        <f aca="false">SUMIFS(Sim_net,Sim_Idx,3,Sim_Scen,1,Sim_N,SelN)</f>
        <v>1.22440336508956</v>
      </c>
      <c r="C24" s="17" t="n">
        <f aca="false">SUMIFS(Sim_net,Sim_Idx,3,Sim_Scen,2,Sim_N,SelN)</f>
        <v>6.00958994403767</v>
      </c>
      <c r="D24" s="17" t="n">
        <f aca="false">SUMIFS(Sim_net,Sim_Idx,3,Sim_Scen,3,Sim_N,SelN)</f>
        <v>11.5230770823727</v>
      </c>
    </row>
    <row r="25" customFormat="false" ht="15" hidden="false" customHeight="false" outlineLevel="0" collapsed="false">
      <c r="A25" s="16" t="str">
        <f aca="false">INDEX(C_Name,4)</f>
        <v>신길삼성래미안 84㎡</v>
      </c>
      <c r="B25" s="17" t="n">
        <f aca="false">SUMIFS(Sim_net,Sim_Idx,4,Sim_Scen,1,Sim_N,SelN)</f>
        <v>0.0223554119816972</v>
      </c>
      <c r="C25" s="17" t="n">
        <f aca="false">SUMIFS(Sim_net,Sim_Idx,4,Sim_Scen,2,Sim_N,SelN)</f>
        <v>3.30773530688062</v>
      </c>
      <c r="D25" s="17" t="n">
        <f aca="false">SUMIFS(Sim_net,Sim_Idx,4,Sim_Scen,3,Sim_N,SelN)</f>
        <v>7.12503694634043</v>
      </c>
    </row>
    <row r="26" customFormat="false" ht="15" hidden="false" customHeight="false" outlineLevel="0" collapsed="false">
      <c r="A26" s="16" t="str">
        <f aca="false">INDEX(C_Name,5)</f>
        <v>신길 래미안에스티움 84㎡</v>
      </c>
      <c r="B26" s="17" t="n">
        <f aca="false">SUMIFS(Sim_net,Sim_Idx,5,Sim_Scen,1,Sim_N,SelN)</f>
        <v>1.14877041923731</v>
      </c>
      <c r="C26" s="17" t="n">
        <f aca="false">SUMIFS(Sim_net,Sim_Idx,5,Sim_Scen,2,Sim_N,SelN)</f>
        <v>5.77828190121959</v>
      </c>
      <c r="D26" s="17" t="n">
        <f aca="false">SUMIFS(Sim_net,Sim_Idx,5,Sim_Scen,3,Sim_N,SelN)</f>
        <v>11.1041259273591</v>
      </c>
    </row>
    <row r="27" customFormat="false" ht="15" hidden="false" customHeight="false" outlineLevel="0" collapsed="false">
      <c r="A27" s="16" t="str">
        <f aca="false">INDEX(C_Name,6)</f>
        <v>신길 보라매SK뷰 84.98㎡</v>
      </c>
      <c r="B27" s="17" t="n">
        <f aca="false">SUMIFS(Sim_net,Sim_Idx,6,Sim_Scen,1,Sim_N,SelN)</f>
        <v>1.32164447302511</v>
      </c>
      <c r="C27" s="17" t="n">
        <f aca="false">SUMIFS(Sim_net,Sim_Idx,6,Sim_Scen,2,Sim_N,SelN)</f>
        <v>6.30571726355193</v>
      </c>
      <c r="D27" s="17" t="n">
        <f aca="false">SUMIFS(Sim_net,Sim_Idx,6,Sim_Scen,3,Sim_N,SelN)</f>
        <v>12.0594435980447</v>
      </c>
    </row>
    <row r="28" customFormat="false" ht="15" hidden="false" customHeight="false" outlineLevel="0" collapsed="false">
      <c r="A28" s="16" t="str">
        <f aca="false">INDEX(C_Name,7)</f>
        <v>노량진동 쌍용예가 85㎡</v>
      </c>
      <c r="B28" s="17" t="n">
        <f aca="false">SUMIFS(Sim_net,Sim_Idx,7,Sim_Scen,1,Sim_N,SelN)</f>
        <v>0.0121915916091838</v>
      </c>
      <c r="C28" s="17" t="n">
        <f aca="false">SUMIFS(Sim_net,Sim_Idx,7,Sim_Scen,2,Sim_N,SelN)</f>
        <v>3.64471950322107</v>
      </c>
      <c r="D28" s="17" t="n">
        <f aca="false">SUMIFS(Sim_net,Sim_Idx,7,Sim_Scen,3,Sim_N,SelN)</f>
        <v>7.84532950342089</v>
      </c>
    </row>
    <row r="29" customFormat="false" ht="15" hidden="false" customHeight="false" outlineLevel="0" collapsed="false">
      <c r="A29" s="16" t="str">
        <f aca="false">INDEX(C_Name,8)</f>
        <v>본동 래미안트윈파크 (32평형)</v>
      </c>
      <c r="B29" s="17" t="n">
        <f aca="false">SUMIFS(Sim_net,Sim_Idx,8,Sim_Scen,1,Sim_N,SelN)</f>
        <v>1.7132837506369</v>
      </c>
      <c r="C29" s="17" t="n">
        <f aca="false">SUMIFS(Sim_net,Sim_Idx,8,Sim_Scen,2,Sim_N,SelN)</f>
        <v>7.53825177346379</v>
      </c>
      <c r="D29" s="17" t="n">
        <f aca="false">SUMIFS(Sim_net,Sim_Idx,8,Sim_Scen,3,Sim_N,SelN)</f>
        <v>14.3001357021432</v>
      </c>
    </row>
    <row r="30" customFormat="false" ht="15" hidden="false" customHeight="false" outlineLevel="0" collapsed="false">
      <c r="A30" s="16" t="str">
        <f aca="false">INDEX(C_Name,9)</f>
        <v>흑석한강푸르지오 84.98㎡</v>
      </c>
      <c r="B30" s="17" t="n">
        <f aca="false">SUMIFS(Sim_net,Sim_Idx,9,Sim_Scen,1,Sim_N,SelN)</f>
        <v>1.2784263661588</v>
      </c>
      <c r="C30" s="17" t="n">
        <f aca="false">SUMIFS(Sim_net,Sim_Idx,9,Sim_Scen,2,Sim_N,SelN)</f>
        <v>6.17420592038569</v>
      </c>
      <c r="D30" s="17" t="n">
        <f aca="false">SUMIFS(Sim_net,Sim_Idx,9,Sim_Scen,3,Sim_N,SelN)</f>
        <v>11.8215893266066</v>
      </c>
    </row>
    <row r="31" customFormat="false" ht="15" hidden="false" customHeight="false" outlineLevel="0" collapsed="false">
      <c r="A31" s="16" t="str">
        <f aca="false">INDEX(C_Name,10)</f>
        <v>흑석리버파크자이 85㎡</v>
      </c>
      <c r="B31" s="17" t="n">
        <f aca="false">SUMIFS(Sim_net,Sim_Idx,10,Sim_Scen,1,Sim_N,SelN)</f>
        <v>1.60048326865074</v>
      </c>
      <c r="C31" s="17" t="n">
        <f aca="false">SUMIFS(Sim_net,Sim_Idx,10,Sim_Scen,2,Sim_N,SelN)</f>
        <v>7.17615252565092</v>
      </c>
      <c r="D31" s="17" t="n">
        <f aca="false">SUMIFS(Sim_net,Sim_Idx,10,Sim_Scen,3,Sim_N,SelN)</f>
        <v>13.6375102570523</v>
      </c>
    </row>
    <row r="32" customFormat="false" ht="15" hidden="false" customHeight="false" outlineLevel="0" collapsed="false">
      <c r="A32" s="16" t="str">
        <f aca="false">INDEX(C_Name,11)</f>
        <v>흑석 아크로리버하임 84.75㎡</v>
      </c>
      <c r="B32" s="17" t="n">
        <f aca="false">SUMIFS(Sim_net,Sim_Idx,11,Sim_Scen,1,Sim_N,SelN)</f>
        <v>2.85746735713554</v>
      </c>
      <c r="C32" s="17" t="n">
        <f aca="false">SUMIFS(Sim_net,Sim_Idx,11,Sim_Scen,2,Sim_N,SelN)</f>
        <v>9.67780829462109</v>
      </c>
      <c r="D32" s="17" t="n">
        <f aca="false">SUMIFS(Sim_net,Sim_Idx,11,Sim_Scen,3,Sim_N,SelN)</f>
        <v>17.659989819577</v>
      </c>
    </row>
    <row r="33" customFormat="false" ht="15" hidden="false" customHeight="false" outlineLevel="0" collapsed="false">
      <c r="A33" s="16" t="str">
        <f aca="false">INDEX(C_Name,12)</f>
        <v>예시 행: 직접 입력 (비교 시트 제외)</v>
      </c>
      <c r="B33" s="17" t="n">
        <f aca="false">SUMIFS(Sim_net,Sim_Idx,12,Sim_Scen,1,Sim_N,SelN)</f>
        <v>0.0145036241288477</v>
      </c>
      <c r="C33" s="17" t="n">
        <f aca="false">SUMIFS(Sim_net,Sim_Idx,12,Sim_Scen,2,Sim_N,SelN)</f>
        <v>3.53420371341446</v>
      </c>
      <c r="D33" s="17" t="n">
        <f aca="false">SUMIFS(Sim_net,Sim_Idx,12,Sim_Scen,3,Sim_N,SelN)</f>
        <v>7.60496823751893</v>
      </c>
    </row>
    <row r="36" customFormat="false" ht="15" hidden="false" customHeight="false" outlineLevel="0" collapsed="false">
      <c r="A36" s="12" t="s">
        <v>105</v>
      </c>
    </row>
    <row r="37" customFormat="false" ht="42" hidden="false" customHeight="true" outlineLevel="0" collapsed="false">
      <c r="A37" s="13" t="s">
        <v>58</v>
      </c>
      <c r="B37" s="14" t="s">
        <v>106</v>
      </c>
      <c r="C37" s="14" t="s">
        <v>107</v>
      </c>
      <c r="D37" s="14" t="s">
        <v>108</v>
      </c>
      <c r="E37" s="14" t="s">
        <v>109</v>
      </c>
    </row>
    <row r="38" customFormat="false" ht="15" hidden="false" customHeight="false" outlineLevel="0" collapsed="false">
      <c r="A38" s="16" t="str">
        <f aca="false">INDEX(C_Name,1)</f>
        <v>문래건영아파트 84㎡</v>
      </c>
      <c r="B38" s="17" t="n">
        <f aca="false">SUMIFS(Sim_net,Sim_Idx,1,Sim_Scen,SelScen,Sim_N,3)</f>
        <v>0.293879022884689</v>
      </c>
      <c r="C38" s="17" t="n">
        <f aca="false">SUMIFS(Sim_net,Sim_Idx,1,Sim_Scen,SelScen,Sim_N,5)</f>
        <v>1.04537621070317</v>
      </c>
      <c r="D38" s="17" t="n">
        <f aca="false">SUMIFS(Sim_net,Sim_Idx,1,Sim_Scen,SelScen,Sim_N,7)</f>
        <v>1.91909560176036</v>
      </c>
      <c r="E38" s="17" t="n">
        <f aca="false">SUMIFS(Sim_net,Sim_Idx,1,Sim_Scen,SelScen,Sim_N,10)</f>
        <v>3.51153876803295</v>
      </c>
    </row>
    <row r="39" customFormat="false" ht="15" hidden="false" customHeight="false" outlineLevel="0" collapsed="false">
      <c r="A39" s="16" t="str">
        <f aca="false">INDEX(C_Name,2)</f>
        <v>e편한세상 문래 에듀플라츠 84.99㎡</v>
      </c>
      <c r="B39" s="17" t="n">
        <f aca="false">SUMIFS(Sim_net,Sim_Idx,2,Sim_Scen,SelScen,Sim_N,3)</f>
        <v>0.306249566616319</v>
      </c>
      <c r="C39" s="17" t="n">
        <f aca="false">SUMIFS(Sim_net,Sim_Idx,2,Sim_Scen,SelScen,Sim_N,5)</f>
        <v>1.10618371847238</v>
      </c>
      <c r="D39" s="17" t="n">
        <f aca="false">SUMIFS(Sim_net,Sim_Idx,2,Sim_Scen,SelScen,Sim_N,7)</f>
        <v>2.02448088312014</v>
      </c>
      <c r="E39" s="17" t="n">
        <f aca="false">SUMIFS(Sim_net,Sim_Idx,2,Sim_Scen,SelScen,Sim_N,10)</f>
        <v>3.73067730151602</v>
      </c>
    </row>
    <row r="40" customFormat="false" ht="15" hidden="false" customHeight="false" outlineLevel="0" collapsed="false">
      <c r="A40" s="16" t="str">
        <f aca="false">INDEX(C_Name,3)</f>
        <v>문래자이 84㎡</v>
      </c>
      <c r="B40" s="17" t="n">
        <f aca="false">SUMIFS(Sim_net,Sim_Idx,3,Sim_Scen,SelScen,Sim_N,3)</f>
        <v>0.765203340302286</v>
      </c>
      <c r="C40" s="17" t="n">
        <f aca="false">SUMIFS(Sim_net,Sim_Idx,3,Sim_Scen,SelScen,Sim_N,5)</f>
        <v>1.99595811456436</v>
      </c>
      <c r="D40" s="17" t="n">
        <f aca="false">SUMIFS(Sim_net,Sim_Idx,3,Sim_Scen,SelScen,Sim_N,7)</f>
        <v>3.39539623536291</v>
      </c>
      <c r="E40" s="17" t="n">
        <f aca="false">SUMIFS(Sim_net,Sim_Idx,3,Sim_Scen,SelScen,Sim_N,10)</f>
        <v>6.00958994403767</v>
      </c>
    </row>
    <row r="41" customFormat="false" ht="15" hidden="false" customHeight="false" outlineLevel="0" collapsed="false">
      <c r="A41" s="16" t="str">
        <f aca="false">INDEX(C_Name,4)</f>
        <v>신길삼성래미안 84㎡</v>
      </c>
      <c r="B41" s="17" t="n">
        <f aca="false">SUMIFS(Sim_net,Sim_Idx,4,Sim_Scen,SelScen,Sim_N,3)</f>
        <v>0.29873452388991</v>
      </c>
      <c r="C41" s="17" t="n">
        <f aca="false">SUMIFS(Sim_net,Sim_Idx,4,Sim_Scen,SelScen,Sim_N,5)</f>
        <v>0.993777747205699</v>
      </c>
      <c r="D41" s="17" t="n">
        <f aca="false">SUMIFS(Sim_net,Sim_Idx,4,Sim_Scen,SelScen,Sim_N,7)</f>
        <v>1.81615593465286</v>
      </c>
      <c r="E41" s="17" t="n">
        <f aca="false">SUMIFS(Sim_net,Sim_Idx,4,Sim_Scen,SelScen,Sim_N,10)</f>
        <v>3.30773530688062</v>
      </c>
    </row>
    <row r="42" customFormat="false" ht="15" hidden="false" customHeight="false" outlineLevel="0" collapsed="false">
      <c r="A42" s="16" t="str">
        <f aca="false">INDEX(C_Name,5)</f>
        <v>신길 래미안에스티움 84㎡</v>
      </c>
      <c r="B42" s="17" t="n">
        <f aca="false">SUMIFS(Sim_net,Sim_Idx,5,Sim_Scen,SelScen,Sim_N,3)</f>
        <v>0.729964687488087</v>
      </c>
      <c r="C42" s="17" t="n">
        <f aca="false">SUMIFS(Sim_net,Sim_Idx,5,Sim_Scen,SelScen,Sim_N,5)</f>
        <v>1.92323606436351</v>
      </c>
      <c r="D42" s="17" t="n">
        <f aca="false">SUMIFS(Sim_net,Sim_Idx,5,Sim_Scen,SelScen,Sim_N,7)</f>
        <v>3.26916402457889</v>
      </c>
      <c r="E42" s="17" t="n">
        <f aca="false">SUMIFS(Sim_net,Sim_Idx,5,Sim_Scen,SelScen,Sim_N,10)</f>
        <v>5.77828190121959</v>
      </c>
    </row>
    <row r="43" customFormat="false" ht="15" hidden="false" customHeight="false" outlineLevel="0" collapsed="false">
      <c r="A43" s="16" t="str">
        <f aca="false">INDEX(C_Name,6)</f>
        <v>신길 보라매SK뷰 84.98㎡</v>
      </c>
      <c r="B43" s="17" t="n">
        <f aca="false">SUMIFS(Sim_net,Sim_Idx,6,Sim_Scen,SelScen,Sim_N,3)</f>
        <v>0.807912002079527</v>
      </c>
      <c r="C43" s="17" t="n">
        <f aca="false">SUMIFS(Sim_net,Sim_Idx,6,Sim_Scen,SelScen,Sim_N,5)</f>
        <v>2.0867333765855</v>
      </c>
      <c r="D43" s="17" t="n">
        <f aca="false">SUMIFS(Sim_net,Sim_Idx,6,Sim_Scen,SelScen,Sim_N,7)</f>
        <v>3.55642251157937</v>
      </c>
      <c r="E43" s="17" t="n">
        <f aca="false">SUMIFS(Sim_net,Sim_Idx,6,Sim_Scen,SelScen,Sim_N,10)</f>
        <v>6.30571726355193</v>
      </c>
    </row>
    <row r="44" customFormat="false" ht="15" hidden="false" customHeight="false" outlineLevel="0" collapsed="false">
      <c r="A44" s="16" t="str">
        <f aca="false">INDEX(C_Name,7)</f>
        <v>노량진동 쌍용예가 85㎡</v>
      </c>
      <c r="B44" s="17" t="n">
        <f aca="false">SUMIFS(Sim_net,Sim_Idx,7,Sim_Scen,SelScen,Sim_N,3)</f>
        <v>0.301303487336497</v>
      </c>
      <c r="C44" s="17" t="n">
        <f aca="false">SUMIFS(Sim_net,Sim_Idx,7,Sim_Scen,SelScen,Sim_N,5)</f>
        <v>1.08192127832119</v>
      </c>
      <c r="D44" s="17" t="n">
        <f aca="false">SUMIFS(Sim_net,Sim_Idx,7,Sim_Scen,SelScen,Sim_N,7)</f>
        <v>1.98286422399937</v>
      </c>
      <c r="E44" s="17" t="n">
        <f aca="false">SUMIFS(Sim_net,Sim_Idx,7,Sim_Scen,SelScen,Sim_N,10)</f>
        <v>3.64471950322107</v>
      </c>
    </row>
    <row r="45" customFormat="false" ht="15" hidden="false" customHeight="false" outlineLevel="0" collapsed="false">
      <c r="A45" s="16" t="str">
        <f aca="false">INDEX(C_Name,8)</f>
        <v>본동 래미안트윈파크 (32평형)</v>
      </c>
      <c r="B45" s="17" t="n">
        <f aca="false">SUMIFS(Sim_net,Sim_Idx,8,Sim_Scen,SelScen,Sim_N,3)</f>
        <v>0.975618511756375</v>
      </c>
      <c r="C45" s="17" t="n">
        <f aca="false">SUMIFS(Sim_net,Sim_Idx,8,Sim_Scen,SelScen,Sim_N,5)</f>
        <v>2.46165116006348</v>
      </c>
      <c r="D45" s="17" t="n">
        <f aca="false">SUMIFS(Sim_net,Sim_Idx,8,Sim_Scen,SelScen,Sim_N,7)</f>
        <v>4.21660855472572</v>
      </c>
      <c r="E45" s="17" t="n">
        <f aca="false">SUMIFS(Sim_net,Sim_Idx,8,Sim_Scen,SelScen,Sim_N,10)</f>
        <v>7.53825177346379</v>
      </c>
    </row>
    <row r="46" customFormat="false" ht="15" hidden="false" customHeight="false" outlineLevel="0" collapsed="false">
      <c r="A46" s="16" t="str">
        <f aca="false">INDEX(C_Name,9)</f>
        <v>흑석한강푸르지오 84.98㎡</v>
      </c>
      <c r="B46" s="17" t="n">
        <f aca="false">SUMIFS(Sim_net,Sim_Idx,9,Sim_Scen,SelScen,Sim_N,3)</f>
        <v>0.790035177544458</v>
      </c>
      <c r="C46" s="17" t="n">
        <f aca="false">SUMIFS(Sim_net,Sim_Idx,9,Sim_Scen,SelScen,Sim_N,5)</f>
        <v>2.04638996117839</v>
      </c>
      <c r="D46" s="17" t="n">
        <f aca="false">SUMIFS(Sim_net,Sim_Idx,9,Sim_Scen,SelScen,Sim_N,7)</f>
        <v>3.48495653936079</v>
      </c>
      <c r="E46" s="17" t="n">
        <f aca="false">SUMIFS(Sim_net,Sim_Idx,9,Sim_Scen,SelScen,Sim_N,10)</f>
        <v>6.17420592038569</v>
      </c>
    </row>
    <row r="47" customFormat="false" ht="15" hidden="false" customHeight="false" outlineLevel="0" collapsed="false">
      <c r="A47" s="16" t="str">
        <f aca="false">INDEX(C_Name,10)</f>
        <v>흑석리버파크자이 85㎡</v>
      </c>
      <c r="B47" s="17" t="n">
        <f aca="false">SUMIFS(Sim_net,Sim_Idx,10,Sim_Scen,SelScen,Sim_N,3)</f>
        <v>0.926889710381287</v>
      </c>
      <c r="C47" s="17" t="n">
        <f aca="false">SUMIFS(Sim_net,Sim_Idx,10,Sim_Scen,SelScen,Sim_N,5)</f>
        <v>2.35203273779883</v>
      </c>
      <c r="D47" s="17" t="n">
        <f aca="false">SUMIFS(Sim_net,Sim_Idx,10,Sim_Scen,SelScen,Sim_N,7)</f>
        <v>4.02425730276829</v>
      </c>
      <c r="E47" s="17" t="n">
        <f aca="false">SUMIFS(Sim_net,Sim_Idx,10,Sim_Scen,SelScen,Sim_N,10)</f>
        <v>7.17615252565092</v>
      </c>
    </row>
    <row r="48" customFormat="false" ht="15" hidden="false" customHeight="false" outlineLevel="0" collapsed="false">
      <c r="A48" s="16" t="str">
        <f aca="false">INDEX(C_Name,11)</f>
        <v>흑석 아크로리버하임 84.75㎡</v>
      </c>
      <c r="B48" s="17" t="n">
        <f aca="false">SUMIFS(Sim_net,Sim_Idx,11,Sim_Scen,SelScen,Sim_N,3)</f>
        <v>1.38392021733771</v>
      </c>
      <c r="C48" s="17" t="n">
        <f aca="false">SUMIFS(Sim_net,Sim_Idx,11,Sim_Scen,SelScen,Sim_N,5)</f>
        <v>3.26314684789367</v>
      </c>
      <c r="D48" s="17" t="n">
        <f aca="false">SUMIFS(Sim_net,Sim_Idx,11,Sim_Scen,SelScen,Sim_N,7)</f>
        <v>5.49305072979301</v>
      </c>
      <c r="E48" s="17" t="n">
        <f aca="false">SUMIFS(Sim_net,Sim_Idx,11,Sim_Scen,SelScen,Sim_N,10)</f>
        <v>9.67780829462109</v>
      </c>
    </row>
    <row r="49" customFormat="false" ht="15" hidden="false" customHeight="false" outlineLevel="0" collapsed="false">
      <c r="A49" s="16" t="str">
        <f aca="false">INDEX(C_Name,12)</f>
        <v>예시 행: 직접 입력 (비교 시트 제외)</v>
      </c>
      <c r="B49" s="17" t="n">
        <f aca="false">SUMIFS(Sim_net,Sim_Idx,12,Sim_Scen,SelScen,Sim_N,3)</f>
        <v>0.29511690772444</v>
      </c>
      <c r="C49" s="17" t="n">
        <f aca="false">SUMIFS(Sim_net,Sim_Idx,12,Sim_Scen,SelScen,Sim_N,5)</f>
        <v>1.05146740135622</v>
      </c>
      <c r="D49" s="17" t="n">
        <f aca="false">SUMIFS(Sim_net,Sim_Idx,12,Sim_Scen,SelScen,Sim_N,7)</f>
        <v>1.92982764823942</v>
      </c>
      <c r="E49" s="17" t="n">
        <f aca="false">SUMIFS(Sim_net,Sim_Idx,12,Sim_Scen,SelScen,Sim_N,10)</f>
        <v>3.53420371341446</v>
      </c>
    </row>
    <row r="52" customFormat="false" ht="15" hidden="false" customHeight="false" outlineLevel="0" collapsed="false">
      <c r="A52" s="12" t="s">
        <v>110</v>
      </c>
    </row>
    <row r="53" customFormat="false" ht="42" hidden="false" customHeight="true" outlineLevel="0" collapsed="false">
      <c r="A53" s="13" t="s">
        <v>58</v>
      </c>
      <c r="B53" s="14" t="s">
        <v>106</v>
      </c>
      <c r="C53" s="14" t="s">
        <v>107</v>
      </c>
      <c r="D53" s="14" t="s">
        <v>108</v>
      </c>
      <c r="E53" s="14" t="s">
        <v>109</v>
      </c>
    </row>
    <row r="54" customFormat="false" ht="15" hidden="false" customHeight="false" outlineLevel="0" collapsed="false">
      <c r="A54" s="16" t="str">
        <f aca="false">INDEX(C_Name,1)</f>
        <v>문래건영아파트 84㎡</v>
      </c>
      <c r="B54" s="18" t="n">
        <f aca="false">SUMIFS(Sim_ctax,Sim_Idx,1,Sim_Scen,SelScen,Sim_N,3)</f>
        <v>0.0124787175912872</v>
      </c>
      <c r="C54" s="18" t="n">
        <f aca="false">SUMIFS(Sim_ctax,Sim_Idx,1,Sim_Scen,SelScen,Sim_N,5)</f>
        <v>0.0484552436901188</v>
      </c>
      <c r="D54" s="18" t="n">
        <f aca="false">SUMIFS(Sim_ctax,Sim_Idx,1,Sim_Scen,SelScen,Sim_N,7)</f>
        <v>0.0770770865939347</v>
      </c>
      <c r="E54" s="18" t="n">
        <f aca="false">SUMIFS(Sim_ctax,Sim_Idx,1,Sim_Scen,SelScen,Sim_N,10)</f>
        <v>0.0638017891760452</v>
      </c>
    </row>
    <row r="55" customFormat="false" ht="15" hidden="false" customHeight="false" outlineLevel="0" collapsed="false">
      <c r="A55" s="16" t="str">
        <f aca="false">INDEX(C_Name,2)</f>
        <v>e편한세상 문래 에듀플라츠 84.99㎡</v>
      </c>
      <c r="B55" s="18" t="n">
        <f aca="false">SUMIFS(Sim_ctax,Sim_Idx,2,Sim_Scen,SelScen,Sim_N,3)</f>
        <v>0.0219554933183582</v>
      </c>
      <c r="C55" s="18" t="n">
        <f aca="false">SUMIFS(Sim_ctax,Sim_Idx,2,Sim_Scen,SelScen,Sim_N,5)</f>
        <v>0.0649617336900488</v>
      </c>
      <c r="D55" s="18" t="n">
        <f aca="false">SUMIFS(Sim_ctax,Sim_Idx,2,Sim_Scen,SelScen,Sim_N,7)</f>
        <v>0.107896484524351</v>
      </c>
      <c r="E55" s="18" t="n">
        <f aca="false">SUMIFS(Sim_ctax,Sim_Idx,2,Sim_Scen,SelScen,Sim_N,10)</f>
        <v>0.083521738497903</v>
      </c>
    </row>
    <row r="56" customFormat="false" ht="15" hidden="false" customHeight="false" outlineLevel="0" collapsed="false">
      <c r="A56" s="16" t="str">
        <f aca="false">INDEX(C_Name,3)</f>
        <v>문래자이 84㎡</v>
      </c>
      <c r="B56" s="18" t="n">
        <f aca="false">SUMIFS(Sim_ctax,Sim_Idx,3,Sim_Scen,SelScen,Sim_N,3)</f>
        <v>0.0645010245247478</v>
      </c>
      <c r="C56" s="18" t="n">
        <f aca="false">SUMIFS(Sim_ctax,Sim_Idx,3,Sim_Scen,SelScen,Sim_N,5)</f>
        <v>0.189088955651607</v>
      </c>
      <c r="D56" s="18" t="n">
        <f aca="false">SUMIFS(Sim_ctax,Sim_Idx,3,Sim_Scen,SelScen,Sim_N,7)</f>
        <v>0.284918502753882</v>
      </c>
      <c r="E56" s="18" t="n">
        <f aca="false">SUMIFS(Sim_ctax,Sim_Idx,3,Sim_Scen,SelScen,Sim_N,10)</f>
        <v>0.195238951037981</v>
      </c>
    </row>
    <row r="57" customFormat="false" ht="15" hidden="false" customHeight="false" outlineLevel="0" collapsed="false">
      <c r="A57" s="16" t="str">
        <f aca="false">INDEX(C_Name,4)</f>
        <v>신길삼성래미안 84㎡</v>
      </c>
      <c r="B57" s="18" t="n">
        <f aca="false">SUMIFS(Sim_ctax,Sim_Idx,4,Sim_Scen,SelScen,Sim_N,3)</f>
        <v>0.00727538427323189</v>
      </c>
      <c r="C57" s="18" t="n">
        <f aca="false">SUMIFS(Sim_ctax,Sim_Idx,4,Sim_Scen,SelScen,Sim_N,5)</f>
        <v>0.0336118058239964</v>
      </c>
      <c r="D57" s="18" t="n">
        <f aca="false">SUMIFS(Sim_ctax,Sim_Idx,4,Sim_Scen,SelScen,Sim_N,7)</f>
        <v>0.0565856772079313</v>
      </c>
      <c r="E57" s="18" t="n">
        <f aca="false">SUMIFS(Sim_ctax,Sim_Idx,4,Sim_Scen,SelScen,Sim_N,10)</f>
        <v>0.0510798196867123</v>
      </c>
    </row>
    <row r="58" customFormat="false" ht="15" hidden="false" customHeight="false" outlineLevel="0" collapsed="false">
      <c r="A58" s="16" t="str">
        <f aca="false">INDEX(C_Name,5)</f>
        <v>신길 래미안에스티움 84㎡</v>
      </c>
      <c r="B58" s="18" t="n">
        <f aca="false">SUMIFS(Sim_ctax,Sim_Idx,5,Sim_Scen,SelScen,Sim_N,3)</f>
        <v>0.0579244983949452</v>
      </c>
      <c r="C58" s="18" t="n">
        <f aca="false">SUMIFS(Sim_ctax,Sim_Idx,5,Sim_Scen,SelScen,Sim_N,5)</f>
        <v>0.164351466706627</v>
      </c>
      <c r="D58" s="18" t="n">
        <f aca="false">SUMIFS(Sim_ctax,Sim_Idx,5,Sim_Scen,SelScen,Sim_N,7)</f>
        <v>0.253542043444936</v>
      </c>
      <c r="E58" s="18" t="n">
        <f aca="false">SUMIFS(Sim_ctax,Sim_Idx,5,Sim_Scen,SelScen,Sim_N,10)</f>
        <v>0.172185698104553</v>
      </c>
    </row>
    <row r="59" customFormat="false" ht="15" hidden="false" customHeight="false" outlineLevel="0" collapsed="false">
      <c r="A59" s="16" t="str">
        <f aca="false">INDEX(C_Name,6)</f>
        <v>신길 보라매SK뷰 84.98㎡</v>
      </c>
      <c r="B59" s="18" t="n">
        <f aca="false">SUMIFS(Sim_ctax,Sim_Idx,6,Sim_Scen,SelScen,Sim_N,3)</f>
        <v>0.0755547356755055</v>
      </c>
      <c r="C59" s="18" t="n">
        <f aca="false">SUMIFS(Sim_ctax,Sim_Idx,6,Sim_Scen,SelScen,Sim_N,5)</f>
        <v>0.223618815389391</v>
      </c>
      <c r="D59" s="18" t="n">
        <f aca="false">SUMIFS(Sim_ctax,Sim_Idx,6,Sim_Scen,SelScen,Sim_N,7)</f>
        <v>0.325265613546753</v>
      </c>
      <c r="E59" s="18" t="n">
        <f aca="false">SUMIFS(Sim_ctax,Sim_Idx,6,Sim_Scen,SelScen,Sim_N,10)</f>
        <v>0.224881251522617</v>
      </c>
    </row>
    <row r="60" customFormat="false" ht="15" hidden="false" customHeight="false" outlineLevel="0" collapsed="false">
      <c r="A60" s="16" t="str">
        <f aca="false">INDEX(C_Name,7)</f>
        <v>노량진동 쌍용예가 85㎡</v>
      </c>
      <c r="B60" s="18" t="n">
        <f aca="false">SUMIFS(Sim_ctax,Sim_Idx,7,Sim_Scen,SelScen,Sim_N,3)</f>
        <v>0.0181626448146999</v>
      </c>
      <c r="C60" s="18" t="n">
        <f aca="false">SUMIFS(Sim_ctax,Sim_Idx,7,Sim_Scen,SelScen,Sim_N,5)</f>
        <v>0.0583575769811636</v>
      </c>
      <c r="D60" s="18" t="n">
        <f aca="false">SUMIFS(Sim_ctax,Sim_Idx,7,Sim_Scen,SelScen,Sim_N,7)</f>
        <v>0.0955670322754544</v>
      </c>
      <c r="E60" s="18" t="n">
        <f aca="false">SUMIFS(Sim_ctax,Sim_Idx,7,Sim_Scen,SelScen,Sim_N,10)</f>
        <v>0.0744719040172979</v>
      </c>
    </row>
    <row r="61" customFormat="false" ht="15" hidden="false" customHeight="false" outlineLevel="0" collapsed="false">
      <c r="A61" s="16" t="str">
        <f aca="false">INDEX(C_Name,8)</f>
        <v>본동 래미안트윈파크 (32평형)</v>
      </c>
      <c r="B61" s="18" t="n">
        <f aca="false">SUMIFS(Sim_ctax,Sim_Idx,8,Sim_Scen,SelScen,Sim_N,3)</f>
        <v>0.132790785102659</v>
      </c>
      <c r="C61" s="18" t="n">
        <f aca="false">SUMIFS(Sim_ctax,Sim_Idx,8,Sim_Scen,SelScen,Sim_N,5)</f>
        <v>0.369496095646303</v>
      </c>
      <c r="D61" s="18" t="n">
        <f aca="false">SUMIFS(Sim_ctax,Sim_Idx,8,Sim_Scen,SelScen,Sim_N,7)</f>
        <v>0.503221748076348</v>
      </c>
      <c r="E61" s="18" t="n">
        <f aca="false">SUMIFS(Sim_ctax,Sim_Idx,8,Sim_Scen,SelScen,Sim_N,10)</f>
        <v>0.350060793017384</v>
      </c>
    </row>
    <row r="62" customFormat="false" ht="15" hidden="false" customHeight="false" outlineLevel="0" collapsed="false">
      <c r="A62" s="16" t="str">
        <f aca="false">INDEX(C_Name,9)</f>
        <v>흑석한강푸르지오 84.98㎡</v>
      </c>
      <c r="B62" s="18" t="n">
        <f aca="false">SUMIFS(Sim_ctax,Sim_Idx,9,Sim_Scen,SelScen,Sim_N,3)</f>
        <v>0.0695371722425764</v>
      </c>
      <c r="C62" s="18" t="n">
        <f aca="false">SUMIFS(Sim_ctax,Sim_Idx,9,Sim_Scen,SelScen,Sim_N,5)</f>
        <v>0.208271065570315</v>
      </c>
      <c r="D62" s="18" t="n">
        <f aca="false">SUMIFS(Sim_ctax,Sim_Idx,9,Sim_Scen,SelScen,Sim_N,7)</f>
        <v>0.307332787653425</v>
      </c>
      <c r="E62" s="18" t="n">
        <f aca="false">SUMIFS(Sim_ctax,Sim_Idx,9,Sim_Scen,SelScen,Sim_N,10)</f>
        <v>0.211706581914919</v>
      </c>
    </row>
    <row r="63" customFormat="false" ht="15" hidden="false" customHeight="false" outlineLevel="0" collapsed="false">
      <c r="A63" s="16" t="str">
        <f aca="false">INDEX(C_Name,10)</f>
        <v>흑석리버파크자이 85㎡</v>
      </c>
      <c r="B63" s="18" t="n">
        <f aca="false">SUMIFS(Sim_ctax,Sim_Idx,10,Sim_Scen,SelScen,Sim_N,3)</f>
        <v>0.115759251136948</v>
      </c>
      <c r="C63" s="18" t="n">
        <f aca="false">SUMIFS(Sim_ctax,Sim_Idx,10,Sim_Scen,SelScen,Sim_N,5)</f>
        <v>0.326104727875015</v>
      </c>
      <c r="D63" s="18" t="n">
        <f aca="false">SUMIFS(Sim_ctax,Sim_Idx,10,Sim_Scen,SelScen,Sim_N,7)</f>
        <v>0.448194199799574</v>
      </c>
      <c r="E63" s="18" t="n">
        <f aca="false">SUMIFS(Sim_ctax,Sim_Idx,10,Sim_Scen,SelScen,Sim_N,10)</f>
        <v>0.312833043179266</v>
      </c>
    </row>
    <row r="64" customFormat="false" ht="15" hidden="false" customHeight="false" outlineLevel="0" collapsed="false">
      <c r="A64" s="16" t="str">
        <f aca="false">INDEX(C_Name,11)</f>
        <v>흑석 아크로리버하임 84.75㎡</v>
      </c>
      <c r="B64" s="18" t="n">
        <f aca="false">SUMIFS(Sim_ctax,Sim_Idx,11,Sim_Scen,SelScen,Sim_N,3)</f>
        <v>0.216323767955805</v>
      </c>
      <c r="C64" s="18" t="n">
        <f aca="false">SUMIFS(Sim_ctax,Sim_Idx,11,Sim_Scen,SelScen,Sim_N,5)</f>
        <v>0.555997798235881</v>
      </c>
      <c r="D64" s="18" t="n">
        <f aca="false">SUMIFS(Sim_ctax,Sim_Idx,11,Sim_Scen,SelScen,Sim_N,7)</f>
        <v>0.724846858496464</v>
      </c>
      <c r="E64" s="18" t="n">
        <f aca="false">SUMIFS(Sim_ctax,Sim_Idx,11,Sim_Scen,SelScen,Sim_N,10)</f>
        <v>0.507893404694316</v>
      </c>
    </row>
    <row r="65" customFormat="false" ht="15" hidden="false" customHeight="false" outlineLevel="0" collapsed="false">
      <c r="A65" s="16" t="str">
        <f aca="false">INDEX(C_Name,12)</f>
        <v>예시 행: 직접 입력 (비교 시트 제외)</v>
      </c>
      <c r="B65" s="18" t="n">
        <f aca="false">SUMIFS(Sim_ctax,Sim_Idx,12,Sim_Scen,SelScen,Sim_N,3)</f>
        <v>0.0134255646974041</v>
      </c>
      <c r="C65" s="18" t="n">
        <f aca="false">SUMIFS(Sim_ctax,Sim_Idx,12,Sim_Scen,SelScen,Sim_N,5)</f>
        <v>0.0501052865219178</v>
      </c>
      <c r="D65" s="18" t="n">
        <f aca="false">SUMIFS(Sim_ctax,Sim_Idx,12,Sim_Scen,SelScen,Sim_N,7)</f>
        <v>0.0801583688080677</v>
      </c>
      <c r="E65" s="18" t="n">
        <f aca="false">SUMIFS(Sim_ctax,Sim_Idx,12,Sim_Scen,SelScen,Sim_N,10)</f>
        <v>0.0652155528392029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52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5" min="12" style="0" width="10"/>
    <col collapsed="false" customWidth="true" hidden="false" outlineLevel="0" max="19" min="16" style="0" width="12"/>
    <col collapsed="false" customWidth="true" hidden="false" outlineLevel="0" max="21" min="20" style="0" width="11"/>
    <col collapsed="false" customWidth="true" hidden="false" outlineLevel="0" max="22" min="22" style="0" width="12"/>
  </cols>
  <sheetData>
    <row r="1" customFormat="false" ht="19.4" hidden="false" customHeight="false" outlineLevel="0" collapsed="false">
      <c r="A1" s="1" t="s">
        <v>111</v>
      </c>
    </row>
    <row r="2" customFormat="false" ht="15" hidden="false" customHeight="false" outlineLevel="0" collapsed="false">
      <c r="A2" s="34" t="s">
        <v>112</v>
      </c>
    </row>
    <row r="5" customFormat="false" ht="42" hidden="false" customHeight="true" outlineLevel="0" collapsed="false">
      <c r="A5" s="13" t="s">
        <v>113</v>
      </c>
      <c r="B5" s="13" t="s">
        <v>114</v>
      </c>
      <c r="C5" s="13" t="s">
        <v>115</v>
      </c>
      <c r="D5" s="13" t="s">
        <v>116</v>
      </c>
      <c r="E5" s="13" t="s">
        <v>117</v>
      </c>
      <c r="F5" s="13" t="s">
        <v>118</v>
      </c>
      <c r="G5" s="13" t="s">
        <v>119</v>
      </c>
      <c r="H5" s="13" t="s">
        <v>120</v>
      </c>
      <c r="I5" s="13" t="s">
        <v>121</v>
      </c>
      <c r="J5" s="13" t="s">
        <v>122</v>
      </c>
      <c r="K5" s="13" t="s">
        <v>123</v>
      </c>
      <c r="L5" s="13" t="s">
        <v>124</v>
      </c>
      <c r="M5" s="13" t="s">
        <v>125</v>
      </c>
      <c r="N5" s="13" t="s">
        <v>126</v>
      </c>
      <c r="O5" s="13" t="s">
        <v>127</v>
      </c>
      <c r="P5" s="13" t="s">
        <v>128</v>
      </c>
      <c r="Q5" s="13" t="s">
        <v>129</v>
      </c>
      <c r="R5" s="13" t="s">
        <v>130</v>
      </c>
      <c r="S5" s="13" t="s">
        <v>131</v>
      </c>
      <c r="T5" s="13" t="s">
        <v>43</v>
      </c>
      <c r="U5" s="13" t="s">
        <v>132</v>
      </c>
      <c r="V5" s="13" t="s">
        <v>94</v>
      </c>
    </row>
    <row r="6" customFormat="false" ht="61.5" hidden="false" customHeight="true" outlineLevel="0" collapsed="false">
      <c r="A6" s="20" t="n">
        <v>1</v>
      </c>
      <c r="B6" s="35" t="s">
        <v>133</v>
      </c>
      <c r="C6" s="36" t="s">
        <v>134</v>
      </c>
      <c r="D6" s="35" t="s">
        <v>135</v>
      </c>
      <c r="E6" s="37" t="n">
        <v>84</v>
      </c>
      <c r="F6" s="38" t="n">
        <v>13.9</v>
      </c>
      <c r="G6" s="39" t="s">
        <v>136</v>
      </c>
      <c r="H6" s="35" t="s">
        <v>137</v>
      </c>
      <c r="I6" s="40" t="n">
        <f aca="false">JeonseRate</f>
        <v>0.52</v>
      </c>
      <c r="J6" s="24" t="n">
        <f aca="false">F6*I6</f>
        <v>7.228</v>
      </c>
      <c r="K6" s="24" t="n">
        <f aca="false">F6-J6</f>
        <v>6.672</v>
      </c>
      <c r="L6" s="24" t="n">
        <f aca="false">F6*Gongsi</f>
        <v>9.591</v>
      </c>
      <c r="M6" s="24" t="n">
        <f aca="false">MIN(LTV*F6,LOOKUP(F6,LoanLo,LoanCap))</f>
        <v>5.56</v>
      </c>
      <c r="N6" s="21" t="n">
        <f aca="false">F6*IF(F6&lt;=6,0.01,IF(F6&lt;=9,(F6*2/3-3)/100,0.03))*(1+EduAcq)+IF(E6&gt;85,F6*NongAcqRate,0)</f>
        <v>0.4587</v>
      </c>
      <c r="O6" s="21" t="n">
        <f aca="false">F6*LOOKUP(F6,FeeLo,FeeR)*(1+VAT)+EtcBuy</f>
        <v>0.11174</v>
      </c>
      <c r="P6" s="32" t="n">
        <f aca="false">F6-M6+N6+O6</f>
        <v>8.91044</v>
      </c>
      <c r="Q6" s="22" t="str">
        <f aca="false">IF(P6&lt;=CapA,"가능","부족 "&amp;TEXT(P6-CapA,"0.0")&amp;"억")</f>
        <v>가능</v>
      </c>
      <c r="R6" s="22" t="str">
        <f aca="false">IF(P6&lt;=CapB,"가능","부족 "&amp;TEXT(P6-CapB,"0.0")&amp;"억")</f>
        <v>가능</v>
      </c>
      <c r="S6" s="22" t="str">
        <f aca="false">IF(P6&lt;=CapC,"가능","부족 "&amp;TEXT(P6-CapC,"0.0")&amp;"억")</f>
        <v>가능</v>
      </c>
      <c r="T6" s="30" t="n">
        <f aca="false">-PMT(Rm,LoanYears*12,M6)*10000</f>
        <v>265.442904278796</v>
      </c>
      <c r="U6" s="24" t="n">
        <f aca="false">-PMT((Rate+Stress)/12,LoanYears*12,M6)*12/DSR</f>
        <v>1.10972456195888</v>
      </c>
      <c r="V6" s="19" t="n">
        <f aca="false">SUMIFS(Sch_Total,Sch_Idx,A6,Sch_Scen,2,Sch_Year,1)*10000</f>
        <v>281.1852</v>
      </c>
    </row>
    <row r="7" customFormat="false" ht="61.5" hidden="false" customHeight="true" outlineLevel="0" collapsed="false">
      <c r="A7" s="20" t="n">
        <v>2</v>
      </c>
      <c r="B7" s="35" t="s">
        <v>133</v>
      </c>
      <c r="C7" s="36" t="s">
        <v>134</v>
      </c>
      <c r="D7" s="36" t="s">
        <v>138</v>
      </c>
      <c r="E7" s="37" t="n">
        <v>84.99</v>
      </c>
      <c r="F7" s="38" t="n">
        <v>14.9</v>
      </c>
      <c r="G7" s="39" t="s">
        <v>139</v>
      </c>
      <c r="H7" s="35" t="s">
        <v>140</v>
      </c>
      <c r="I7" s="40" t="n">
        <f aca="false">JeonseRate</f>
        <v>0.52</v>
      </c>
      <c r="J7" s="24" t="n">
        <f aca="false">F7*I7</f>
        <v>7.748</v>
      </c>
      <c r="K7" s="24" t="n">
        <f aca="false">F7-J7</f>
        <v>7.152</v>
      </c>
      <c r="L7" s="24" t="n">
        <f aca="false">F7*Gongsi</f>
        <v>10.281</v>
      </c>
      <c r="M7" s="24" t="n">
        <f aca="false">MIN(LTV*F7,LOOKUP(F7,LoanLo,LoanCap))</f>
        <v>5.96</v>
      </c>
      <c r="N7" s="21" t="n">
        <f aca="false">F7*IF(F7&lt;=6,0.01,IF(F7&lt;=9,(F7*2/3-3)/100,0.03))*(1+EduAcq)+IF(E7&gt;85,F7*NongAcqRate,0)</f>
        <v>0.4917</v>
      </c>
      <c r="O7" s="21" t="n">
        <f aca="false">F7*LOOKUP(F7,FeeLo,FeeR)*(1+VAT)+EtcBuy</f>
        <v>0.11834</v>
      </c>
      <c r="P7" s="32" t="n">
        <f aca="false">F7-M7+N7+O7</f>
        <v>9.55004</v>
      </c>
      <c r="Q7" s="22" t="str">
        <f aca="false">IF(P7&lt;=CapA,"가능","부족 "&amp;TEXT(P7-CapA,"0.0")&amp;"억")</f>
        <v>가능</v>
      </c>
      <c r="R7" s="22" t="str">
        <f aca="false">IF(P7&lt;=CapB,"가능","부족 "&amp;TEXT(P7-CapB,"0.0")&amp;"억")</f>
        <v>가능</v>
      </c>
      <c r="S7" s="22" t="str">
        <f aca="false">IF(P7&lt;=CapC,"가능","부족 "&amp;TEXT(P7-CapC,"0.0")&amp;"억")</f>
        <v>가능</v>
      </c>
      <c r="T7" s="30" t="n">
        <f aca="false">-PMT(Rm,LoanYears*12,M7)*10000</f>
        <v>284.539516097414</v>
      </c>
      <c r="U7" s="24" t="n">
        <f aca="false">-PMT((Rate+Stress)/12,LoanYears*12,M7)*12/DSR</f>
        <v>1.18956086138038</v>
      </c>
      <c r="V7" s="19" t="n">
        <f aca="false">SUMIFS(Sch_Total,Sch_Idx,A7,Sch_Scen,2,Sch_Year,1)*10000</f>
        <v>306.8532</v>
      </c>
    </row>
    <row r="8" customFormat="false" ht="61.5" hidden="false" customHeight="true" outlineLevel="0" collapsed="false">
      <c r="A8" s="20" t="n">
        <v>3</v>
      </c>
      <c r="B8" s="35" t="s">
        <v>133</v>
      </c>
      <c r="C8" s="36" t="s">
        <v>134</v>
      </c>
      <c r="D8" s="35" t="s">
        <v>141</v>
      </c>
      <c r="E8" s="37" t="n">
        <v>84</v>
      </c>
      <c r="F8" s="38" t="n">
        <v>19.5</v>
      </c>
      <c r="G8" s="39" t="s">
        <v>142</v>
      </c>
      <c r="H8" s="35" t="s">
        <v>137</v>
      </c>
      <c r="I8" s="40" t="n">
        <f aca="false">JeonseRate</f>
        <v>0.52</v>
      </c>
      <c r="J8" s="24" t="n">
        <f aca="false">F8*I8</f>
        <v>10.14</v>
      </c>
      <c r="K8" s="24" t="n">
        <f aca="false">F8-J8</f>
        <v>9.36</v>
      </c>
      <c r="L8" s="24" t="n">
        <f aca="false">F8*Gongsi</f>
        <v>13.455</v>
      </c>
      <c r="M8" s="24" t="n">
        <f aca="false">MIN(LTV*F8,LOOKUP(F8,LoanLo,LoanCap))</f>
        <v>4</v>
      </c>
      <c r="N8" s="21" t="n">
        <f aca="false">F8*IF(F8&lt;=6,0.01,IF(F8&lt;=9,(F8*2/3-3)/100,0.03))*(1+EduAcq)+IF(E8&gt;85,F8*NongAcqRate,0)</f>
        <v>0.6435</v>
      </c>
      <c r="O8" s="21" t="n">
        <f aca="false">F8*LOOKUP(F8,FeeLo,FeeR)*(1+VAT)+EtcBuy</f>
        <v>0.17015</v>
      </c>
      <c r="P8" s="32" t="n">
        <f aca="false">F8-M8+N8+O8</f>
        <v>16.31365</v>
      </c>
      <c r="Q8" s="22" t="str">
        <f aca="false">IF(P8&lt;=CapA,"가능","부족 "&amp;TEXT(P8-CapA,"0.0")&amp;"억")</f>
        <v>부족 4.3억</v>
      </c>
      <c r="R8" s="22" t="str">
        <f aca="false">IF(P8&lt;=CapB,"가능","부족 "&amp;TEXT(P8-CapB,"0.0")&amp;"억")</f>
        <v>부족 2.3억</v>
      </c>
      <c r="S8" s="22" t="str">
        <f aca="false">IF(P8&lt;=CapC,"가능","부족 "&amp;TEXT(P8-CapC,"0.0")&amp;"억")</f>
        <v>부족 0.3억</v>
      </c>
      <c r="T8" s="30" t="n">
        <f aca="false">-PMT(Rm,LoanYears*12,M8)*10000</f>
        <v>190.966118186184</v>
      </c>
      <c r="U8" s="24" t="n">
        <f aca="false">-PMT((Rate+Stress)/12,LoanYears*12,M8)*12/DSR</f>
        <v>0.79836299421502</v>
      </c>
      <c r="V8" s="19" t="n">
        <f aca="false">SUMIFS(Sch_Total,Sch_Idx,A8,Sch_Scen,2,Sch_Year,1)*10000</f>
        <v>477.306</v>
      </c>
    </row>
    <row r="9" customFormat="false" ht="61.5" hidden="false" customHeight="true" outlineLevel="0" collapsed="false">
      <c r="A9" s="20" t="n">
        <v>4</v>
      </c>
      <c r="B9" s="35" t="s">
        <v>143</v>
      </c>
      <c r="C9" s="36" t="s">
        <v>144</v>
      </c>
      <c r="D9" s="35" t="s">
        <v>145</v>
      </c>
      <c r="E9" s="37" t="n">
        <v>84</v>
      </c>
      <c r="F9" s="38" t="n">
        <v>13</v>
      </c>
      <c r="G9" s="39" t="s">
        <v>146</v>
      </c>
      <c r="H9" s="35" t="s">
        <v>137</v>
      </c>
      <c r="I9" s="40" t="n">
        <f aca="false">JeonseRate</f>
        <v>0.52</v>
      </c>
      <c r="J9" s="24" t="n">
        <f aca="false">F9*I9</f>
        <v>6.76</v>
      </c>
      <c r="K9" s="24" t="n">
        <f aca="false">F9-J9</f>
        <v>6.24</v>
      </c>
      <c r="L9" s="24" t="n">
        <f aca="false">F9*Gongsi</f>
        <v>8.97</v>
      </c>
      <c r="M9" s="24" t="n">
        <f aca="false">MIN(LTV*F9,LOOKUP(F9,LoanLo,LoanCap))</f>
        <v>5.2</v>
      </c>
      <c r="N9" s="21" t="n">
        <f aca="false">F9*IF(F9&lt;=6,0.01,IF(F9&lt;=9,(F9*2/3-3)/100,0.03))*(1+EduAcq)+IF(E9&gt;85,F9*NongAcqRate,0)</f>
        <v>0.429</v>
      </c>
      <c r="O9" s="21" t="n">
        <f aca="false">F9*LOOKUP(F9,FeeLo,FeeR)*(1+VAT)+EtcBuy</f>
        <v>0.1058</v>
      </c>
      <c r="P9" s="32" t="n">
        <f aca="false">F9-M9+N9+O9</f>
        <v>8.3348</v>
      </c>
      <c r="Q9" s="22" t="str">
        <f aca="false">IF(P9&lt;=CapA,"가능","부족 "&amp;TEXT(P9-CapA,"0.0")&amp;"억")</f>
        <v>가능</v>
      </c>
      <c r="R9" s="22" t="str">
        <f aca="false">IF(P9&lt;=CapB,"가능","부족 "&amp;TEXT(P9-CapB,"0.0")&amp;"억")</f>
        <v>가능</v>
      </c>
      <c r="S9" s="22" t="str">
        <f aca="false">IF(P9&lt;=CapC,"가능","부족 "&amp;TEXT(P9-CapC,"0.0")&amp;"억")</f>
        <v>가능</v>
      </c>
      <c r="T9" s="30" t="n">
        <f aca="false">-PMT(Rm,LoanYears*12,M9)*10000</f>
        <v>248.255953642039</v>
      </c>
      <c r="U9" s="24" t="n">
        <f aca="false">-PMT((Rate+Stress)/12,LoanYears*12,M9)*12/DSR</f>
        <v>1.03787189247953</v>
      </c>
      <c r="V9" s="19" t="n">
        <f aca="false">SUMIFS(Sch_Total,Sch_Idx,A9,Sch_Scen,2,Sch_Year,1)*10000</f>
        <v>225.792</v>
      </c>
    </row>
    <row r="10" customFormat="false" ht="61.5" hidden="false" customHeight="true" outlineLevel="0" collapsed="false">
      <c r="A10" s="20" t="n">
        <v>5</v>
      </c>
      <c r="B10" s="35" t="s">
        <v>143</v>
      </c>
      <c r="C10" s="36" t="s">
        <v>144</v>
      </c>
      <c r="D10" s="35" t="s">
        <v>147</v>
      </c>
      <c r="E10" s="37" t="n">
        <v>84</v>
      </c>
      <c r="F10" s="38" t="n">
        <v>18.8</v>
      </c>
      <c r="G10" s="39" t="s">
        <v>148</v>
      </c>
      <c r="H10" s="35" t="s">
        <v>137</v>
      </c>
      <c r="I10" s="40" t="n">
        <f aca="false">JeonseRate</f>
        <v>0.52</v>
      </c>
      <c r="J10" s="24" t="n">
        <f aca="false">F10*I10</f>
        <v>9.776</v>
      </c>
      <c r="K10" s="24" t="n">
        <f aca="false">F10-J10</f>
        <v>9.024</v>
      </c>
      <c r="L10" s="24" t="n">
        <f aca="false">F10*Gongsi</f>
        <v>12.972</v>
      </c>
      <c r="M10" s="24" t="n">
        <f aca="false">MIN(LTV*F10,LOOKUP(F10,LoanLo,LoanCap))</f>
        <v>4</v>
      </c>
      <c r="N10" s="21" t="n">
        <f aca="false">F10*IF(F10&lt;=6,0.01,IF(F10&lt;=9,(F10*2/3-3)/100,0.03))*(1+EduAcq)+IF(E10&gt;85,F10*NongAcqRate,0)</f>
        <v>0.6204</v>
      </c>
      <c r="O10" s="21" t="n">
        <f aca="false">F10*LOOKUP(F10,FeeLo,FeeR)*(1+VAT)+EtcBuy</f>
        <v>0.16476</v>
      </c>
      <c r="P10" s="32" t="n">
        <f aca="false">F10-M10+N10+O10</f>
        <v>15.58516</v>
      </c>
      <c r="Q10" s="22" t="str">
        <f aca="false">IF(P10&lt;=CapA,"가능","부족 "&amp;TEXT(P10-CapA,"0.0")&amp;"억")</f>
        <v>부족 3.6억</v>
      </c>
      <c r="R10" s="22" t="str">
        <f aca="false">IF(P10&lt;=CapB,"가능","부족 "&amp;TEXT(P10-CapB,"0.0")&amp;"억")</f>
        <v>부족 1.6억</v>
      </c>
      <c r="S10" s="22" t="str">
        <f aca="false">IF(P10&lt;=CapC,"가능","부족 "&amp;TEXT(P10-CapC,"0.0")&amp;"억")</f>
        <v>가능</v>
      </c>
      <c r="T10" s="30" t="n">
        <f aca="false">-PMT(Rm,LoanYears*12,M10)*10000</f>
        <v>190.966118186184</v>
      </c>
      <c r="U10" s="24" t="n">
        <f aca="false">-PMT((Rate+Stress)/12,LoanYears*12,M10)*12/DSR</f>
        <v>0.79836299421502</v>
      </c>
      <c r="V10" s="19" t="n">
        <f aca="false">SUMIFS(Sch_Total,Sch_Idx,A10,Sch_Scen,2,Sch_Year,1)*10000</f>
        <v>441.9504</v>
      </c>
    </row>
    <row r="11" customFormat="false" ht="61.5" hidden="false" customHeight="true" outlineLevel="0" collapsed="false">
      <c r="A11" s="20" t="n">
        <v>6</v>
      </c>
      <c r="B11" s="35" t="s">
        <v>143</v>
      </c>
      <c r="C11" s="36" t="s">
        <v>144</v>
      </c>
      <c r="D11" s="35" t="s">
        <v>149</v>
      </c>
      <c r="E11" s="37" t="n">
        <v>84.98</v>
      </c>
      <c r="F11" s="38" t="n">
        <v>20.4</v>
      </c>
      <c r="G11" s="39" t="s">
        <v>150</v>
      </c>
      <c r="H11" s="35" t="s">
        <v>140</v>
      </c>
      <c r="I11" s="40" t="n">
        <f aca="false">JeonseRate</f>
        <v>0.52</v>
      </c>
      <c r="J11" s="24" t="n">
        <f aca="false">F11*I11</f>
        <v>10.608</v>
      </c>
      <c r="K11" s="24" t="n">
        <f aca="false">F11-J11</f>
        <v>9.792</v>
      </c>
      <c r="L11" s="24" t="n">
        <f aca="false">F11*Gongsi</f>
        <v>14.076</v>
      </c>
      <c r="M11" s="24" t="n">
        <f aca="false">MIN(LTV*F11,LOOKUP(F11,LoanLo,LoanCap))</f>
        <v>4</v>
      </c>
      <c r="N11" s="21" t="n">
        <f aca="false">F11*IF(F11&lt;=6,0.01,IF(F11&lt;=9,(F11*2/3-3)/100,0.03))*(1+EduAcq)+IF(E11&gt;85,F11*NongAcqRate,0)</f>
        <v>0.6732</v>
      </c>
      <c r="O11" s="21" t="n">
        <f aca="false">F11*LOOKUP(F11,FeeLo,FeeR)*(1+VAT)+EtcBuy</f>
        <v>0.17708</v>
      </c>
      <c r="P11" s="32" t="n">
        <f aca="false">F11-M11+N11+O11</f>
        <v>17.25028</v>
      </c>
      <c r="Q11" s="22" t="str">
        <f aca="false">IF(P11&lt;=CapA,"가능","부족 "&amp;TEXT(P11-CapA,"0.0")&amp;"억")</f>
        <v>부족 5.3억</v>
      </c>
      <c r="R11" s="22" t="str">
        <f aca="false">IF(P11&lt;=CapB,"가능","부족 "&amp;TEXT(P11-CapB,"0.0")&amp;"억")</f>
        <v>부족 3.3억</v>
      </c>
      <c r="S11" s="22" t="str">
        <f aca="false">IF(P11&lt;=CapC,"가능","부족 "&amp;TEXT(P11-CapC,"0.0")&amp;"억")</f>
        <v>부족 1.3억</v>
      </c>
      <c r="T11" s="30" t="n">
        <f aca="false">-PMT(Rm,LoanYears*12,M11)*10000</f>
        <v>190.966118186184</v>
      </c>
      <c r="U11" s="24" t="n">
        <f aca="false">-PMT((Rate+Stress)/12,LoanYears*12,M11)*12/DSR</f>
        <v>0.79836299421502</v>
      </c>
      <c r="V11" s="19" t="n">
        <f aca="false">SUMIFS(Sch_Total,Sch_Idx,A11,Sch_Scen,2,Sch_Year,1)*10000</f>
        <v>522.7632</v>
      </c>
    </row>
    <row r="12" customFormat="false" ht="61.5" hidden="false" customHeight="true" outlineLevel="0" collapsed="false">
      <c r="A12" s="20" t="n">
        <v>7</v>
      </c>
      <c r="B12" s="35" t="s">
        <v>151</v>
      </c>
      <c r="C12" s="36" t="s">
        <v>152</v>
      </c>
      <c r="D12" s="35" t="s">
        <v>153</v>
      </c>
      <c r="E12" s="37" t="n">
        <v>85</v>
      </c>
      <c r="F12" s="38" t="n">
        <v>14.5</v>
      </c>
      <c r="G12" s="39" t="s">
        <v>154</v>
      </c>
      <c r="H12" s="41" t="s">
        <v>155</v>
      </c>
      <c r="I12" s="40" t="n">
        <f aca="false">JeonseRate</f>
        <v>0.52</v>
      </c>
      <c r="J12" s="24" t="n">
        <f aca="false">F12*I12</f>
        <v>7.54</v>
      </c>
      <c r="K12" s="24" t="n">
        <f aca="false">F12-J12</f>
        <v>6.96</v>
      </c>
      <c r="L12" s="24" t="n">
        <f aca="false">F12*Gongsi</f>
        <v>10.005</v>
      </c>
      <c r="M12" s="24" t="n">
        <f aca="false">MIN(LTV*F12,LOOKUP(F12,LoanLo,LoanCap))</f>
        <v>5.8</v>
      </c>
      <c r="N12" s="21" t="n">
        <f aca="false">F12*IF(F12&lt;=6,0.01,IF(F12&lt;=9,(F12*2/3-3)/100,0.03))*(1+EduAcq)+IF(E12&gt;85,F12*NongAcqRate,0)</f>
        <v>0.4785</v>
      </c>
      <c r="O12" s="21" t="n">
        <f aca="false">F12*LOOKUP(F12,FeeLo,FeeR)*(1+VAT)+EtcBuy</f>
        <v>0.1157</v>
      </c>
      <c r="P12" s="32" t="n">
        <f aca="false">F12-M12+N12+O12</f>
        <v>9.2942</v>
      </c>
      <c r="Q12" s="22" t="str">
        <f aca="false">IF(P12&lt;=CapA,"가능","부족 "&amp;TEXT(P12-CapA,"0.0")&amp;"억")</f>
        <v>가능</v>
      </c>
      <c r="R12" s="22" t="str">
        <f aca="false">IF(P12&lt;=CapB,"가능","부족 "&amp;TEXT(P12-CapB,"0.0")&amp;"억")</f>
        <v>가능</v>
      </c>
      <c r="S12" s="22" t="str">
        <f aca="false">IF(P12&lt;=CapC,"가능","부족 "&amp;TEXT(P12-CapC,"0.0")&amp;"억")</f>
        <v>가능</v>
      </c>
      <c r="T12" s="30" t="n">
        <f aca="false">-PMT(Rm,LoanYears*12,M12)*10000</f>
        <v>276.900871369967</v>
      </c>
      <c r="U12" s="24" t="n">
        <f aca="false">-PMT((Rate+Stress)/12,LoanYears*12,M12)*12/DSR</f>
        <v>1.15762634161178</v>
      </c>
      <c r="V12" s="19" t="n">
        <f aca="false">SUMIFS(Sch_Total,Sch_Idx,A12,Sch_Scen,2,Sch_Year,1)*10000</f>
        <v>296.586</v>
      </c>
    </row>
    <row r="13" customFormat="false" ht="61.5" hidden="false" customHeight="true" outlineLevel="0" collapsed="false">
      <c r="A13" s="20" t="n">
        <v>8</v>
      </c>
      <c r="B13" s="35" t="s">
        <v>156</v>
      </c>
      <c r="C13" s="36" t="s">
        <v>157</v>
      </c>
      <c r="D13" s="35" t="s">
        <v>158</v>
      </c>
      <c r="E13" s="37" t="n">
        <v>84</v>
      </c>
      <c r="F13" s="38" t="n">
        <v>24.2</v>
      </c>
      <c r="G13" s="42" t="s">
        <v>159</v>
      </c>
      <c r="H13" s="41" t="s">
        <v>160</v>
      </c>
      <c r="I13" s="40" t="n">
        <f aca="false">JeonseRate</f>
        <v>0.52</v>
      </c>
      <c r="J13" s="24" t="n">
        <f aca="false">F13*I13</f>
        <v>12.584</v>
      </c>
      <c r="K13" s="24" t="n">
        <f aca="false">F13-J13</f>
        <v>11.616</v>
      </c>
      <c r="L13" s="24" t="n">
        <f aca="false">F13*Gongsi</f>
        <v>16.698</v>
      </c>
      <c r="M13" s="24" t="n">
        <f aca="false">MIN(LTV*F13,LOOKUP(F13,LoanLo,LoanCap))</f>
        <v>4</v>
      </c>
      <c r="N13" s="21" t="n">
        <f aca="false">F13*IF(F13&lt;=6,0.01,IF(F13&lt;=9,(F13*2/3-3)/100,0.03))*(1+EduAcq)+IF(E13&gt;85,F13*NongAcqRate,0)</f>
        <v>0.7986</v>
      </c>
      <c r="O13" s="21" t="n">
        <f aca="false">F13*LOOKUP(F13,FeeLo,FeeR)*(1+VAT)+EtcBuy</f>
        <v>0.20634</v>
      </c>
      <c r="P13" s="32" t="n">
        <f aca="false">F13-M13+N13+O13</f>
        <v>21.20494</v>
      </c>
      <c r="Q13" s="22" t="str">
        <f aca="false">IF(P13&lt;=CapA,"가능","부족 "&amp;TEXT(P13-CapA,"0.0")&amp;"억")</f>
        <v>부족 9.2억</v>
      </c>
      <c r="R13" s="22" t="str">
        <f aca="false">IF(P13&lt;=CapB,"가능","부족 "&amp;TEXT(P13-CapB,"0.0")&amp;"억")</f>
        <v>부족 7.2억</v>
      </c>
      <c r="S13" s="22" t="str">
        <f aca="false">IF(P13&lt;=CapC,"가능","부족 "&amp;TEXT(P13-CapC,"0.0")&amp;"억")</f>
        <v>부족 5.2억</v>
      </c>
      <c r="T13" s="30" t="n">
        <f aca="false">-PMT(Rm,LoanYears*12,M13)*10000</f>
        <v>190.966118186184</v>
      </c>
      <c r="U13" s="24" t="n">
        <f aca="false">-PMT((Rate+Stress)/12,LoanYears*12,M13)*12/DSR</f>
        <v>0.79836299421502</v>
      </c>
      <c r="V13" s="19" t="n">
        <f aca="false">SUMIFS(Sch_Total,Sch_Idx,A13,Sch_Scen,2,Sch_Year,1)*10000</f>
        <v>714.6936</v>
      </c>
    </row>
    <row r="14" customFormat="false" ht="61.5" hidden="false" customHeight="true" outlineLevel="0" collapsed="false">
      <c r="A14" s="20" t="n">
        <v>9</v>
      </c>
      <c r="B14" s="35" t="s">
        <v>161</v>
      </c>
      <c r="C14" s="36" t="s">
        <v>162</v>
      </c>
      <c r="D14" s="35" t="s">
        <v>163</v>
      </c>
      <c r="E14" s="37" t="n">
        <v>84.98</v>
      </c>
      <c r="F14" s="38" t="n">
        <v>20</v>
      </c>
      <c r="G14" s="39" t="s">
        <v>164</v>
      </c>
      <c r="H14" s="41" t="s">
        <v>165</v>
      </c>
      <c r="I14" s="40" t="n">
        <f aca="false">JeonseRate</f>
        <v>0.52</v>
      </c>
      <c r="J14" s="24" t="n">
        <f aca="false">F14*I14</f>
        <v>10.4</v>
      </c>
      <c r="K14" s="24" t="n">
        <f aca="false">F14-J14</f>
        <v>9.6</v>
      </c>
      <c r="L14" s="24" t="n">
        <f aca="false">F14*Gongsi</f>
        <v>13.8</v>
      </c>
      <c r="M14" s="24" t="n">
        <f aca="false">MIN(LTV*F14,LOOKUP(F14,LoanLo,LoanCap))</f>
        <v>4</v>
      </c>
      <c r="N14" s="21" t="n">
        <f aca="false">F14*IF(F14&lt;=6,0.01,IF(F14&lt;=9,(F14*2/3-3)/100,0.03))*(1+EduAcq)+IF(E14&gt;85,F14*NongAcqRate,0)</f>
        <v>0.66</v>
      </c>
      <c r="O14" s="21" t="n">
        <f aca="false">F14*LOOKUP(F14,FeeLo,FeeR)*(1+VAT)+EtcBuy</f>
        <v>0.174</v>
      </c>
      <c r="P14" s="32" t="n">
        <f aca="false">F14-M14+N14+O14</f>
        <v>16.834</v>
      </c>
      <c r="Q14" s="22" t="str">
        <f aca="false">IF(P14&lt;=CapA,"가능","부족 "&amp;TEXT(P14-CapA,"0.0")&amp;"억")</f>
        <v>부족 4.8억</v>
      </c>
      <c r="R14" s="22" t="str">
        <f aca="false">IF(P14&lt;=CapB,"가능","부족 "&amp;TEXT(P14-CapB,"0.0")&amp;"억")</f>
        <v>부족 2.8억</v>
      </c>
      <c r="S14" s="22" t="str">
        <f aca="false">IF(P14&lt;=CapC,"가능","부족 "&amp;TEXT(P14-CapC,"0.0")&amp;"억")</f>
        <v>부족 0.8억</v>
      </c>
      <c r="T14" s="30" t="n">
        <f aca="false">-PMT(Rm,LoanYears*12,M14)*10000</f>
        <v>190.966118186184</v>
      </c>
      <c r="U14" s="24" t="n">
        <f aca="false">-PMT((Rate+Stress)/12,LoanYears*12,M14)*12/DSR</f>
        <v>0.79836299421502</v>
      </c>
      <c r="V14" s="19" t="n">
        <f aca="false">SUMIFS(Sch_Total,Sch_Idx,A14,Sch_Scen,2,Sch_Year,1)*10000</f>
        <v>502.56</v>
      </c>
    </row>
    <row r="15" customFormat="false" ht="61.5" hidden="false" customHeight="true" outlineLevel="0" collapsed="false">
      <c r="A15" s="20" t="n">
        <v>10</v>
      </c>
      <c r="B15" s="35" t="s">
        <v>161</v>
      </c>
      <c r="C15" s="36" t="s">
        <v>162</v>
      </c>
      <c r="D15" s="35" t="s">
        <v>166</v>
      </c>
      <c r="E15" s="37" t="n">
        <v>85</v>
      </c>
      <c r="F15" s="38" t="n">
        <v>23.07</v>
      </c>
      <c r="G15" s="39" t="s">
        <v>167</v>
      </c>
      <c r="H15" s="35" t="s">
        <v>140</v>
      </c>
      <c r="I15" s="40" t="n">
        <f aca="false">JeonseRate</f>
        <v>0.52</v>
      </c>
      <c r="J15" s="24" t="n">
        <f aca="false">F15*I15</f>
        <v>11.9964</v>
      </c>
      <c r="K15" s="24" t="n">
        <f aca="false">F15-J15</f>
        <v>11.0736</v>
      </c>
      <c r="L15" s="24" t="n">
        <f aca="false">F15*Gongsi</f>
        <v>15.9183</v>
      </c>
      <c r="M15" s="24" t="n">
        <f aca="false">MIN(LTV*F15,LOOKUP(F15,LoanLo,LoanCap))</f>
        <v>4</v>
      </c>
      <c r="N15" s="21" t="n">
        <f aca="false">F15*IF(F15&lt;=6,0.01,IF(F15&lt;=9,(F15*2/3-3)/100,0.03))*(1+EduAcq)+IF(E15&gt;85,F15*NongAcqRate,0)</f>
        <v>0.76131</v>
      </c>
      <c r="O15" s="21" t="n">
        <f aca="false">F15*LOOKUP(F15,FeeLo,FeeR)*(1+VAT)+EtcBuy</f>
        <v>0.197639</v>
      </c>
      <c r="P15" s="32" t="n">
        <f aca="false">F15-M15+N15+O15</f>
        <v>20.028949</v>
      </c>
      <c r="Q15" s="22" t="str">
        <f aca="false">IF(P15&lt;=CapA,"가능","부족 "&amp;TEXT(P15-CapA,"0.0")&amp;"억")</f>
        <v>부족 8.0억</v>
      </c>
      <c r="R15" s="22" t="str">
        <f aca="false">IF(P15&lt;=CapB,"가능","부족 "&amp;TEXT(P15-CapB,"0.0")&amp;"억")</f>
        <v>부족 6.0억</v>
      </c>
      <c r="S15" s="22" t="str">
        <f aca="false">IF(P15&lt;=CapC,"가능","부족 "&amp;TEXT(P15-CapC,"0.0")&amp;"억")</f>
        <v>부족 4.0억</v>
      </c>
      <c r="T15" s="30" t="n">
        <f aca="false">-PMT(Rm,LoanYears*12,M15)*10000</f>
        <v>190.966118186184</v>
      </c>
      <c r="U15" s="24" t="n">
        <f aca="false">-PMT((Rate+Stress)/12,LoanYears*12,M15)*12/DSR</f>
        <v>0.79836299421502</v>
      </c>
      <c r="V15" s="19" t="n">
        <f aca="false">SUMIFS(Sch_Total,Sch_Idx,A15,Sch_Scen,2,Sch_Year,1)*10000</f>
        <v>657.61956</v>
      </c>
    </row>
    <row r="16" customFormat="false" ht="61.5" hidden="false" customHeight="true" outlineLevel="0" collapsed="false">
      <c r="A16" s="20" t="n">
        <v>11</v>
      </c>
      <c r="B16" s="35" t="s">
        <v>161</v>
      </c>
      <c r="C16" s="36" t="s">
        <v>162</v>
      </c>
      <c r="D16" s="35" t="s">
        <v>168</v>
      </c>
      <c r="E16" s="37" t="n">
        <v>84.75</v>
      </c>
      <c r="F16" s="38" t="n">
        <v>28.75</v>
      </c>
      <c r="G16" s="39" t="s">
        <v>169</v>
      </c>
      <c r="H16" s="35" t="s">
        <v>170</v>
      </c>
      <c r="I16" s="40" t="n">
        <f aca="false">JeonseRate</f>
        <v>0.52</v>
      </c>
      <c r="J16" s="24" t="n">
        <f aca="false">F16*I16</f>
        <v>14.95</v>
      </c>
      <c r="K16" s="24" t="n">
        <f aca="false">F16-J16</f>
        <v>13.8</v>
      </c>
      <c r="L16" s="24" t="n">
        <f aca="false">F16*Gongsi</f>
        <v>19.8375</v>
      </c>
      <c r="M16" s="24" t="n">
        <f aca="false">MIN(LTV*F16,LOOKUP(F16,LoanLo,LoanCap))</f>
        <v>2</v>
      </c>
      <c r="N16" s="21" t="n">
        <f aca="false">F16*IF(F16&lt;=6,0.01,IF(F16&lt;=9,(F16*2/3-3)/100,0.03))*(1+EduAcq)+IF(E16&gt;85,F16*NongAcqRate,0)</f>
        <v>0.94875</v>
      </c>
      <c r="O16" s="21" t="n">
        <f aca="false">F16*LOOKUP(F16,FeeLo,FeeR)*(1+VAT)+EtcBuy</f>
        <v>0.241375</v>
      </c>
      <c r="P16" s="32" t="n">
        <f aca="false">F16-M16+N16+O16</f>
        <v>27.940125</v>
      </c>
      <c r="Q16" s="22" t="str">
        <f aca="false">IF(P16&lt;=CapA,"가능","부족 "&amp;TEXT(P16-CapA,"0.0")&amp;"억")</f>
        <v>부족 15.9억</v>
      </c>
      <c r="R16" s="22" t="str">
        <f aca="false">IF(P16&lt;=CapB,"가능","부족 "&amp;TEXT(P16-CapB,"0.0")&amp;"억")</f>
        <v>부족 13.9억</v>
      </c>
      <c r="S16" s="22" t="str">
        <f aca="false">IF(P16&lt;=CapC,"가능","부족 "&amp;TEXT(P16-CapC,"0.0")&amp;"억")</f>
        <v>부족 11.9억</v>
      </c>
      <c r="T16" s="30" t="n">
        <f aca="false">-PMT(Rm,LoanYears*12,M16)*10000</f>
        <v>95.4830590930919</v>
      </c>
      <c r="U16" s="24" t="n">
        <f aca="false">-PMT((Rate+Stress)/12,LoanYears*12,M16)*12/DSR</f>
        <v>0.39918149710751</v>
      </c>
      <c r="V16" s="19" t="n">
        <f aca="false">SUMIFS(Sch_Total,Sch_Idx,A16,Sch_Scen,2,Sch_Year,1)*10000</f>
        <v>985.365</v>
      </c>
    </row>
    <row r="17" customFormat="false" ht="61.5" hidden="false" customHeight="true" outlineLevel="0" collapsed="false">
      <c r="A17" s="20" t="n">
        <v>12</v>
      </c>
      <c r="B17" s="36" t="s">
        <v>171</v>
      </c>
      <c r="C17" s="36" t="s">
        <v>172</v>
      </c>
      <c r="D17" s="35" t="s">
        <v>173</v>
      </c>
      <c r="E17" s="37" t="n">
        <v>84</v>
      </c>
      <c r="F17" s="38" t="n">
        <v>14</v>
      </c>
      <c r="G17" s="42" t="s">
        <v>174</v>
      </c>
      <c r="H17" s="41" t="s">
        <v>175</v>
      </c>
      <c r="I17" s="40" t="n">
        <f aca="false">JeonseRate</f>
        <v>0.52</v>
      </c>
      <c r="J17" s="24" t="n">
        <f aca="false">F17*I17</f>
        <v>7.28</v>
      </c>
      <c r="K17" s="24" t="n">
        <f aca="false">F17-J17</f>
        <v>6.72</v>
      </c>
      <c r="L17" s="24" t="n">
        <f aca="false">F17*Gongsi</f>
        <v>9.66</v>
      </c>
      <c r="M17" s="24" t="n">
        <f aca="false">MIN(LTV*F17,LOOKUP(F17,LoanLo,LoanCap))</f>
        <v>5.6</v>
      </c>
      <c r="N17" s="21" t="n">
        <f aca="false">F17*IF(F17&lt;=6,0.01,IF(F17&lt;=9,(F17*2/3-3)/100,0.03))*(1+EduAcq)+IF(E17&gt;85,F17*NongAcqRate,0)</f>
        <v>0.462</v>
      </c>
      <c r="O17" s="21" t="n">
        <f aca="false">F17*LOOKUP(F17,FeeLo,FeeR)*(1+VAT)+EtcBuy</f>
        <v>0.1124</v>
      </c>
      <c r="P17" s="32" t="n">
        <f aca="false">F17-M17+N17+O17</f>
        <v>8.9744</v>
      </c>
      <c r="Q17" s="22" t="str">
        <f aca="false">IF(P17&lt;=CapA,"가능","부족 "&amp;TEXT(P17-CapA,"0.0")&amp;"억")</f>
        <v>가능</v>
      </c>
      <c r="R17" s="22" t="str">
        <f aca="false">IF(P17&lt;=CapB,"가능","부족 "&amp;TEXT(P17-CapB,"0.0")&amp;"억")</f>
        <v>가능</v>
      </c>
      <c r="S17" s="22" t="str">
        <f aca="false">IF(P17&lt;=CapC,"가능","부족 "&amp;TEXT(P17-CapC,"0.0")&amp;"억")</f>
        <v>가능</v>
      </c>
      <c r="T17" s="30" t="n">
        <f aca="false">-PMT(Rm,LoanYears*12,M17)*10000</f>
        <v>267.352565460657</v>
      </c>
      <c r="U17" s="24" t="n">
        <f aca="false">-PMT((Rate+Stress)/12,LoanYears*12,M17)*12/DSR</f>
        <v>1.11770819190103</v>
      </c>
      <c r="V17" s="19" t="n">
        <f aca="false">SUMIFS(Sch_Total,Sch_Idx,A17,Sch_Scen,2,Sch_Year,1)*10000</f>
        <v>283.752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1" min="3" style="0" width="11"/>
  </cols>
  <sheetData>
    <row r="1" customFormat="false" ht="19.4" hidden="false" customHeight="false" outlineLevel="0" collapsed="false">
      <c r="A1" s="6" t="s">
        <v>176</v>
      </c>
    </row>
    <row r="2" customFormat="false" ht="15" hidden="false" customHeight="false" outlineLevel="0" collapsed="false">
      <c r="A2" s="11" t="s">
        <v>177</v>
      </c>
    </row>
    <row r="4" customFormat="false" ht="42" hidden="false" customHeight="true" outlineLevel="0" collapsed="false">
      <c r="A4" s="13" t="s">
        <v>57</v>
      </c>
      <c r="B4" s="13" t="s">
        <v>58</v>
      </c>
      <c r="C4" s="13" t="s">
        <v>60</v>
      </c>
      <c r="D4" s="13" t="s">
        <v>29</v>
      </c>
      <c r="E4" s="13" t="s">
        <v>178</v>
      </c>
      <c r="F4" s="13" t="s">
        <v>67</v>
      </c>
      <c r="G4" s="13" t="s">
        <v>34</v>
      </c>
      <c r="H4" s="13" t="s">
        <v>63</v>
      </c>
      <c r="I4" s="13" t="s">
        <v>64</v>
      </c>
      <c r="J4" s="13" t="s">
        <v>35</v>
      </c>
      <c r="K4" s="13" t="s">
        <v>179</v>
      </c>
      <c r="L4" s="13" t="s">
        <v>68</v>
      </c>
      <c r="M4" s="13" t="s">
        <v>69</v>
      </c>
      <c r="N4" s="13" t="s">
        <v>70</v>
      </c>
      <c r="O4" s="13" t="s">
        <v>180</v>
      </c>
      <c r="P4" s="13" t="s">
        <v>38</v>
      </c>
      <c r="Q4" s="13" t="s">
        <v>71</v>
      </c>
      <c r="R4" s="13" t="s">
        <v>72</v>
      </c>
      <c r="S4" s="13" t="s">
        <v>73</v>
      </c>
      <c r="T4" s="13" t="s">
        <v>74</v>
      </c>
      <c r="U4" s="13" t="s">
        <v>181</v>
      </c>
      <c r="V4" s="13" t="s">
        <v>75</v>
      </c>
      <c r="W4" s="13" t="s">
        <v>182</v>
      </c>
      <c r="X4" s="13" t="s">
        <v>183</v>
      </c>
      <c r="Y4" s="13" t="s">
        <v>41</v>
      </c>
      <c r="Z4" s="13" t="s">
        <v>184</v>
      </c>
      <c r="AA4" s="13" t="s">
        <v>185</v>
      </c>
      <c r="AB4" s="13" t="s">
        <v>186</v>
      </c>
      <c r="AC4" s="13" t="s">
        <v>99</v>
      </c>
      <c r="AD4" s="13" t="s">
        <v>187</v>
      </c>
      <c r="AE4" s="13" t="s">
        <v>188</v>
      </c>
    </row>
    <row r="5" customFormat="false" ht="15" hidden="false" customHeight="false" outlineLevel="0" collapsed="false">
      <c r="A5" s="20" t="n">
        <v>1</v>
      </c>
      <c r="B5" s="18" t="str">
        <f aca="false">INDEX(C_Name,A5)</f>
        <v>문래건영아파트 84㎡</v>
      </c>
      <c r="C5" s="20" t="n">
        <v>1</v>
      </c>
      <c r="D5" s="10" t="n">
        <f aca="false">CHOOSE(C5,GrowLo,GrowMid,GrowHi)</f>
        <v>0.02</v>
      </c>
      <c r="E5" s="20" t="n">
        <v>3</v>
      </c>
      <c r="F5" s="20" t="n">
        <f aca="false">MAX(0,E5-NonRes)</f>
        <v>3</v>
      </c>
      <c r="G5" s="18" t="n">
        <f aca="false">INDEX(C_Price,A5)</f>
        <v>13.9</v>
      </c>
      <c r="H5" s="18" t="n">
        <f aca="false">INDEX(C_Acq,A5)</f>
        <v>0.4587</v>
      </c>
      <c r="I5" s="18" t="n">
        <f aca="false">INDEX(C_Fee,A5)</f>
        <v>0.11174</v>
      </c>
      <c r="J5" s="18" t="n">
        <f aca="false">INDEX(C_Loan,A5)</f>
        <v>5.56</v>
      </c>
      <c r="K5" s="21" t="n">
        <f aca="false">G5-J5+H5+I5</f>
        <v>8.91044</v>
      </c>
      <c r="L5" s="21" t="n">
        <f aca="false">G5*(1+D5)^E5</f>
        <v>14.7507912</v>
      </c>
      <c r="M5" s="21" t="n">
        <f aca="false">L5*LOOKUP(L5,FeeLo,FeeR)*(1+VAT)</f>
        <v>0.09735522192</v>
      </c>
      <c r="N5" s="21" t="n">
        <f aca="false">-CUMIPMT(Rm,LoanYears*12,J5,1,E5*12,0)</f>
        <v>0.649723597572026</v>
      </c>
      <c r="O5" s="21" t="n">
        <f aca="false">J5*(1+Rm)^(E5*12)-(J5*Rm/(1-(1+Rm)^(-LoanYears*12)))*((1+Rm)^(E5*12)-1)/Rm</f>
        <v>5.25412914216837</v>
      </c>
      <c r="P5" s="29" t="n">
        <f aca="false">SUMIFS(Sch_Total,Sch_Idx,A5,Sch_Scen,C5,Sch_Year,"&lt;="&amp;E5)</f>
        <v>0.086510542608</v>
      </c>
      <c r="Q5" s="21" t="n">
        <f aca="false">H5+I5+M5</f>
        <v>0.66779522192</v>
      </c>
      <c r="R5" s="21" t="n">
        <f aca="false">L5-G5-Q5</f>
        <v>0.182995978080001</v>
      </c>
      <c r="S5" s="21" t="n">
        <f aca="false">MAX(0,IF(F5&gt;=2,IF(L5&gt;Exempt,R5*(L5-Exempt)/L5,0),R5))</f>
        <v>0.0341258797113108</v>
      </c>
      <c r="T5" s="10" t="n">
        <f aca="false">IF(F5&gt;=2,MIN(MaxDed,MIN(0.4,HoldRate*E5)+MIN(0.4,LiveRate*F5)),IF(E5&gt;=3,MIN(0.3,0.02*E5),0))</f>
        <v>0.24</v>
      </c>
      <c r="U5" s="21" t="n">
        <f aca="false">S5*(1-T5)</f>
        <v>0.0259356685805962</v>
      </c>
      <c r="V5" s="21" t="n">
        <f aca="false">MAX(0,U5-InitDed)</f>
        <v>0.000935668580596169</v>
      </c>
      <c r="W5" s="29" t="n">
        <f aca="false">SUMPRODUCT((V5&gt;CLo)*(V5-CLo)*CD)*(1+LocalTax)</f>
        <v>6.17541263193472E-005</v>
      </c>
      <c r="X5" s="21" t="n">
        <f aca="false">H5+P5+W5</f>
        <v>0.545272296734319</v>
      </c>
      <c r="Y5" s="29" t="n">
        <f aca="false">(L5-G5)-H5-I5-M5-N5-P5-W5</f>
        <v>-0.553299916226344</v>
      </c>
      <c r="Z5" s="10" t="n">
        <f aca="false">Y5/K5</f>
        <v>-0.0620956895760865</v>
      </c>
      <c r="AA5" s="10" t="n">
        <f aca="false">IF(1+Z5&gt;0,(1+Z5)^(1/E5)-1,-1)</f>
        <v>-0.0211424146578455</v>
      </c>
      <c r="AB5" s="21" t="n">
        <f aca="false">L5-O5-M5-W5</f>
        <v>9.39924508178532</v>
      </c>
      <c r="AC5" s="24" t="n">
        <f aca="false">AB5/K5</f>
        <v>1.05485756952354</v>
      </c>
      <c r="AD5" s="21" t="n">
        <f aca="false">K5*((1+DepRate*(1-DepTax))^E5-1)</f>
        <v>0.695805402985106</v>
      </c>
      <c r="AE5" s="21" t="n">
        <f aca="false">Y5-AD5</f>
        <v>-1.24910531921145</v>
      </c>
    </row>
    <row r="6" customFormat="false" ht="15" hidden="false" customHeight="false" outlineLevel="0" collapsed="false">
      <c r="A6" s="20" t="n">
        <v>1</v>
      </c>
      <c r="B6" s="18" t="str">
        <f aca="false">INDEX(C_Name,A6)</f>
        <v>문래건영아파트 84㎡</v>
      </c>
      <c r="C6" s="20" t="n">
        <v>1</v>
      </c>
      <c r="D6" s="10" t="n">
        <f aca="false">CHOOSE(C6,GrowLo,GrowMid,GrowHi)</f>
        <v>0.02</v>
      </c>
      <c r="E6" s="20" t="n">
        <v>5</v>
      </c>
      <c r="F6" s="20" t="n">
        <f aca="false">MAX(0,E6-NonRes)</f>
        <v>5</v>
      </c>
      <c r="G6" s="18" t="n">
        <f aca="false">INDEX(C_Price,A6)</f>
        <v>13.9</v>
      </c>
      <c r="H6" s="18" t="n">
        <f aca="false">INDEX(C_Acq,A6)</f>
        <v>0.4587</v>
      </c>
      <c r="I6" s="18" t="n">
        <f aca="false">INDEX(C_Fee,A6)</f>
        <v>0.11174</v>
      </c>
      <c r="J6" s="18" t="n">
        <f aca="false">INDEX(C_Loan,A6)</f>
        <v>5.56</v>
      </c>
      <c r="K6" s="21" t="n">
        <f aca="false">G6-J6+H6+I6</f>
        <v>8.91044</v>
      </c>
      <c r="L6" s="21" t="n">
        <f aca="false">G6*(1+D6)^E6</f>
        <v>15.34672316448</v>
      </c>
      <c r="M6" s="21" t="n">
        <f aca="false">L6*LOOKUP(L6,FeeLo,FeeR)*(1+VAT)</f>
        <v>0.118169768366496</v>
      </c>
      <c r="N6" s="21" t="n">
        <f aca="false">-CUMIPMT(Rm,LoanYears*12,J6,1,E6*12,0)</f>
        <v>1.06153915603943</v>
      </c>
      <c r="O6" s="21" t="n">
        <f aca="false">J6*(1+Rm)^(E6*12)-(J6*Rm/(1-(1+Rm)^(-LoanYears*12)))*((1+Rm)^(E6*12)-1)/Rm</f>
        <v>5.02888173036667</v>
      </c>
      <c r="P6" s="29" t="n">
        <f aca="false">SUMIFS(Sch_Total,Sch_Idx,A6,Sch_Scen,C6,Sch_Year,"&lt;="&amp;E6)</f>
        <v>0.147872450929363</v>
      </c>
      <c r="Q6" s="21" t="n">
        <f aca="false">H6+I6+M6</f>
        <v>0.688609768366496</v>
      </c>
      <c r="R6" s="21" t="n">
        <f aca="false">L6-G6-Q6</f>
        <v>0.758113396113504</v>
      </c>
      <c r="S6" s="21" t="n">
        <f aca="false">MAX(0,IF(F6&gt;=2,IF(L6&gt;Exempt,R6*(L6-Exempt)/L6,0),R6))</f>
        <v>0.165324912483468</v>
      </c>
      <c r="T6" s="10" t="n">
        <f aca="false">IF(F6&gt;=2,MIN(MaxDed,MIN(0.4,HoldRate*E6)+MIN(0.4,LiveRate*F6)),IF(E6&gt;=3,MIN(0.3,0.02*E6),0))</f>
        <v>0.4</v>
      </c>
      <c r="U6" s="21" t="n">
        <f aca="false">S6*(1-T6)</f>
        <v>0.0991949474900807</v>
      </c>
      <c r="V6" s="21" t="n">
        <f aca="false">MAX(0,U6-InitDed)</f>
        <v>0.0741949474900807</v>
      </c>
      <c r="W6" s="29" t="n">
        <f aca="false">SUMPRODUCT((V6&gt;CLo)*(V6-CLo)*CD)*(1+LocalTax)</f>
        <v>0.00489686653434533</v>
      </c>
      <c r="X6" s="21" t="n">
        <f aca="false">H6+P6+W6</f>
        <v>0.611469317463709</v>
      </c>
      <c r="Y6" s="29" t="n">
        <f aca="false">(L6-G6)-H6-I6-M6-N6-P6-W6</f>
        <v>-0.456195077389634</v>
      </c>
      <c r="Z6" s="10" t="n">
        <f aca="false">Y6/K6</f>
        <v>-0.0511978170987778</v>
      </c>
      <c r="AA6" s="10" t="n">
        <f aca="false">IF(1+Z6&gt;0,(1+Z6)^(1/E6)-1,-1)</f>
        <v>-0.0104559425898415</v>
      </c>
      <c r="AB6" s="21" t="n">
        <f aca="false">L6-O6-M6-W6</f>
        <v>10.1947747992125</v>
      </c>
      <c r="AC6" s="24" t="n">
        <f aca="false">AB6/K6</f>
        <v>1.14413820184104</v>
      </c>
      <c r="AD6" s="21" t="n">
        <f aca="false">K6*((1+DepRate*(1-DepTax))^E6-1)</f>
        <v>1.18960622882199</v>
      </c>
      <c r="AE6" s="21" t="n">
        <f aca="false">Y6-AD6</f>
        <v>-1.64580130621162</v>
      </c>
    </row>
    <row r="7" customFormat="false" ht="15" hidden="false" customHeight="false" outlineLevel="0" collapsed="false">
      <c r="A7" s="20" t="n">
        <v>1</v>
      </c>
      <c r="B7" s="18" t="str">
        <f aca="false">INDEX(C_Name,A7)</f>
        <v>문래건영아파트 84㎡</v>
      </c>
      <c r="C7" s="20" t="n">
        <v>1</v>
      </c>
      <c r="D7" s="10" t="n">
        <f aca="false">CHOOSE(C7,GrowLo,GrowMid,GrowHi)</f>
        <v>0.02</v>
      </c>
      <c r="E7" s="20" t="n">
        <v>7</v>
      </c>
      <c r="F7" s="20" t="n">
        <f aca="false">MAX(0,E7-NonRes)</f>
        <v>7</v>
      </c>
      <c r="G7" s="18" t="n">
        <f aca="false">INDEX(C_Price,A7)</f>
        <v>13.9</v>
      </c>
      <c r="H7" s="18" t="n">
        <f aca="false">INDEX(C_Acq,A7)</f>
        <v>0.4587</v>
      </c>
      <c r="I7" s="18" t="n">
        <f aca="false">INDEX(C_Fee,A7)</f>
        <v>0.11174</v>
      </c>
      <c r="J7" s="18" t="n">
        <f aca="false">INDEX(C_Loan,A7)</f>
        <v>5.56</v>
      </c>
      <c r="K7" s="21" t="n">
        <f aca="false">G7-J7+H7+I7</f>
        <v>8.91044</v>
      </c>
      <c r="L7" s="21" t="n">
        <f aca="false">G7*(1+D7)^E7</f>
        <v>15.966730780325</v>
      </c>
      <c r="M7" s="21" t="n">
        <f aca="false">L7*LOOKUP(L7,FeeLo,FeeR)*(1+VAT)</f>
        <v>0.122943827008502</v>
      </c>
      <c r="N7" s="21" t="n">
        <f aca="false">-CUMIPMT(Rm,LoanYears*12,J7,1,E7*12,0)</f>
        <v>1.45462697814672</v>
      </c>
      <c r="O7" s="21" t="n">
        <f aca="false">J7*(1+Rm)^(E7*12)-(J7*Rm/(1-(1+Rm)^(-LoanYears*12)))*((1+Rm)^(E7*12)-1)/Rm</f>
        <v>4.78490658220485</v>
      </c>
      <c r="P7" s="29" t="n">
        <f aca="false">SUMIFS(Sch_Total,Sch_Idx,A7,Sch_Scen,C7,Sch_Year,"&lt;="&amp;E7)</f>
        <v>0.212324228346909</v>
      </c>
      <c r="Q7" s="21" t="n">
        <f aca="false">H7+I7+M7</f>
        <v>0.693383827008503</v>
      </c>
      <c r="R7" s="21" t="n">
        <f aca="false">L7-G7-Q7</f>
        <v>1.37334695331649</v>
      </c>
      <c r="S7" s="21" t="n">
        <f aca="false">MAX(0,IF(F7&gt;=2,IF(L7&gt;Exempt,R7*(L7-Exempt)/L7,0),R7))</f>
        <v>0.341190548443329</v>
      </c>
      <c r="T7" s="10" t="n">
        <f aca="false">IF(F7&gt;=2,MIN(MaxDed,MIN(0.4,HoldRate*E7)+MIN(0.4,LiveRate*F7)),IF(E7&gt;=3,MIN(0.3,0.02*E7),0))</f>
        <v>0.56</v>
      </c>
      <c r="U7" s="21" t="n">
        <f aca="false">S7*(1-T7)</f>
        <v>0.150123841315065</v>
      </c>
      <c r="V7" s="21" t="n">
        <f aca="false">MAX(0,U7-InitDed)</f>
        <v>0.125123841315065</v>
      </c>
      <c r="W7" s="29" t="n">
        <f aca="false">SUMPRODUCT((V7&gt;CLo)*(V7-CLo)*CD)*(1+LocalTax)</f>
        <v>0.00825817352679428</v>
      </c>
      <c r="X7" s="21" t="n">
        <f aca="false">H7+P7+W7</f>
        <v>0.679282401873704</v>
      </c>
      <c r="Y7" s="29" t="n">
        <f aca="false">(L7-G7)-H7-I7-M7-N7-P7-W7</f>
        <v>-0.301862426703931</v>
      </c>
      <c r="Z7" s="10" t="n">
        <f aca="false">Y7/K7</f>
        <v>-0.033877387278735</v>
      </c>
      <c r="AA7" s="10" t="n">
        <f aca="false">IF(1+Z7&gt;0,(1+Z7)^(1/E7)-1,-1)</f>
        <v>-0.00491140292975656</v>
      </c>
      <c r="AB7" s="21" t="n">
        <f aca="false">L7-O7-M7-W7</f>
        <v>11.0506221975848</v>
      </c>
      <c r="AC7" s="24" t="n">
        <f aca="false">AB7/K7</f>
        <v>1.24018816103187</v>
      </c>
      <c r="AD7" s="21" t="n">
        <f aca="false">K7*((1+DepRate*(1-DepTax))^E7-1)</f>
        <v>1.70879046361503</v>
      </c>
      <c r="AE7" s="21" t="n">
        <f aca="false">Y7-AD7</f>
        <v>-2.01065289031896</v>
      </c>
    </row>
    <row r="8" customFormat="false" ht="15" hidden="false" customHeight="false" outlineLevel="0" collapsed="false">
      <c r="A8" s="20" t="n">
        <v>1</v>
      </c>
      <c r="B8" s="18" t="str">
        <f aca="false">INDEX(C_Name,A8)</f>
        <v>문래건영아파트 84㎡</v>
      </c>
      <c r="C8" s="20" t="n">
        <v>1</v>
      </c>
      <c r="D8" s="10" t="n">
        <f aca="false">CHOOSE(C8,GrowLo,GrowMid,GrowHi)</f>
        <v>0.02</v>
      </c>
      <c r="E8" s="20" t="n">
        <v>10</v>
      </c>
      <c r="F8" s="20" t="n">
        <f aca="false">MAX(0,E8-NonRes)</f>
        <v>10</v>
      </c>
      <c r="G8" s="18" t="n">
        <f aca="false">INDEX(C_Price,A8)</f>
        <v>13.9</v>
      </c>
      <c r="H8" s="18" t="n">
        <f aca="false">INDEX(C_Acq,A8)</f>
        <v>0.4587</v>
      </c>
      <c r="I8" s="18" t="n">
        <f aca="false">INDEX(C_Fee,A8)</f>
        <v>0.11174</v>
      </c>
      <c r="J8" s="18" t="n">
        <f aca="false">INDEX(C_Loan,A8)</f>
        <v>5.56</v>
      </c>
      <c r="K8" s="21" t="n">
        <f aca="false">G8-J8+H8+I8</f>
        <v>8.91044</v>
      </c>
      <c r="L8" s="21" t="n">
        <f aca="false">G8*(1+D8)^E8</f>
        <v>16.9440224379271</v>
      </c>
      <c r="M8" s="21" t="n">
        <f aca="false">L8*LOOKUP(L8,FeeLo,FeeR)*(1+VAT)</f>
        <v>0.130468972772039</v>
      </c>
      <c r="N8" s="21" t="n">
        <f aca="false">-CUMIPMT(Rm,LoanYears*12,J8,1,E8*12,0)</f>
        <v>2.00570298350946</v>
      </c>
      <c r="O8" s="21" t="n">
        <f aca="false">J8*(1+Rm)^(E8*12)-(J8*Rm/(1-(1+Rm)^(-LoanYears*12)))*((1+Rm)^(E8*12)-1)/Rm</f>
        <v>4.38038813216393</v>
      </c>
      <c r="P8" s="29" t="n">
        <f aca="false">SUMIFS(Sch_Total,Sch_Idx,A8,Sch_Scen,C8,Sch_Year,"&lt;="&amp;E8)</f>
        <v>0.315069839683567</v>
      </c>
      <c r="Q8" s="21" t="n">
        <f aca="false">H8+I8+M8</f>
        <v>0.700908972772039</v>
      </c>
      <c r="R8" s="21" t="n">
        <f aca="false">L8-G8-Q8</f>
        <v>2.34311346515509</v>
      </c>
      <c r="S8" s="21" t="n">
        <f aca="false">MAX(0,IF(F8&gt;=2,IF(L8&gt;Exempt,R8*(L8-Exempt)/L8,0),R8))</f>
        <v>0.683686862949713</v>
      </c>
      <c r="T8" s="10" t="n">
        <f aca="false">IF(F8&gt;=2,MIN(MaxDed,MIN(0.4,HoldRate*E8)+MIN(0.4,LiveRate*F8)),IF(E8&gt;=3,MIN(0.3,0.02*E8),0))</f>
        <v>0.8</v>
      </c>
      <c r="U8" s="21" t="n">
        <f aca="false">S8*(1-T8)</f>
        <v>0.136737372589943</v>
      </c>
      <c r="V8" s="21" t="n">
        <f aca="false">MAX(0,U8-InitDed)</f>
        <v>0.111737372589943</v>
      </c>
      <c r="W8" s="29" t="n">
        <f aca="false">SUMPRODUCT((V8&gt;CLo)*(V8-CLo)*CD)*(1+LocalTax)</f>
        <v>0.00737466659093621</v>
      </c>
      <c r="X8" s="21" t="n">
        <f aca="false">H8+P8+W8</f>
        <v>0.781144506274503</v>
      </c>
      <c r="Y8" s="29" t="n">
        <f aca="false">(L8-G8)-H8-I8-M8-N8-P8-W8</f>
        <v>0.0149659753711292</v>
      </c>
      <c r="Z8" s="10" t="n">
        <f aca="false">Y8/K8</f>
        <v>0.00167960003895758</v>
      </c>
      <c r="AA8" s="10" t="n">
        <f aca="false">IF(1+Z8&gt;0,(1+Z8)^(1/E8)-1,-1)</f>
        <v>0.000167833191238476</v>
      </c>
      <c r="AB8" s="21" t="n">
        <f aca="false">L8-O8-M8-W8</f>
        <v>12.4257906664002</v>
      </c>
      <c r="AC8" s="24" t="n">
        <f aca="false">AB8/K8</f>
        <v>1.39452043517494</v>
      </c>
      <c r="AD8" s="21" t="n">
        <f aca="false">K8*((1+DepRate*(1-DepTax))^E8-1)</f>
        <v>2.53803323188768</v>
      </c>
      <c r="AE8" s="21" t="n">
        <f aca="false">Y8-AD8</f>
        <v>-2.52306725651655</v>
      </c>
    </row>
    <row r="9" customFormat="false" ht="15" hidden="false" customHeight="false" outlineLevel="0" collapsed="false">
      <c r="A9" s="20" t="n">
        <v>1</v>
      </c>
      <c r="B9" s="18" t="str">
        <f aca="false">INDEX(C_Name,A9)</f>
        <v>문래건영아파트 84㎡</v>
      </c>
      <c r="C9" s="20" t="n">
        <v>2</v>
      </c>
      <c r="D9" s="10" t="n">
        <f aca="false">CHOOSE(C9,GrowLo,GrowMid,GrowHi)</f>
        <v>0.04</v>
      </c>
      <c r="E9" s="20" t="n">
        <v>3</v>
      </c>
      <c r="F9" s="20" t="n">
        <f aca="false">MAX(0,E9-NonRes)</f>
        <v>3</v>
      </c>
      <c r="G9" s="18" t="n">
        <f aca="false">INDEX(C_Price,A9)</f>
        <v>13.9</v>
      </c>
      <c r="H9" s="18" t="n">
        <f aca="false">INDEX(C_Acq,A9)</f>
        <v>0.4587</v>
      </c>
      <c r="I9" s="18" t="n">
        <f aca="false">INDEX(C_Fee,A9)</f>
        <v>0.11174</v>
      </c>
      <c r="J9" s="18" t="n">
        <f aca="false">INDEX(C_Loan,A9)</f>
        <v>5.56</v>
      </c>
      <c r="K9" s="21" t="n">
        <f aca="false">G9-J9+H9+I9</f>
        <v>8.91044</v>
      </c>
      <c r="L9" s="21" t="n">
        <f aca="false">G9*(1+D9)^E9</f>
        <v>15.6356096</v>
      </c>
      <c r="M9" s="21" t="n">
        <f aca="false">L9*LOOKUP(L9,FeeLo,FeeR)*(1+VAT)</f>
        <v>0.12039419392</v>
      </c>
      <c r="N9" s="21" t="n">
        <f aca="false">-CUMIPMT(Rm,LoanYears*12,J9,1,E9*12,0)</f>
        <v>0.649723597572026</v>
      </c>
      <c r="O9" s="21" t="n">
        <f aca="false">J9*(1+Rm)^(E9*12)-(J9*Rm/(1-(1+Rm)^(-LoanYears*12)))*((1+Rm)^(E9*12)-1)/Rm</f>
        <v>5.25412914216837</v>
      </c>
      <c r="P9" s="29" t="n">
        <f aca="false">SUMIFS(Sch_Total,Sch_Idx,A9,Sch_Scen,C9,Sch_Year,"&lt;="&amp;E9)</f>
        <v>0.088694068032</v>
      </c>
      <c r="Q9" s="21" t="n">
        <f aca="false">H9+I9+M9</f>
        <v>0.69083419392</v>
      </c>
      <c r="R9" s="21" t="n">
        <f aca="false">L9-G9-Q9</f>
        <v>1.04477540608</v>
      </c>
      <c r="S9" s="21" t="n">
        <f aca="false">MAX(0,IF(F9&gt;=2,IF(L9&gt;Exempt,R9*(L9-Exempt)/L9,0),R9))</f>
        <v>0.242932357187299</v>
      </c>
      <c r="T9" s="10" t="n">
        <f aca="false">IF(F9&gt;=2,MIN(MaxDed,MIN(0.4,HoldRate*E9)+MIN(0.4,LiveRate*F9)),IF(E9&gt;=3,MIN(0.3,0.02*E9),0))</f>
        <v>0.24</v>
      </c>
      <c r="U9" s="21" t="n">
        <f aca="false">S9*(1-T9)</f>
        <v>0.184628591462347</v>
      </c>
      <c r="V9" s="21" t="n">
        <f aca="false">MAX(0,U9-InitDed)</f>
        <v>0.159628591462347</v>
      </c>
      <c r="W9" s="29" t="n">
        <f aca="false">SUMPRODUCT((V9&gt;CLo)*(V9-CLo)*CD)*(1+LocalTax)</f>
        <v>0.0124787175912872</v>
      </c>
      <c r="X9" s="21" t="n">
        <f aca="false">H9+P9+W9</f>
        <v>0.559872785623287</v>
      </c>
      <c r="Y9" s="29" t="n">
        <f aca="false">(L9-G9)-H9-I9-M9-N9-P9-W9</f>
        <v>0.293879022884689</v>
      </c>
      <c r="Z9" s="10" t="n">
        <f aca="false">Y9/K9</f>
        <v>0.0329814266057219</v>
      </c>
      <c r="AA9" s="10" t="n">
        <f aca="false">IF(1+Z9&gt;0,(1+Z9)^(1/E9)-1,-1)</f>
        <v>0.0108751120796824</v>
      </c>
      <c r="AB9" s="21" t="n">
        <f aca="false">L9-O9-M9-W9</f>
        <v>10.2486075463203</v>
      </c>
      <c r="AC9" s="24" t="n">
        <f aca="false">AB9/K9</f>
        <v>1.15017973818581</v>
      </c>
      <c r="AD9" s="21" t="n">
        <f aca="false">K9*((1+DepRate*(1-DepTax))^E9-1)</f>
        <v>0.695805402985106</v>
      </c>
      <c r="AE9" s="21" t="n">
        <f aca="false">Y9-AD9</f>
        <v>-0.401926380100417</v>
      </c>
    </row>
    <row r="10" customFormat="false" ht="15" hidden="false" customHeight="false" outlineLevel="0" collapsed="false">
      <c r="A10" s="20" t="n">
        <v>1</v>
      </c>
      <c r="B10" s="18" t="str">
        <f aca="false">INDEX(C_Name,A10)</f>
        <v>문래건영아파트 84㎡</v>
      </c>
      <c r="C10" s="20" t="n">
        <v>2</v>
      </c>
      <c r="D10" s="10" t="n">
        <f aca="false">CHOOSE(C10,GrowLo,GrowMid,GrowHi)</f>
        <v>0.04</v>
      </c>
      <c r="E10" s="20" t="n">
        <v>5</v>
      </c>
      <c r="F10" s="20" t="n">
        <f aca="false">MAX(0,E10-NonRes)</f>
        <v>5</v>
      </c>
      <c r="G10" s="18" t="n">
        <f aca="false">INDEX(C_Price,A10)</f>
        <v>13.9</v>
      </c>
      <c r="H10" s="18" t="n">
        <f aca="false">INDEX(C_Acq,A10)</f>
        <v>0.4587</v>
      </c>
      <c r="I10" s="18" t="n">
        <f aca="false">INDEX(C_Fee,A10)</f>
        <v>0.11174</v>
      </c>
      <c r="J10" s="18" t="n">
        <f aca="false">INDEX(C_Loan,A10)</f>
        <v>5.56</v>
      </c>
      <c r="K10" s="21" t="n">
        <f aca="false">G10-J10+H10+I10</f>
        <v>8.91044</v>
      </c>
      <c r="L10" s="21" t="n">
        <f aca="false">G10*(1+D10)^E10</f>
        <v>16.91147534336</v>
      </c>
      <c r="M10" s="21" t="n">
        <f aca="false">L10*LOOKUP(L10,FeeLo,FeeR)*(1+VAT)</f>
        <v>0.130218360143872</v>
      </c>
      <c r="N10" s="21" t="n">
        <f aca="false">-CUMIPMT(Rm,LoanYears*12,J10,1,E10*12,0)</f>
        <v>1.06153915603943</v>
      </c>
      <c r="O10" s="21" t="n">
        <f aca="false">J10*(1+Rm)^(E10*12)-(J10*Rm/(1-(1+Rm)^(-LoanYears*12)))*((1+Rm)^(E10*12)-1)/Rm</f>
        <v>5.02888173036667</v>
      </c>
      <c r="P10" s="29" t="n">
        <f aca="false">SUMIFS(Sch_Total,Sch_Idx,A10,Sch_Scen,C10,Sch_Year,"&lt;="&amp;E10)</f>
        <v>0.155446372783411</v>
      </c>
      <c r="Q10" s="21" t="n">
        <f aca="false">H10+I10+M10</f>
        <v>0.700658360143872</v>
      </c>
      <c r="R10" s="21" t="n">
        <f aca="false">L10-G10-Q10</f>
        <v>2.31081698321613</v>
      </c>
      <c r="S10" s="21" t="n">
        <f aca="false">MAX(0,IF(F10&gt;=2,IF(L10&gt;Exempt,R10*(L10-Exempt)/L10,0),R10))</f>
        <v>0.671113572627462</v>
      </c>
      <c r="T10" s="10" t="n">
        <f aca="false">IF(F10&gt;=2,MIN(MaxDed,MIN(0.4,HoldRate*E10)+MIN(0.4,LiveRate*F10)),IF(E10&gt;=3,MIN(0.3,0.02*E10),0))</f>
        <v>0.4</v>
      </c>
      <c r="U10" s="21" t="n">
        <f aca="false">S10*(1-T10)</f>
        <v>0.402668143576477</v>
      </c>
      <c r="V10" s="21" t="n">
        <f aca="false">MAX(0,U10-InitDed)</f>
        <v>0.377668143576477</v>
      </c>
      <c r="W10" s="29" t="n">
        <f aca="false">SUMPRODUCT((V10&gt;CLo)*(V10-CLo)*CD)*(1+LocalTax)</f>
        <v>0.0484552436901188</v>
      </c>
      <c r="X10" s="21" t="n">
        <f aca="false">H10+P10+W10</f>
        <v>0.66260161647353</v>
      </c>
      <c r="Y10" s="29" t="n">
        <f aca="false">(L10-G10)-H10-I10-M10-N10-P10-W10</f>
        <v>1.04537621070317</v>
      </c>
      <c r="Z10" s="10" t="n">
        <f aca="false">Y10/K10</f>
        <v>0.117320380441726</v>
      </c>
      <c r="AA10" s="10" t="n">
        <f aca="false">IF(1+Z10&gt;0,(1+Z10)^(1/E10)-1,-1)</f>
        <v>0.0224346145504535</v>
      </c>
      <c r="AB10" s="21" t="n">
        <f aca="false">L10-O10-M10-W10</f>
        <v>11.7039200091593</v>
      </c>
      <c r="AC10" s="24" t="n">
        <f aca="false">AB10/K10</f>
        <v>1.31350640475211</v>
      </c>
      <c r="AD10" s="21" t="n">
        <f aca="false">K10*((1+DepRate*(1-DepTax))^E10-1)</f>
        <v>1.18960622882199</v>
      </c>
      <c r="AE10" s="21" t="n">
        <f aca="false">Y10-AD10</f>
        <v>-0.144230018118816</v>
      </c>
    </row>
    <row r="11" customFormat="false" ht="15" hidden="false" customHeight="false" outlineLevel="0" collapsed="false">
      <c r="A11" s="20" t="n">
        <v>1</v>
      </c>
      <c r="B11" s="18" t="str">
        <f aca="false">INDEX(C_Name,A11)</f>
        <v>문래건영아파트 84㎡</v>
      </c>
      <c r="C11" s="20" t="n">
        <v>2</v>
      </c>
      <c r="D11" s="10" t="n">
        <f aca="false">CHOOSE(C11,GrowLo,GrowMid,GrowHi)</f>
        <v>0.04</v>
      </c>
      <c r="E11" s="20" t="n">
        <v>7</v>
      </c>
      <c r="F11" s="20" t="n">
        <f aca="false">MAX(0,E11-NonRes)</f>
        <v>7</v>
      </c>
      <c r="G11" s="18" t="n">
        <f aca="false">INDEX(C_Price,A11)</f>
        <v>13.9</v>
      </c>
      <c r="H11" s="18" t="n">
        <f aca="false">INDEX(C_Acq,A11)</f>
        <v>0.4587</v>
      </c>
      <c r="I11" s="18" t="n">
        <f aca="false">INDEX(C_Fee,A11)</f>
        <v>0.11174</v>
      </c>
      <c r="J11" s="18" t="n">
        <f aca="false">INDEX(C_Loan,A11)</f>
        <v>5.56</v>
      </c>
      <c r="K11" s="21" t="n">
        <f aca="false">G11-J11+H11+I11</f>
        <v>8.91044</v>
      </c>
      <c r="L11" s="21" t="n">
        <f aca="false">G11*(1+D11)^E11</f>
        <v>18.2914517313782</v>
      </c>
      <c r="M11" s="21" t="n">
        <f aca="false">L11*LOOKUP(L11,FeeLo,FeeR)*(1+VAT)</f>
        <v>0.140844178331612</v>
      </c>
      <c r="N11" s="21" t="n">
        <f aca="false">-CUMIPMT(Rm,LoanYears*12,J11,1,E11*12,0)</f>
        <v>1.45462697814672</v>
      </c>
      <c r="O11" s="21" t="n">
        <f aca="false">J11*(1+Rm)^(E11*12)-(J11*Rm/(1-(1+Rm)^(-LoanYears*12)))*((1+Rm)^(E11*12)-1)/Rm</f>
        <v>4.78490658220485</v>
      </c>
      <c r="P11" s="29" t="n">
        <f aca="false">SUMIFS(Sch_Total,Sch_Idx,A11,Sch_Scen,C11,Sch_Year,"&lt;="&amp;E11)</f>
        <v>0.22936788654556</v>
      </c>
      <c r="Q11" s="21" t="n">
        <f aca="false">H11+I11+M11</f>
        <v>0.711284178331612</v>
      </c>
      <c r="R11" s="21" t="n">
        <f aca="false">L11-G11-Q11</f>
        <v>3.68016755304657</v>
      </c>
      <c r="S11" s="21" t="n">
        <f aca="false">MAX(0,IF(F11&gt;=2,IF(L11&gt;Exempt,R11*(L11-Exempt)/L11,0),R11))</f>
        <v>1.2658151394106</v>
      </c>
      <c r="T11" s="10" t="n">
        <f aca="false">IF(F11&gt;=2,MIN(MaxDed,MIN(0.4,HoldRate*E11)+MIN(0.4,LiveRate*F11)),IF(E11&gt;=3,MIN(0.3,0.02*E11),0))</f>
        <v>0.56</v>
      </c>
      <c r="U11" s="21" t="n">
        <f aca="false">S11*(1-T11)</f>
        <v>0.556958661340662</v>
      </c>
      <c r="V11" s="21" t="n">
        <f aca="false">MAX(0,U11-InitDed)</f>
        <v>0.531958661340662</v>
      </c>
      <c r="W11" s="29" t="n">
        <f aca="false">SUMPRODUCT((V11&gt;CLo)*(V11-CLo)*CD)*(1+LocalTax)</f>
        <v>0.0770770865939347</v>
      </c>
      <c r="X11" s="21" t="n">
        <f aca="false">H11+P11+W11</f>
        <v>0.765144973139495</v>
      </c>
      <c r="Y11" s="29" t="n">
        <f aca="false">(L11-G11)-H11-I11-M11-N11-P11-W11</f>
        <v>1.91909560176036</v>
      </c>
      <c r="Z11" s="10" t="n">
        <f aca="false">Y11/K11</f>
        <v>0.215376075902016</v>
      </c>
      <c r="AA11" s="10" t="n">
        <f aca="false">IF(1+Z11&gt;0,(1+Z11)^(1/E11)-1,-1)</f>
        <v>0.0282566483174911</v>
      </c>
      <c r="AB11" s="21" t="n">
        <f aca="false">L11-O11-M11-W11</f>
        <v>13.2886238842478</v>
      </c>
      <c r="AC11" s="24" t="n">
        <f aca="false">AB11/K11</f>
        <v>1.49135439823935</v>
      </c>
      <c r="AD11" s="21" t="n">
        <f aca="false">K11*((1+DepRate*(1-DepTax))^E11-1)</f>
        <v>1.70879046361503</v>
      </c>
      <c r="AE11" s="21" t="n">
        <f aca="false">Y11-AD11</f>
        <v>0.21030513814533</v>
      </c>
    </row>
    <row r="12" customFormat="false" ht="15" hidden="false" customHeight="false" outlineLevel="0" collapsed="false">
      <c r="A12" s="20" t="n">
        <v>1</v>
      </c>
      <c r="B12" s="18" t="str">
        <f aca="false">INDEX(C_Name,A12)</f>
        <v>문래건영아파트 84㎡</v>
      </c>
      <c r="C12" s="20" t="n">
        <v>2</v>
      </c>
      <c r="D12" s="10" t="n">
        <f aca="false">CHOOSE(C12,GrowLo,GrowMid,GrowHi)</f>
        <v>0.04</v>
      </c>
      <c r="E12" s="20" t="n">
        <v>10</v>
      </c>
      <c r="F12" s="20" t="n">
        <f aca="false">MAX(0,E12-NonRes)</f>
        <v>10</v>
      </c>
      <c r="G12" s="18" t="n">
        <f aca="false">INDEX(C_Price,A12)</f>
        <v>13.9</v>
      </c>
      <c r="H12" s="18" t="n">
        <f aca="false">INDEX(C_Acq,A12)</f>
        <v>0.4587</v>
      </c>
      <c r="I12" s="18" t="n">
        <f aca="false">INDEX(C_Fee,A12)</f>
        <v>0.11174</v>
      </c>
      <c r="J12" s="18" t="n">
        <f aca="false">INDEX(C_Loan,A12)</f>
        <v>5.56</v>
      </c>
      <c r="K12" s="21" t="n">
        <f aca="false">G12-J12+H12+I12</f>
        <v>8.91044</v>
      </c>
      <c r="L12" s="21" t="n">
        <f aca="false">G12*(1+D12)^E12</f>
        <v>20.575395560365</v>
      </c>
      <c r="M12" s="21" t="n">
        <f aca="false">L12*LOOKUP(L12,FeeLo,FeeR)*(1+VAT)</f>
        <v>0.15843054581481</v>
      </c>
      <c r="N12" s="21" t="n">
        <f aca="false">-CUMIPMT(Rm,LoanYears*12,J12,1,E12*12,0)</f>
        <v>2.00570298350946</v>
      </c>
      <c r="O12" s="21" t="n">
        <f aca="false">J12*(1+Rm)^(E12*12)-(J12*Rm/(1-(1+Rm)^(-LoanYears*12)))*((1+Rm)^(E12*12)-1)/Rm</f>
        <v>4.38038813216393</v>
      </c>
      <c r="P12" s="29" t="n">
        <f aca="false">SUMIFS(Sch_Total,Sch_Idx,A12,Sch_Scen,C12,Sch_Year,"&lt;="&amp;E12)</f>
        <v>0.365481473831724</v>
      </c>
      <c r="Q12" s="21" t="n">
        <f aca="false">H12+I12+M12</f>
        <v>0.728870545814811</v>
      </c>
      <c r="R12" s="21" t="n">
        <f aca="false">L12-G12-Q12</f>
        <v>5.94652501455018</v>
      </c>
      <c r="S12" s="21" t="n">
        <f aca="false">MAX(0,IF(F12&gt;=2,IF(L12&gt;Exempt,R12*(L12-Exempt)/L12,0),R12))</f>
        <v>2.47838755078925</v>
      </c>
      <c r="T12" s="10" t="n">
        <f aca="false">IF(F12&gt;=2,MIN(MaxDed,MIN(0.4,HoldRate*E12)+MIN(0.4,LiveRate*F12)),IF(E12&gt;=3,MIN(0.3,0.02*E12),0))</f>
        <v>0.8</v>
      </c>
      <c r="U12" s="21" t="n">
        <f aca="false">S12*(1-T12)</f>
        <v>0.495677510157849</v>
      </c>
      <c r="V12" s="21" t="n">
        <f aca="false">MAX(0,U12-InitDed)</f>
        <v>0.470677510157849</v>
      </c>
      <c r="W12" s="29" t="n">
        <f aca="false">SUMPRODUCT((V12&gt;CLo)*(V12-CLo)*CD)*(1+LocalTax)</f>
        <v>0.0638017891760452</v>
      </c>
      <c r="X12" s="21" t="n">
        <f aca="false">H12+P12+W12</f>
        <v>0.887983263007769</v>
      </c>
      <c r="Y12" s="29" t="n">
        <f aca="false">(L12-G12)-H12-I12-M12-N12-P12-W12</f>
        <v>3.51153876803295</v>
      </c>
      <c r="Z12" s="10" t="n">
        <f aca="false">Y12/K12</f>
        <v>0.394092633813027</v>
      </c>
      <c r="AA12" s="10" t="n">
        <f aca="false">IF(1+Z12&gt;0,(1+Z12)^(1/E12)-1,-1)</f>
        <v>0.0337824693957394</v>
      </c>
      <c r="AB12" s="21" t="n">
        <f aca="false">L12-O12-M12-W12</f>
        <v>15.9727750932102</v>
      </c>
      <c r="AC12" s="24" t="n">
        <f aca="false">AB12/K12</f>
        <v>1.79259106095885</v>
      </c>
      <c r="AD12" s="21" t="n">
        <f aca="false">K12*((1+DepRate*(1-DepTax))^E12-1)</f>
        <v>2.53803323188768</v>
      </c>
      <c r="AE12" s="21" t="n">
        <f aca="false">Y12-AD12</f>
        <v>0.973505536145274</v>
      </c>
    </row>
    <row r="13" customFormat="false" ht="15" hidden="false" customHeight="false" outlineLevel="0" collapsed="false">
      <c r="A13" s="20" t="n">
        <v>1</v>
      </c>
      <c r="B13" s="18" t="str">
        <f aca="false">INDEX(C_Name,A13)</f>
        <v>문래건영아파트 84㎡</v>
      </c>
      <c r="C13" s="20" t="n">
        <v>3</v>
      </c>
      <c r="D13" s="10" t="n">
        <f aca="false">CHOOSE(C13,GrowLo,GrowMid,GrowHi)</f>
        <v>0.06</v>
      </c>
      <c r="E13" s="20" t="n">
        <v>3</v>
      </c>
      <c r="F13" s="20" t="n">
        <f aca="false">MAX(0,E13-NonRes)</f>
        <v>3</v>
      </c>
      <c r="G13" s="18" t="n">
        <f aca="false">INDEX(C_Price,A13)</f>
        <v>13.9</v>
      </c>
      <c r="H13" s="18" t="n">
        <f aca="false">INDEX(C_Acq,A13)</f>
        <v>0.4587</v>
      </c>
      <c r="I13" s="18" t="n">
        <f aca="false">INDEX(C_Fee,A13)</f>
        <v>0.11174</v>
      </c>
      <c r="J13" s="18" t="n">
        <f aca="false">INDEX(C_Loan,A13)</f>
        <v>5.56</v>
      </c>
      <c r="K13" s="21" t="n">
        <f aca="false">G13-J13+H13+I13</f>
        <v>8.91044</v>
      </c>
      <c r="L13" s="21" t="n">
        <f aca="false">G13*(1+D13)^E13</f>
        <v>16.5551224</v>
      </c>
      <c r="M13" s="21" t="n">
        <f aca="false">L13*LOOKUP(L13,FeeLo,FeeR)*(1+VAT)</f>
        <v>0.12747444248</v>
      </c>
      <c r="N13" s="21" t="n">
        <f aca="false">-CUMIPMT(Rm,LoanYears*12,J13,1,E13*12,0)</f>
        <v>0.649723597572026</v>
      </c>
      <c r="O13" s="21" t="n">
        <f aca="false">J13*(1+Rm)^(E13*12)-(J13*Rm/(1-(1+Rm)^(-LoanYears*12)))*((1+Rm)^(E13*12)-1)/Rm</f>
        <v>5.25412914216837</v>
      </c>
      <c r="P13" s="29" t="n">
        <f aca="false">SUMIFS(Sch_Total,Sch_Idx,A13,Sch_Scen,C13,Sch_Year,"&lt;="&amp;E13)</f>
        <v>0.090906136272</v>
      </c>
      <c r="Q13" s="21" t="n">
        <f aca="false">H13+I13+M13</f>
        <v>0.69791444248</v>
      </c>
      <c r="R13" s="21" t="n">
        <f aca="false">L13-G13-Q13</f>
        <v>1.95720795752</v>
      </c>
      <c r="S13" s="21" t="n">
        <f aca="false">MAX(0,IF(F13&gt;=2,IF(L13&gt;Exempt,R13*(L13-Exempt)/L13,0),R13))</f>
        <v>0.538523460796497</v>
      </c>
      <c r="T13" s="10" t="n">
        <f aca="false">IF(F13&gt;=2,MIN(MaxDed,MIN(0.4,HoldRate*E13)+MIN(0.4,LiveRate*F13)),IF(E13&gt;=3,MIN(0.3,0.02*E13),0))</f>
        <v>0.24</v>
      </c>
      <c r="U13" s="21" t="n">
        <f aca="false">S13*(1-T13)</f>
        <v>0.409277830205338</v>
      </c>
      <c r="V13" s="21" t="n">
        <f aca="false">MAX(0,U13-InitDed)</f>
        <v>0.384277830205338</v>
      </c>
      <c r="W13" s="29" t="n">
        <f aca="false">SUMPRODUCT((V13&gt;CLo)*(V13-CLo)*CD)*(1+LocalTax)</f>
        <v>0.0495458419838807</v>
      </c>
      <c r="X13" s="21" t="n">
        <f aca="false">H13+P13+W13</f>
        <v>0.599151978255881</v>
      </c>
      <c r="Y13" s="29" t="n">
        <f aca="false">(L13-G13)-H13-I13-M13-N13-P13-W13</f>
        <v>1.16703238169209</v>
      </c>
      <c r="Z13" s="10" t="n">
        <f aca="false">Y13/K13</f>
        <v>0.130973597453335</v>
      </c>
      <c r="AA13" s="10" t="n">
        <f aca="false">IF(1+Z13&gt;0,(1+Z13)^(1/E13)-1,-1)</f>
        <v>0.0418794900970876</v>
      </c>
      <c r="AB13" s="21" t="n">
        <f aca="false">L13-O13-M13-W13</f>
        <v>11.1239729733678</v>
      </c>
      <c r="AC13" s="24" t="n">
        <f aca="false">AB13/K13</f>
        <v>1.24842016481428</v>
      </c>
      <c r="AD13" s="21" t="n">
        <f aca="false">K13*((1+DepRate*(1-DepTax))^E13-1)</f>
        <v>0.695805402985106</v>
      </c>
      <c r="AE13" s="21" t="n">
        <f aca="false">Y13-AD13</f>
        <v>0.471226978706989</v>
      </c>
    </row>
    <row r="14" customFormat="false" ht="15" hidden="false" customHeight="false" outlineLevel="0" collapsed="false">
      <c r="A14" s="20" t="n">
        <v>1</v>
      </c>
      <c r="B14" s="18" t="str">
        <f aca="false">INDEX(C_Name,A14)</f>
        <v>문래건영아파트 84㎡</v>
      </c>
      <c r="C14" s="20" t="n">
        <v>3</v>
      </c>
      <c r="D14" s="10" t="n">
        <f aca="false">CHOOSE(C14,GrowLo,GrowMid,GrowHi)</f>
        <v>0.06</v>
      </c>
      <c r="E14" s="20" t="n">
        <v>5</v>
      </c>
      <c r="F14" s="20" t="n">
        <f aca="false">MAX(0,E14-NonRes)</f>
        <v>5</v>
      </c>
      <c r="G14" s="18" t="n">
        <f aca="false">INDEX(C_Price,A14)</f>
        <v>13.9</v>
      </c>
      <c r="H14" s="18" t="n">
        <f aca="false">INDEX(C_Acq,A14)</f>
        <v>0.4587</v>
      </c>
      <c r="I14" s="18" t="n">
        <f aca="false">INDEX(C_Fee,A14)</f>
        <v>0.11174</v>
      </c>
      <c r="J14" s="18" t="n">
        <f aca="false">INDEX(C_Loan,A14)</f>
        <v>5.56</v>
      </c>
      <c r="K14" s="21" t="n">
        <f aca="false">G14-J14+H14+I14</f>
        <v>8.91044</v>
      </c>
      <c r="L14" s="21" t="n">
        <f aca="false">G14*(1+D14)^E14</f>
        <v>18.60133552864</v>
      </c>
      <c r="M14" s="21" t="n">
        <f aca="false">L14*LOOKUP(L14,FeeLo,FeeR)*(1+VAT)</f>
        <v>0.143230283570528</v>
      </c>
      <c r="N14" s="21" t="n">
        <f aca="false">-CUMIPMT(Rm,LoanYears*12,J14,1,E14*12,0)</f>
        <v>1.06153915603943</v>
      </c>
      <c r="O14" s="21" t="n">
        <f aca="false">J14*(1+Rm)^(E14*12)-(J14*Rm/(1-(1+Rm)^(-LoanYears*12)))*((1+Rm)^(E14*12)-1)/Rm</f>
        <v>5.02888173036667</v>
      </c>
      <c r="P14" s="29" t="n">
        <f aca="false">SUMIFS(Sch_Total,Sch_Idx,A14,Sch_Scen,C14,Sch_Year,"&lt;="&amp;E14)</f>
        <v>0.163713433399315</v>
      </c>
      <c r="Q14" s="21" t="n">
        <f aca="false">H14+I14+M14</f>
        <v>0.713670283570528</v>
      </c>
      <c r="R14" s="21" t="n">
        <f aca="false">L14-G14-Q14</f>
        <v>3.98766524506948</v>
      </c>
      <c r="S14" s="21" t="n">
        <f aca="false">MAX(0,IF(F14&gt;=2,IF(L14&gt;Exempt,R14*(L14-Exempt)/L14,0),R14))</f>
        <v>1.41516270259573</v>
      </c>
      <c r="T14" s="10" t="n">
        <f aca="false">IF(F14&gt;=2,MIN(MaxDed,MIN(0.4,HoldRate*E14)+MIN(0.4,LiveRate*F14)),IF(E14&gt;=3,MIN(0.3,0.02*E14),0))</f>
        <v>0.4</v>
      </c>
      <c r="U14" s="21" t="n">
        <f aca="false">S14*(1-T14)</f>
        <v>0.849097621557435</v>
      </c>
      <c r="V14" s="21" t="n">
        <f aca="false">MAX(0,U14-InitDed)</f>
        <v>0.824097621557435</v>
      </c>
      <c r="W14" s="29" t="n">
        <f aca="false">SUMPRODUCT((V14&gt;CLo)*(V14-CLo)*CD)*(1+LocalTax)</f>
        <v>0.154201772091163</v>
      </c>
      <c r="X14" s="21" t="n">
        <f aca="false">H14+P14+W14</f>
        <v>0.776615205490478</v>
      </c>
      <c r="Y14" s="29" t="n">
        <f aca="false">(L14-G14)-H14-I14-M14-N14-P14-W14</f>
        <v>2.60821088353957</v>
      </c>
      <c r="Z14" s="10" t="n">
        <f aca="false">Y14/K14</f>
        <v>0.292714039210136</v>
      </c>
      <c r="AA14" s="10" t="n">
        <f aca="false">IF(1+Z14&gt;0,(1+Z14)^(1/E14)-1,-1)</f>
        <v>0.052689989554997</v>
      </c>
      <c r="AB14" s="21" t="n">
        <f aca="false">L14-O14-M14-W14</f>
        <v>13.2750217426116</v>
      </c>
      <c r="AC14" s="24" t="n">
        <f aca="false">AB14/K14</f>
        <v>1.48982785840112</v>
      </c>
      <c r="AD14" s="21" t="n">
        <f aca="false">K14*((1+DepRate*(1-DepTax))^E14-1)</f>
        <v>1.18960622882199</v>
      </c>
      <c r="AE14" s="21" t="n">
        <f aca="false">Y14-AD14</f>
        <v>1.41860465471758</v>
      </c>
    </row>
    <row r="15" customFormat="false" ht="15" hidden="false" customHeight="false" outlineLevel="0" collapsed="false">
      <c r="A15" s="20" t="n">
        <v>1</v>
      </c>
      <c r="B15" s="18" t="str">
        <f aca="false">INDEX(C_Name,A15)</f>
        <v>문래건영아파트 84㎡</v>
      </c>
      <c r="C15" s="20" t="n">
        <v>3</v>
      </c>
      <c r="D15" s="10" t="n">
        <f aca="false">CHOOSE(C15,GrowLo,GrowMid,GrowHi)</f>
        <v>0.06</v>
      </c>
      <c r="E15" s="20" t="n">
        <v>7</v>
      </c>
      <c r="F15" s="20" t="n">
        <f aca="false">MAX(0,E15-NonRes)</f>
        <v>7</v>
      </c>
      <c r="G15" s="18" t="n">
        <f aca="false">INDEX(C_Price,A15)</f>
        <v>13.9</v>
      </c>
      <c r="H15" s="18" t="n">
        <f aca="false">INDEX(C_Acq,A15)</f>
        <v>0.4587</v>
      </c>
      <c r="I15" s="18" t="n">
        <f aca="false">INDEX(C_Fee,A15)</f>
        <v>0.11174</v>
      </c>
      <c r="J15" s="18" t="n">
        <f aca="false">INDEX(C_Loan,A15)</f>
        <v>5.56</v>
      </c>
      <c r="K15" s="21" t="n">
        <f aca="false">G15-J15+H15+I15</f>
        <v>8.91044</v>
      </c>
      <c r="L15" s="21" t="n">
        <f aca="false">G15*(1+D15)^E15</f>
        <v>20.9004605999799</v>
      </c>
      <c r="M15" s="21" t="n">
        <f aca="false">L15*LOOKUP(L15,FeeLo,FeeR)*(1+VAT)</f>
        <v>0.160933546619845</v>
      </c>
      <c r="N15" s="21" t="n">
        <f aca="false">-CUMIPMT(Rm,LoanYears*12,J15,1,E15*12,0)</f>
        <v>1.45462697814672</v>
      </c>
      <c r="O15" s="21" t="n">
        <f aca="false">J15*(1+Rm)^(E15*12)-(J15*Rm/(1-(1+Rm)^(-LoanYears*12)))*((1+Rm)^(E15*12)-1)/Rm</f>
        <v>4.78490658220485</v>
      </c>
      <c r="P15" s="29" t="n">
        <f aca="false">SUMIFS(Sch_Total,Sch_Idx,A15,Sch_Scen,C15,Sch_Year,"&lt;="&amp;E15)</f>
        <v>0.255733781904708</v>
      </c>
      <c r="Q15" s="21" t="n">
        <f aca="false">H15+I15+M15</f>
        <v>0.731373546619845</v>
      </c>
      <c r="R15" s="21" t="n">
        <f aca="false">L15-G15-Q15</f>
        <v>6.26908705336007</v>
      </c>
      <c r="S15" s="21" t="n">
        <f aca="false">MAX(0,IF(F15&gt;=2,IF(L15&gt;Exempt,R15*(L15-Exempt)/L15,0),R15))</f>
        <v>2.66969055774441</v>
      </c>
      <c r="T15" s="10" t="n">
        <f aca="false">IF(F15&gt;=2,MIN(MaxDed,MIN(0.4,HoldRate*E15)+MIN(0.4,LiveRate*F15)),IF(E15&gt;=3,MIN(0.3,0.02*E15),0))</f>
        <v>0.56</v>
      </c>
      <c r="U15" s="21" t="n">
        <f aca="false">S15*(1-T15)</f>
        <v>1.17466384540754</v>
      </c>
      <c r="V15" s="21" t="n">
        <f aca="false">MAX(0,U15-InitDed)</f>
        <v>1.14966384540754</v>
      </c>
      <c r="W15" s="29" t="n">
        <f aca="false">SUMPRODUCT((V15&gt;CLo)*(V15-CLo)*CD)*(1+LocalTax)</f>
        <v>0.272780580481903</v>
      </c>
      <c r="X15" s="21" t="n">
        <f aca="false">H15+P15+W15</f>
        <v>0.987214362386611</v>
      </c>
      <c r="Y15" s="29" t="n">
        <f aca="false">(L15-G15)-H15-I15-M15-N15-P15-W15</f>
        <v>4.28594571282674</v>
      </c>
      <c r="Z15" s="10" t="n">
        <f aca="false">Y15/K15</f>
        <v>0.481002701642875</v>
      </c>
      <c r="AA15" s="10" t="n">
        <f aca="false">IF(1+Z15&gt;0,(1+Z15)^(1/E15)-1,-1)</f>
        <v>0.0577063740250379</v>
      </c>
      <c r="AB15" s="21" t="n">
        <f aca="false">L15-O15-M15-W15</f>
        <v>15.6818398906733</v>
      </c>
      <c r="AC15" s="24" t="n">
        <f aca="false">AB15/K15</f>
        <v>1.75994001313889</v>
      </c>
      <c r="AD15" s="21" t="n">
        <f aca="false">K15*((1+DepRate*(1-DepTax))^E15-1)</f>
        <v>1.70879046361503</v>
      </c>
      <c r="AE15" s="21" t="n">
        <f aca="false">Y15-AD15</f>
        <v>2.57715524921171</v>
      </c>
    </row>
    <row r="16" customFormat="false" ht="15" hidden="false" customHeight="false" outlineLevel="0" collapsed="false">
      <c r="A16" s="20" t="n">
        <v>1</v>
      </c>
      <c r="B16" s="18" t="str">
        <f aca="false">INDEX(C_Name,A16)</f>
        <v>문래건영아파트 84㎡</v>
      </c>
      <c r="C16" s="20" t="n">
        <v>3</v>
      </c>
      <c r="D16" s="10" t="n">
        <f aca="false">CHOOSE(C16,GrowLo,GrowMid,GrowHi)</f>
        <v>0.06</v>
      </c>
      <c r="E16" s="20" t="n">
        <v>10</v>
      </c>
      <c r="F16" s="20" t="n">
        <f aca="false">MAX(0,E16-NonRes)</f>
        <v>10</v>
      </c>
      <c r="G16" s="18" t="n">
        <f aca="false">INDEX(C_Price,A16)</f>
        <v>13.9</v>
      </c>
      <c r="H16" s="18" t="n">
        <f aca="false">INDEX(C_Acq,A16)</f>
        <v>0.4587</v>
      </c>
      <c r="I16" s="18" t="n">
        <f aca="false">INDEX(C_Fee,A16)</f>
        <v>0.11174</v>
      </c>
      <c r="J16" s="18" t="n">
        <f aca="false">INDEX(C_Loan,A16)</f>
        <v>5.56</v>
      </c>
      <c r="K16" s="21" t="n">
        <f aca="false">G16-J16+H16+I16</f>
        <v>8.91044</v>
      </c>
      <c r="L16" s="21" t="n">
        <f aca="false">G16*(1+D16)^E16</f>
        <v>24.8927829819457</v>
      </c>
      <c r="M16" s="21" t="n">
        <f aca="false">L16*LOOKUP(L16,FeeLo,FeeR)*(1+VAT)</f>
        <v>0.191674428960982</v>
      </c>
      <c r="N16" s="21" t="n">
        <f aca="false">-CUMIPMT(Rm,LoanYears*12,J16,1,E16*12,0)</f>
        <v>2.00570298350946</v>
      </c>
      <c r="O16" s="21" t="n">
        <f aca="false">J16*(1+Rm)^(E16*12)-(J16*Rm/(1-(1+Rm)^(-LoanYears*12)))*((1+Rm)^(E16*12)-1)/Rm</f>
        <v>4.38038813216393</v>
      </c>
      <c r="P16" s="29" t="n">
        <f aca="false">SUMIFS(Sch_Total,Sch_Idx,A16,Sch_Scen,C16,Sch_Year,"&lt;="&amp;E16)</f>
        <v>0.439527480018586</v>
      </c>
      <c r="Q16" s="21" t="n">
        <f aca="false">H16+I16+M16</f>
        <v>0.762114428960982</v>
      </c>
      <c r="R16" s="21" t="n">
        <f aca="false">L16-G16-Q16</f>
        <v>10.2306685529847</v>
      </c>
      <c r="S16" s="21" t="n">
        <f aca="false">MAX(0,IF(F16&gt;=2,IF(L16&gt;Exempt,R16*(L16-Exempt)/L16,0),R16))</f>
        <v>5.29879642262234</v>
      </c>
      <c r="T16" s="10" t="n">
        <f aca="false">IF(F16&gt;=2,MIN(MaxDed,MIN(0.4,HoldRate*E16)+MIN(0.4,LiveRate*F16)),IF(E16&gt;=3,MIN(0.3,0.02*E16),0))</f>
        <v>0.8</v>
      </c>
      <c r="U16" s="21" t="n">
        <f aca="false">S16*(1-T16)</f>
        <v>1.05975928452447</v>
      </c>
      <c r="V16" s="21" t="n">
        <f aca="false">MAX(0,U16-InitDed)</f>
        <v>1.03475928452447</v>
      </c>
      <c r="W16" s="29" t="n">
        <f aca="false">SUMPRODUCT((V16&gt;CLo)*(V16-CLo)*CD)*(1+LocalTax)</f>
        <v>0.22854232454192</v>
      </c>
      <c r="X16" s="21" t="n">
        <f aca="false">H16+P16+W16</f>
        <v>1.12676980456051</v>
      </c>
      <c r="Y16" s="29" t="n">
        <f aca="false">(L16-G16)-H16-I16-M16-N16-P16-W16</f>
        <v>7.55689576491474</v>
      </c>
      <c r="Z16" s="10" t="n">
        <f aca="false">Y16/K16</f>
        <v>0.848094568272132</v>
      </c>
      <c r="AA16" s="10" t="n">
        <f aca="false">IF(1+Z16&gt;0,(1+Z16)^(1/E16)-1,-1)</f>
        <v>0.063340655889895</v>
      </c>
      <c r="AB16" s="21" t="n">
        <f aca="false">L16-O16-M16-W16</f>
        <v>20.0921780962788</v>
      </c>
      <c r="AC16" s="24" t="n">
        <f aca="false">AB16/K16</f>
        <v>2.25490302345101</v>
      </c>
      <c r="AD16" s="21" t="n">
        <f aca="false">K16*((1+DepRate*(1-DepTax))^E16-1)</f>
        <v>2.53803323188768</v>
      </c>
      <c r="AE16" s="21" t="n">
        <f aca="false">Y16-AD16</f>
        <v>5.01886253302706</v>
      </c>
    </row>
    <row r="17" customFormat="false" ht="15" hidden="false" customHeight="false" outlineLevel="0" collapsed="false">
      <c r="A17" s="20" t="n">
        <v>2</v>
      </c>
      <c r="B17" s="18" t="str">
        <f aca="false">INDEX(C_Name,A17)</f>
        <v>e편한세상 문래 에듀플라츠 84.99㎡</v>
      </c>
      <c r="C17" s="20" t="n">
        <v>1</v>
      </c>
      <c r="D17" s="10" t="n">
        <f aca="false">CHOOSE(C17,GrowLo,GrowMid,GrowHi)</f>
        <v>0.02</v>
      </c>
      <c r="E17" s="20" t="n">
        <v>3</v>
      </c>
      <c r="F17" s="20" t="n">
        <f aca="false">MAX(0,E17-NonRes)</f>
        <v>3</v>
      </c>
      <c r="G17" s="18" t="n">
        <f aca="false">INDEX(C_Price,A17)</f>
        <v>14.9</v>
      </c>
      <c r="H17" s="18" t="n">
        <f aca="false">INDEX(C_Acq,A17)</f>
        <v>0.4917</v>
      </c>
      <c r="I17" s="18" t="n">
        <f aca="false">INDEX(C_Fee,A17)</f>
        <v>0.11834</v>
      </c>
      <c r="J17" s="18" t="n">
        <f aca="false">INDEX(C_Loan,A17)</f>
        <v>5.96</v>
      </c>
      <c r="K17" s="21" t="n">
        <f aca="false">G17-J17+H17+I17</f>
        <v>9.55004</v>
      </c>
      <c r="L17" s="21" t="n">
        <f aca="false">G17*(1+D17)^E17</f>
        <v>15.8119992</v>
      </c>
      <c r="M17" s="21" t="n">
        <f aca="false">L17*LOOKUP(L17,FeeLo,FeeR)*(1+VAT)</f>
        <v>0.12175239384</v>
      </c>
      <c r="N17" s="21" t="n">
        <f aca="false">-CUMIPMT(Rm,LoanYears*12,J17,1,E17*12,0)</f>
        <v>0.696466302433323</v>
      </c>
      <c r="O17" s="21" t="n">
        <f aca="false">J17*(1+Rm)^(E17*12)-(J17*Rm/(1-(1+Rm)^(-LoanYears*12)))*((1+Rm)^(E17*12)-1)/Rm</f>
        <v>5.63212404448264</v>
      </c>
      <c r="P17" s="29" t="n">
        <f aca="false">SUMIFS(Sch_Total,Sch_Idx,A17,Sch_Scen,C17,Sch_Year,"&lt;="&amp;E17)</f>
        <v>0.094365977328</v>
      </c>
      <c r="Q17" s="21" t="n">
        <f aca="false">H17+I17+M17</f>
        <v>0.73179239384</v>
      </c>
      <c r="R17" s="21" t="n">
        <f aca="false">L17-G17-Q17</f>
        <v>0.180206806160002</v>
      </c>
      <c r="S17" s="21" t="n">
        <f aca="false">MAX(0,IF(F17&gt;=2,IF(L17&gt;Exempt,R17*(L17-Exempt)/L17,0),R17))</f>
        <v>0.0434447404295646</v>
      </c>
      <c r="T17" s="10" t="n">
        <f aca="false">IF(F17&gt;=2,MIN(MaxDed,MIN(0.4,HoldRate*E17)+MIN(0.4,LiveRate*F17)),IF(E17&gt;=3,MIN(0.3,0.02*E17),0))</f>
        <v>0.24</v>
      </c>
      <c r="U17" s="21" t="n">
        <f aca="false">S17*(1-T17)</f>
        <v>0.0330180027264691</v>
      </c>
      <c r="V17" s="21" t="n">
        <f aca="false">MAX(0,U17-InitDed)</f>
        <v>0.0080180027264691</v>
      </c>
      <c r="W17" s="29" t="n">
        <f aca="false">SUMPRODUCT((V17&gt;CLo)*(V17-CLo)*CD)*(1+LocalTax)</f>
        <v>0.000529188179946961</v>
      </c>
      <c r="X17" s="21" t="n">
        <f aca="false">H17+P17+W17</f>
        <v>0.586595165507947</v>
      </c>
      <c r="Y17" s="29" t="n">
        <f aca="false">(L17-G17)-H17-I17-M17-N17-P17-W17</f>
        <v>-0.611154661781268</v>
      </c>
      <c r="Z17" s="10" t="n">
        <f aca="false">Y17/K17</f>
        <v>-0.0639949845007213</v>
      </c>
      <c r="AA17" s="10" t="n">
        <f aca="false">IF(1+Z17&gt;0,(1+Z17)^(1/E17)-1,-1)</f>
        <v>-0.0218036035024544</v>
      </c>
      <c r="AB17" s="21" t="n">
        <f aca="false">L17-O17-M17-W17</f>
        <v>10.0575935734974</v>
      </c>
      <c r="AC17" s="24" t="n">
        <f aca="false">AB17/K17</f>
        <v>1.05314674844267</v>
      </c>
      <c r="AD17" s="21" t="n">
        <f aca="false">K17*((1+DepRate*(1-DepTax))^E17-1)</f>
        <v>0.74575098768679</v>
      </c>
      <c r="AE17" s="21" t="n">
        <f aca="false">Y17-AD17</f>
        <v>-1.35690564946806</v>
      </c>
    </row>
    <row r="18" customFormat="false" ht="15" hidden="false" customHeight="false" outlineLevel="0" collapsed="false">
      <c r="A18" s="20" t="n">
        <v>2</v>
      </c>
      <c r="B18" s="18" t="str">
        <f aca="false">INDEX(C_Name,A18)</f>
        <v>e편한세상 문래 에듀플라츠 84.99㎡</v>
      </c>
      <c r="C18" s="20" t="n">
        <v>1</v>
      </c>
      <c r="D18" s="10" t="n">
        <f aca="false">CHOOSE(C18,GrowLo,GrowMid,GrowHi)</f>
        <v>0.02</v>
      </c>
      <c r="E18" s="20" t="n">
        <v>5</v>
      </c>
      <c r="F18" s="20" t="n">
        <f aca="false">MAX(0,E18-NonRes)</f>
        <v>5</v>
      </c>
      <c r="G18" s="18" t="n">
        <f aca="false">INDEX(C_Price,A18)</f>
        <v>14.9</v>
      </c>
      <c r="H18" s="18" t="n">
        <f aca="false">INDEX(C_Acq,A18)</f>
        <v>0.4917</v>
      </c>
      <c r="I18" s="18" t="n">
        <f aca="false">INDEX(C_Fee,A18)</f>
        <v>0.11834</v>
      </c>
      <c r="J18" s="18" t="n">
        <f aca="false">INDEX(C_Loan,A18)</f>
        <v>5.96</v>
      </c>
      <c r="K18" s="21" t="n">
        <f aca="false">G18-J18+H18+I18</f>
        <v>9.55004</v>
      </c>
      <c r="L18" s="21" t="n">
        <f aca="false">G18*(1+D18)^E18</f>
        <v>16.45080396768</v>
      </c>
      <c r="M18" s="21" t="n">
        <f aca="false">L18*LOOKUP(L18,FeeLo,FeeR)*(1+VAT)</f>
        <v>0.126671190551136</v>
      </c>
      <c r="N18" s="21" t="n">
        <f aca="false">-CUMIPMT(Rm,LoanYears*12,J18,1,E18*12,0)</f>
        <v>1.1379088794955</v>
      </c>
      <c r="O18" s="21" t="n">
        <f aca="false">J18*(1+Rm)^(E18*12)-(J18*Rm/(1-(1+Rm)^(-LoanYears*12)))*((1+Rm)^(E18*12)-1)/Rm</f>
        <v>5.39067178291103</v>
      </c>
      <c r="P18" s="29" t="n">
        <f aca="false">SUMIFS(Sch_Total,Sch_Idx,A18,Sch_Scen,C18,Sch_Year,"&lt;="&amp;E18)</f>
        <v>0.161230181212051</v>
      </c>
      <c r="Q18" s="21" t="n">
        <f aca="false">H18+I18+M18</f>
        <v>0.736711190551136</v>
      </c>
      <c r="R18" s="21" t="n">
        <f aca="false">L18-G18-Q18</f>
        <v>0.814092777128862</v>
      </c>
      <c r="S18" s="21" t="n">
        <f aca="false">MAX(0,IF(F18&gt;=2,IF(L18&gt;Exempt,R18*(L18-Exempt)/L18,0),R18))</f>
        <v>0.220254728560586</v>
      </c>
      <c r="T18" s="10" t="n">
        <f aca="false">IF(F18&gt;=2,MIN(MaxDed,MIN(0.4,HoldRate*E18)+MIN(0.4,LiveRate*F18)),IF(E18&gt;=3,MIN(0.3,0.02*E18),0))</f>
        <v>0.4</v>
      </c>
      <c r="U18" s="21" t="n">
        <f aca="false">S18*(1-T18)</f>
        <v>0.132152837136352</v>
      </c>
      <c r="V18" s="21" t="n">
        <f aca="false">MAX(0,U18-InitDed)</f>
        <v>0.107152837136352</v>
      </c>
      <c r="W18" s="29" t="n">
        <f aca="false">SUMPRODUCT((V18&gt;CLo)*(V18-CLo)*CD)*(1+LocalTax)</f>
        <v>0.00707208725099921</v>
      </c>
      <c r="X18" s="21" t="n">
        <f aca="false">H18+P18+W18</f>
        <v>0.66000226846305</v>
      </c>
      <c r="Y18" s="29" t="n">
        <f aca="false">(L18-G18)-H18-I18-M18-N18-P18-W18</f>
        <v>-0.492118370829691</v>
      </c>
      <c r="Z18" s="10" t="n">
        <f aca="false">Y18/K18</f>
        <v>-0.0515305036240363</v>
      </c>
      <c r="AA18" s="10" t="n">
        <f aca="false">IF(1+Z18&gt;0,(1+Z18)^(1/E18)-1,-1)</f>
        <v>-0.0105253467634173</v>
      </c>
      <c r="AB18" s="21" t="n">
        <f aca="false">L18-O18-M18-W18</f>
        <v>10.9263889069668</v>
      </c>
      <c r="AC18" s="24" t="n">
        <f aca="false">AB18/K18</f>
        <v>1.14411970075171</v>
      </c>
      <c r="AD18" s="21" t="n">
        <f aca="false">K18*((1+DepRate*(1-DepTax))^E18-1)</f>
        <v>1.27499731433006</v>
      </c>
      <c r="AE18" s="21" t="n">
        <f aca="false">Y18-AD18</f>
        <v>-1.76711568515975</v>
      </c>
    </row>
    <row r="19" customFormat="false" ht="15" hidden="false" customHeight="false" outlineLevel="0" collapsed="false">
      <c r="A19" s="20" t="n">
        <v>2</v>
      </c>
      <c r="B19" s="18" t="str">
        <f aca="false">INDEX(C_Name,A19)</f>
        <v>e편한세상 문래 에듀플라츠 84.99㎡</v>
      </c>
      <c r="C19" s="20" t="n">
        <v>1</v>
      </c>
      <c r="D19" s="10" t="n">
        <f aca="false">CHOOSE(C19,GrowLo,GrowMid,GrowHi)</f>
        <v>0.02</v>
      </c>
      <c r="E19" s="20" t="n">
        <v>7</v>
      </c>
      <c r="F19" s="20" t="n">
        <f aca="false">MAX(0,E19-NonRes)</f>
        <v>7</v>
      </c>
      <c r="G19" s="18" t="n">
        <f aca="false">INDEX(C_Price,A19)</f>
        <v>14.9</v>
      </c>
      <c r="H19" s="18" t="n">
        <f aca="false">INDEX(C_Acq,A19)</f>
        <v>0.4917</v>
      </c>
      <c r="I19" s="18" t="n">
        <f aca="false">INDEX(C_Fee,A19)</f>
        <v>0.11834</v>
      </c>
      <c r="J19" s="18" t="n">
        <f aca="false">INDEX(C_Loan,A19)</f>
        <v>5.96</v>
      </c>
      <c r="K19" s="21" t="n">
        <f aca="false">G19-J19+H19+I19</f>
        <v>9.55004</v>
      </c>
      <c r="L19" s="21" t="n">
        <f aca="false">G19*(1+D19)^E19</f>
        <v>17.1154164479743</v>
      </c>
      <c r="M19" s="21" t="n">
        <f aca="false">L19*LOOKUP(L19,FeeLo,FeeR)*(1+VAT)</f>
        <v>0.131788706649402</v>
      </c>
      <c r="N19" s="21" t="n">
        <f aca="false">-CUMIPMT(Rm,LoanYears*12,J19,1,E19*12,0)</f>
        <v>1.55927640103497</v>
      </c>
      <c r="O19" s="21" t="n">
        <f aca="false">J19*(1+Rm)^(E19*12)-(J19*Rm/(1-(1+Rm)^(-LoanYears*12)))*((1+Rm)^(E19*12)-1)/Rm</f>
        <v>5.12914446581671</v>
      </c>
      <c r="P19" s="29" t="n">
        <f aca="false">SUMIFS(Sch_Total,Sch_Idx,A19,Sch_Scen,C19,Sch_Year,"&lt;="&amp;E19)</f>
        <v>0.231406546933018</v>
      </c>
      <c r="Q19" s="21" t="n">
        <f aca="false">H19+I19+M19</f>
        <v>0.741828706649402</v>
      </c>
      <c r="R19" s="21" t="n">
        <f aca="false">L19-G19-Q19</f>
        <v>1.47358774132487</v>
      </c>
      <c r="S19" s="21" t="n">
        <f aca="false">MAX(0,IF(F19&gt;=2,IF(L19&gt;Exempt,R19*(L19-Exempt)/L19,0),R19))</f>
        <v>0.44042252739919</v>
      </c>
      <c r="T19" s="10" t="n">
        <f aca="false">IF(F19&gt;=2,MIN(MaxDed,MIN(0.4,HoldRate*E19)+MIN(0.4,LiveRate*F19)),IF(E19&gt;=3,MIN(0.3,0.02*E19),0))</f>
        <v>0.56</v>
      </c>
      <c r="U19" s="21" t="n">
        <f aca="false">S19*(1-T19)</f>
        <v>0.193785912055644</v>
      </c>
      <c r="V19" s="21" t="n">
        <f aca="false">MAX(0,U19-InitDed)</f>
        <v>0.168785912055644</v>
      </c>
      <c r="W19" s="29" t="n">
        <f aca="false">SUMPRODUCT((V19&gt;CLo)*(V19-CLo)*CD)*(1+LocalTax)</f>
        <v>0.0139896754891812</v>
      </c>
      <c r="X19" s="21" t="n">
        <f aca="false">H19+P19+W19</f>
        <v>0.737096222422199</v>
      </c>
      <c r="Y19" s="29" t="n">
        <f aca="false">(L19-G19)-H19-I19-M19-N19-P19-W19</f>
        <v>-0.3310848821323</v>
      </c>
      <c r="Z19" s="10" t="n">
        <f aca="false">Y19/K19</f>
        <v>-0.0346684288371881</v>
      </c>
      <c r="AA19" s="10" t="n">
        <f aca="false">IF(1+Z19&gt;0,(1+Z19)^(1/E19)-1,-1)</f>
        <v>-0.00502783783917471</v>
      </c>
      <c r="AB19" s="21" t="n">
        <f aca="false">L19-O19-M19-W19</f>
        <v>11.840493600019</v>
      </c>
      <c r="AC19" s="24" t="n">
        <f aca="false">AB19/K19</f>
        <v>1.23983706874725</v>
      </c>
      <c r="AD19" s="21" t="n">
        <f aca="false">K19*((1+DepRate*(1-DepTax))^E19-1)</f>
        <v>1.83144909557127</v>
      </c>
      <c r="AE19" s="21" t="n">
        <f aca="false">Y19-AD19</f>
        <v>-2.16253397770357</v>
      </c>
    </row>
    <row r="20" customFormat="false" ht="15" hidden="false" customHeight="false" outlineLevel="0" collapsed="false">
      <c r="A20" s="20" t="n">
        <v>2</v>
      </c>
      <c r="B20" s="18" t="str">
        <f aca="false">INDEX(C_Name,A20)</f>
        <v>e편한세상 문래 에듀플라츠 84.99㎡</v>
      </c>
      <c r="C20" s="20" t="n">
        <v>1</v>
      </c>
      <c r="D20" s="10" t="n">
        <f aca="false">CHOOSE(C20,GrowLo,GrowMid,GrowHi)</f>
        <v>0.02</v>
      </c>
      <c r="E20" s="20" t="n">
        <v>10</v>
      </c>
      <c r="F20" s="20" t="n">
        <f aca="false">MAX(0,E20-NonRes)</f>
        <v>10</v>
      </c>
      <c r="G20" s="18" t="n">
        <f aca="false">INDEX(C_Price,A20)</f>
        <v>14.9</v>
      </c>
      <c r="H20" s="18" t="n">
        <f aca="false">INDEX(C_Acq,A20)</f>
        <v>0.4917</v>
      </c>
      <c r="I20" s="18" t="n">
        <f aca="false">INDEX(C_Fee,A20)</f>
        <v>0.11834</v>
      </c>
      <c r="J20" s="18" t="n">
        <f aca="false">INDEX(C_Loan,A20)</f>
        <v>5.96</v>
      </c>
      <c r="K20" s="21" t="n">
        <f aca="false">G20-J20+H20+I20</f>
        <v>9.55004</v>
      </c>
      <c r="L20" s="21" t="n">
        <f aca="false">G20*(1+D20)^E20</f>
        <v>18.1630168579219</v>
      </c>
      <c r="M20" s="21" t="n">
        <f aca="false">L20*LOOKUP(L20,FeeLo,FeeR)*(1+VAT)</f>
        <v>0.139855229805999</v>
      </c>
      <c r="N20" s="21" t="n">
        <f aca="false">-CUMIPMT(Rm,LoanYears*12,J20,1,E20*12,0)</f>
        <v>2.1499981621792</v>
      </c>
      <c r="O20" s="21" t="n">
        <f aca="false">J20*(1+Rm)^(E20*12)-(J20*Rm/(1-(1+Rm)^(-LoanYears*12)))*((1+Rm)^(E20*12)-1)/Rm</f>
        <v>4.69552396901026</v>
      </c>
      <c r="P20" s="29" t="n">
        <f aca="false">SUMIFS(Sch_Total,Sch_Idx,A20,Sch_Scen,C20,Sch_Year,"&lt;="&amp;E20)</f>
        <v>0.344372860004419</v>
      </c>
      <c r="Q20" s="21" t="n">
        <f aca="false">H20+I20+M20</f>
        <v>0.749895229805999</v>
      </c>
      <c r="R20" s="21" t="n">
        <f aca="false">L20-G20-Q20</f>
        <v>2.51312162811589</v>
      </c>
      <c r="S20" s="21" t="n">
        <f aca="false">MAX(0,IF(F20&gt;=2,IF(L20&gt;Exempt,R20*(L20-Exempt)/L20,0),R20))</f>
        <v>0.852744402609028</v>
      </c>
      <c r="T20" s="10" t="n">
        <f aca="false">IF(F20&gt;=2,MIN(MaxDed,MIN(0.4,HoldRate*E20)+MIN(0.4,LiveRate*F20)),IF(E20&gt;=3,MIN(0.3,0.02*E20),0))</f>
        <v>0.8</v>
      </c>
      <c r="U20" s="21" t="n">
        <f aca="false">S20*(1-T20)</f>
        <v>0.170548880521806</v>
      </c>
      <c r="V20" s="21" t="n">
        <f aca="false">MAX(0,U20-InitDed)</f>
        <v>0.145548880521806</v>
      </c>
      <c r="W20" s="29" t="n">
        <f aca="false">SUMPRODUCT((V20&gt;CLo)*(V20-CLo)*CD)*(1+LocalTax)</f>
        <v>0.0101555652860979</v>
      </c>
      <c r="X20" s="21" t="n">
        <f aca="false">H20+P20+W20</f>
        <v>0.846228425290517</v>
      </c>
      <c r="Y20" s="29" t="n">
        <f aca="false">(L20-G20)-H20-I20-M20-N20-P20-W20</f>
        <v>0.00859504064616888</v>
      </c>
      <c r="Z20" s="10" t="n">
        <f aca="false">Y20/K20</f>
        <v>0.000900000486507792</v>
      </c>
      <c r="AA20" s="10" t="n">
        <f aca="false">IF(1+Z20&gt;0,(1+Z20)^(1/E20)-1,-1)</f>
        <v>8.99636193743003E-005</v>
      </c>
      <c r="AB20" s="21" t="n">
        <f aca="false">L20-O20-M20-W20</f>
        <v>13.3174820938195</v>
      </c>
      <c r="AC20" s="24" t="n">
        <f aca="false">AB20/K20</f>
        <v>1.39449490199198</v>
      </c>
      <c r="AD20" s="21" t="n">
        <f aca="false">K20*((1+DepRate*(1-DepTax))^E20-1)</f>
        <v>2.72021571166593</v>
      </c>
      <c r="AE20" s="21" t="n">
        <f aca="false">Y20-AD20</f>
        <v>-2.71162067101977</v>
      </c>
    </row>
    <row r="21" customFormat="false" ht="15" hidden="false" customHeight="false" outlineLevel="0" collapsed="false">
      <c r="A21" s="20" t="n">
        <v>2</v>
      </c>
      <c r="B21" s="18" t="str">
        <f aca="false">INDEX(C_Name,A21)</f>
        <v>e편한세상 문래 에듀플라츠 84.99㎡</v>
      </c>
      <c r="C21" s="20" t="n">
        <v>2</v>
      </c>
      <c r="D21" s="10" t="n">
        <f aca="false">CHOOSE(C21,GrowLo,GrowMid,GrowHi)</f>
        <v>0.04</v>
      </c>
      <c r="E21" s="20" t="n">
        <v>3</v>
      </c>
      <c r="F21" s="20" t="n">
        <f aca="false">MAX(0,E21-NonRes)</f>
        <v>3</v>
      </c>
      <c r="G21" s="18" t="n">
        <f aca="false">INDEX(C_Price,A21)</f>
        <v>14.9</v>
      </c>
      <c r="H21" s="18" t="n">
        <f aca="false">INDEX(C_Acq,A21)</f>
        <v>0.4917</v>
      </c>
      <c r="I21" s="18" t="n">
        <f aca="false">INDEX(C_Fee,A21)</f>
        <v>0.11834</v>
      </c>
      <c r="J21" s="18" t="n">
        <f aca="false">INDEX(C_Loan,A21)</f>
        <v>5.96</v>
      </c>
      <c r="K21" s="21" t="n">
        <f aca="false">G21-J21+H21+I21</f>
        <v>9.55004</v>
      </c>
      <c r="L21" s="21" t="n">
        <f aca="false">G21*(1+D21)^E21</f>
        <v>16.7604736</v>
      </c>
      <c r="M21" s="21" t="n">
        <f aca="false">L21*LOOKUP(L21,FeeLo,FeeR)*(1+VAT)</f>
        <v>0.12905564672</v>
      </c>
      <c r="N21" s="21" t="n">
        <f aca="false">-CUMIPMT(Rm,LoanYears*12,J21,1,E21*12,0)</f>
        <v>0.696466302433323</v>
      </c>
      <c r="O21" s="21" t="n">
        <f aca="false">J21*(1+Rm)^(E21*12)-(J21*Rm/(1-(1+Rm)^(-LoanYears*12)))*((1+Rm)^(E21*12)-1)/Rm</f>
        <v>5.63212404448264</v>
      </c>
      <c r="P21" s="29" t="n">
        <f aca="false">SUMIFS(Sch_Total,Sch_Idx,A21,Sch_Scen,C21,Sch_Year,"&lt;="&amp;E21)</f>
        <v>0.096706590912</v>
      </c>
      <c r="Q21" s="21" t="n">
        <f aca="false">H21+I21+M21</f>
        <v>0.73909564672</v>
      </c>
      <c r="R21" s="21" t="n">
        <f aca="false">L21-G21-Q21</f>
        <v>1.12137795328</v>
      </c>
      <c r="S21" s="21" t="n">
        <f aca="false">MAX(0,IF(F21&gt;=2,IF(L21&gt;Exempt,R21*(L21-Exempt)/L21,0),R21))</f>
        <v>0.318504731406365</v>
      </c>
      <c r="T21" s="10" t="n">
        <f aca="false">IF(F21&gt;=2,MIN(MaxDed,MIN(0.4,HoldRate*E21)+MIN(0.4,LiveRate*F21)),IF(E21&gt;=3,MIN(0.3,0.02*E21),0))</f>
        <v>0.24</v>
      </c>
      <c r="U21" s="21" t="n">
        <f aca="false">S21*(1-T21)</f>
        <v>0.242063595868838</v>
      </c>
      <c r="V21" s="21" t="n">
        <f aca="false">MAX(0,U21-InitDed)</f>
        <v>0.217063595868838</v>
      </c>
      <c r="W21" s="29" t="n">
        <f aca="false">SUMPRODUCT((V21&gt;CLo)*(V21-CLo)*CD)*(1+LocalTax)</f>
        <v>0.0219554933183582</v>
      </c>
      <c r="X21" s="21" t="n">
        <f aca="false">H21+P21+W21</f>
        <v>0.610362084230358</v>
      </c>
      <c r="Y21" s="29" t="n">
        <f aca="false">(L21-G21)-H21-I21-M21-N21-P21-W21</f>
        <v>0.306249566616319</v>
      </c>
      <c r="Z21" s="10" t="n">
        <f aca="false">Y21/K21</f>
        <v>0.0320678831309941</v>
      </c>
      <c r="AA21" s="10" t="n">
        <f aca="false">IF(1+Z21&gt;0,(1+Z21)^(1/E21)-1,-1)</f>
        <v>0.010577026458674</v>
      </c>
      <c r="AB21" s="21" t="n">
        <f aca="false">L21-O21-M21-W21</f>
        <v>10.977338415479</v>
      </c>
      <c r="AC21" s="24" t="n">
        <f aca="false">AB21/K21</f>
        <v>1.14945470547548</v>
      </c>
      <c r="AD21" s="21" t="n">
        <f aca="false">K21*((1+DepRate*(1-DepTax))^E21-1)</f>
        <v>0.74575098768679</v>
      </c>
      <c r="AE21" s="21" t="n">
        <f aca="false">Y21-AD21</f>
        <v>-0.439501421070471</v>
      </c>
    </row>
    <row r="22" customFormat="false" ht="15" hidden="false" customHeight="false" outlineLevel="0" collapsed="false">
      <c r="A22" s="20" t="n">
        <v>2</v>
      </c>
      <c r="B22" s="18" t="str">
        <f aca="false">INDEX(C_Name,A22)</f>
        <v>e편한세상 문래 에듀플라츠 84.99㎡</v>
      </c>
      <c r="C22" s="20" t="n">
        <v>2</v>
      </c>
      <c r="D22" s="10" t="n">
        <f aca="false">CHOOSE(C22,GrowLo,GrowMid,GrowHi)</f>
        <v>0.04</v>
      </c>
      <c r="E22" s="20" t="n">
        <v>5</v>
      </c>
      <c r="F22" s="20" t="n">
        <f aca="false">MAX(0,E22-NonRes)</f>
        <v>5</v>
      </c>
      <c r="G22" s="18" t="n">
        <f aca="false">INDEX(C_Price,A22)</f>
        <v>14.9</v>
      </c>
      <c r="H22" s="18" t="n">
        <f aca="false">INDEX(C_Acq,A22)</f>
        <v>0.4917</v>
      </c>
      <c r="I22" s="18" t="n">
        <f aca="false">INDEX(C_Fee,A22)</f>
        <v>0.11834</v>
      </c>
      <c r="J22" s="18" t="n">
        <f aca="false">INDEX(C_Loan,A22)</f>
        <v>5.96</v>
      </c>
      <c r="K22" s="21" t="n">
        <f aca="false">G22-J22+H22+I22</f>
        <v>9.55004</v>
      </c>
      <c r="L22" s="21" t="n">
        <f aca="false">G22*(1+D22)^E22</f>
        <v>18.12812824576</v>
      </c>
      <c r="M22" s="21" t="n">
        <f aca="false">L22*LOOKUP(L22,FeeLo,FeeR)*(1+VAT)</f>
        <v>0.139586587492352</v>
      </c>
      <c r="N22" s="21" t="n">
        <f aca="false">-CUMIPMT(Rm,LoanYears*12,J22,1,E22*12,0)</f>
        <v>1.1379088794955</v>
      </c>
      <c r="O22" s="21" t="n">
        <f aca="false">J22*(1+Rm)^(E22*12)-(J22*Rm/(1-(1+Rm)^(-LoanYears*12)))*((1+Rm)^(E22*12)-1)/Rm</f>
        <v>5.39067178291103</v>
      </c>
      <c r="P22" s="29" t="n">
        <f aca="false">SUMIFS(Sch_Total,Sch_Idx,A22,Sch_Scen,C22,Sch_Year,"&lt;="&amp;E22)</f>
        <v>0.169447326609715</v>
      </c>
      <c r="Q22" s="21" t="n">
        <f aca="false">H22+I22+M22</f>
        <v>0.749626587492352</v>
      </c>
      <c r="R22" s="21" t="n">
        <f aca="false">L22-G22-Q22</f>
        <v>2.47850165826765</v>
      </c>
      <c r="S22" s="21" t="n">
        <f aca="false">MAX(0,IF(F22&gt;=2,IF(L22&gt;Exempt,R22*(L22-Exempt)/L22,0),R22))</f>
        <v>0.837845794848978</v>
      </c>
      <c r="T22" s="10" t="n">
        <f aca="false">IF(F22&gt;=2,MIN(MaxDed,MIN(0.4,HoldRate*E22)+MIN(0.4,LiveRate*F22)),IF(E22&gt;=3,MIN(0.3,0.02*E22),0))</f>
        <v>0.4</v>
      </c>
      <c r="U22" s="21" t="n">
        <f aca="false">S22*(1-T22)</f>
        <v>0.502707476909387</v>
      </c>
      <c r="V22" s="21" t="n">
        <f aca="false">MAX(0,U22-InitDed)</f>
        <v>0.477707476909387</v>
      </c>
      <c r="W22" s="29" t="n">
        <f aca="false">SUMPRODUCT((V22&gt;CLo)*(V22-CLo)*CD)*(1+LocalTax)</f>
        <v>0.0649617336900488</v>
      </c>
      <c r="X22" s="21" t="n">
        <f aca="false">H22+P22+W22</f>
        <v>0.726109060299764</v>
      </c>
      <c r="Y22" s="29" t="n">
        <f aca="false">(L22-G22)-H22-I22-M22-N22-P22-W22</f>
        <v>1.10618371847238</v>
      </c>
      <c r="Z22" s="10" t="n">
        <f aca="false">Y22/K22</f>
        <v>0.115830270708016</v>
      </c>
      <c r="AA22" s="10" t="n">
        <f aca="false">IF(1+Z22&gt;0,(1+Z22)^(1/E22)-1,-1)</f>
        <v>0.0221617558084337</v>
      </c>
      <c r="AB22" s="21" t="n">
        <f aca="false">L22-O22-M22-W22</f>
        <v>12.5329081416666</v>
      </c>
      <c r="AC22" s="24" t="n">
        <f aca="false">AB22/K22</f>
        <v>1.31234090555292</v>
      </c>
      <c r="AD22" s="21" t="n">
        <f aca="false">K22*((1+DepRate*(1-DepTax))^E22-1)</f>
        <v>1.27499731433006</v>
      </c>
      <c r="AE22" s="21" t="n">
        <f aca="false">Y22-AD22</f>
        <v>-0.168813595857676</v>
      </c>
    </row>
    <row r="23" customFormat="false" ht="15" hidden="false" customHeight="false" outlineLevel="0" collapsed="false">
      <c r="A23" s="20" t="n">
        <v>2</v>
      </c>
      <c r="B23" s="18" t="str">
        <f aca="false">INDEX(C_Name,A23)</f>
        <v>e편한세상 문래 에듀플라츠 84.99㎡</v>
      </c>
      <c r="C23" s="20" t="n">
        <v>2</v>
      </c>
      <c r="D23" s="10" t="n">
        <f aca="false">CHOOSE(C23,GrowLo,GrowMid,GrowHi)</f>
        <v>0.04</v>
      </c>
      <c r="E23" s="20" t="n">
        <v>7</v>
      </c>
      <c r="F23" s="20" t="n">
        <f aca="false">MAX(0,E23-NonRes)</f>
        <v>7</v>
      </c>
      <c r="G23" s="18" t="n">
        <f aca="false">INDEX(C_Price,A23)</f>
        <v>14.9</v>
      </c>
      <c r="H23" s="18" t="n">
        <f aca="false">INDEX(C_Acq,A23)</f>
        <v>0.4917</v>
      </c>
      <c r="I23" s="18" t="n">
        <f aca="false">INDEX(C_Fee,A23)</f>
        <v>0.11834</v>
      </c>
      <c r="J23" s="18" t="n">
        <f aca="false">INDEX(C_Loan,A23)</f>
        <v>5.96</v>
      </c>
      <c r="K23" s="21" t="n">
        <f aca="false">G23-J23+H23+I23</f>
        <v>9.55004</v>
      </c>
      <c r="L23" s="21" t="n">
        <f aca="false">G23*(1+D23)^E23</f>
        <v>19.607383510614</v>
      </c>
      <c r="M23" s="21" t="n">
        <f aca="false">L23*LOOKUP(L23,FeeLo,FeeR)*(1+VAT)</f>
        <v>0.150976853031728</v>
      </c>
      <c r="N23" s="21" t="n">
        <f aca="false">-CUMIPMT(Rm,LoanYears*12,J23,1,E23*12,0)</f>
        <v>1.55927640103497</v>
      </c>
      <c r="O23" s="21" t="n">
        <f aca="false">J23*(1+Rm)^(E23*12)-(J23*Rm/(1-(1+Rm)^(-LoanYears*12)))*((1+Rm)^(E23*12)-1)/Rm</f>
        <v>5.12914446581671</v>
      </c>
      <c r="P23" s="29" t="n">
        <f aca="false">SUMIFS(Sch_Total,Sch_Idx,A23,Sch_Scen,C23,Sch_Year,"&lt;="&amp;E23)</f>
        <v>0.254712888902832</v>
      </c>
      <c r="Q23" s="21" t="n">
        <f aca="false">H23+I23+M23</f>
        <v>0.761016853031728</v>
      </c>
      <c r="R23" s="21" t="n">
        <f aca="false">L23-G23-Q23</f>
        <v>3.94636665758229</v>
      </c>
      <c r="S23" s="21" t="n">
        <f aca="false">MAX(0,IF(F23&gt;=2,IF(L23&gt;Exempt,R23*(L23-Exempt)/L23,0),R23))</f>
        <v>1.53113364776473</v>
      </c>
      <c r="T23" s="10" t="n">
        <f aca="false">IF(F23&gt;=2,MIN(MaxDed,MIN(0.4,HoldRate*E23)+MIN(0.4,LiveRate*F23)),IF(E23&gt;=3,MIN(0.3,0.02*E23),0))</f>
        <v>0.56</v>
      </c>
      <c r="U23" s="21" t="n">
        <f aca="false">S23*(1-T23)</f>
        <v>0.673698805016482</v>
      </c>
      <c r="V23" s="21" t="n">
        <f aca="false">MAX(0,U23-InitDed)</f>
        <v>0.648698805016482</v>
      </c>
      <c r="W23" s="29" t="n">
        <f aca="false">SUMPRODUCT((V23&gt;CLo)*(V23-CLo)*CD)*(1+LocalTax)</f>
        <v>0.107896484524351</v>
      </c>
      <c r="X23" s="21" t="n">
        <f aca="false">H23+P23+W23</f>
        <v>0.854309373427183</v>
      </c>
      <c r="Y23" s="29" t="n">
        <f aca="false">(L23-G23)-H23-I23-M23-N23-P23-W23</f>
        <v>2.02448088312014</v>
      </c>
      <c r="Z23" s="10" t="n">
        <f aca="false">Y23/K23</f>
        <v>0.211986639126134</v>
      </c>
      <c r="AA23" s="10" t="n">
        <f aca="false">IF(1+Z23&gt;0,(1+Z23)^(1/E23)-1,-1)</f>
        <v>0.0278465008868363</v>
      </c>
      <c r="AB23" s="21" t="n">
        <f aca="false">L23-O23-M23-W23</f>
        <v>14.2193657072412</v>
      </c>
      <c r="AC23" s="24" t="n">
        <f aca="false">AB23/K23</f>
        <v>1.48893258114534</v>
      </c>
      <c r="AD23" s="21" t="n">
        <f aca="false">K23*((1+DepRate*(1-DepTax))^E23-1)</f>
        <v>1.83144909557127</v>
      </c>
      <c r="AE23" s="21" t="n">
        <f aca="false">Y23-AD23</f>
        <v>0.193031787548871</v>
      </c>
    </row>
    <row r="24" customFormat="false" ht="15" hidden="false" customHeight="false" outlineLevel="0" collapsed="false">
      <c r="A24" s="20" t="n">
        <v>2</v>
      </c>
      <c r="B24" s="18" t="str">
        <f aca="false">INDEX(C_Name,A24)</f>
        <v>e편한세상 문래 에듀플라츠 84.99㎡</v>
      </c>
      <c r="C24" s="20" t="n">
        <v>2</v>
      </c>
      <c r="D24" s="10" t="n">
        <f aca="false">CHOOSE(C24,GrowLo,GrowMid,GrowHi)</f>
        <v>0.04</v>
      </c>
      <c r="E24" s="20" t="n">
        <v>10</v>
      </c>
      <c r="F24" s="20" t="n">
        <f aca="false">MAX(0,E24-NonRes)</f>
        <v>10</v>
      </c>
      <c r="G24" s="18" t="n">
        <f aca="false">INDEX(C_Price,A24)</f>
        <v>14.9</v>
      </c>
      <c r="H24" s="18" t="n">
        <f aca="false">INDEX(C_Acq,A24)</f>
        <v>0.4917</v>
      </c>
      <c r="I24" s="18" t="n">
        <f aca="false">INDEX(C_Fee,A24)</f>
        <v>0.11834</v>
      </c>
      <c r="J24" s="18" t="n">
        <f aca="false">INDEX(C_Loan,A24)</f>
        <v>5.96</v>
      </c>
      <c r="K24" s="21" t="n">
        <f aca="false">G24-J24+H24+I24</f>
        <v>9.55004</v>
      </c>
      <c r="L24" s="21" t="n">
        <f aca="false">G24*(1+D24)^E24</f>
        <v>22.0556398452833</v>
      </c>
      <c r="M24" s="21" t="n">
        <f aca="false">L24*LOOKUP(L24,FeeLo,FeeR)*(1+VAT)</f>
        <v>0.169828426808682</v>
      </c>
      <c r="N24" s="21" t="n">
        <f aca="false">-CUMIPMT(Rm,LoanYears*12,J24,1,E24*12,0)</f>
        <v>2.1499981621792</v>
      </c>
      <c r="O24" s="21" t="n">
        <f aca="false">J24*(1+Rm)^(E24*12)-(J24*Rm/(1-(1+Rm)^(-LoanYears*12)))*((1+Rm)^(E24*12)-1)/Rm</f>
        <v>4.69552396901026</v>
      </c>
      <c r="P24" s="29" t="n">
        <f aca="false">SUMIFS(Sch_Total,Sch_Idx,A24,Sch_Scen,C24,Sch_Year,"&lt;="&amp;E24)</f>
        <v>0.411574216281525</v>
      </c>
      <c r="Q24" s="21" t="n">
        <f aca="false">H24+I24+M24</f>
        <v>0.779868426808682</v>
      </c>
      <c r="R24" s="21" t="n">
        <f aca="false">L24-G24-Q24</f>
        <v>6.37577141847465</v>
      </c>
      <c r="S24" s="21" t="n">
        <f aca="false">MAX(0,IF(F24&gt;=2,IF(L24&gt;Exempt,R24*(L24-Exempt)/L24,0),R24))</f>
        <v>2.90685110791483</v>
      </c>
      <c r="T24" s="10" t="n">
        <f aca="false">IF(F24&gt;=2,MIN(MaxDed,MIN(0.4,HoldRate*E24)+MIN(0.4,LiveRate*F24)),IF(E24&gt;=3,MIN(0.3,0.02*E24),0))</f>
        <v>0.8</v>
      </c>
      <c r="U24" s="21" t="n">
        <f aca="false">S24*(1-T24)</f>
        <v>0.581370221582966</v>
      </c>
      <c r="V24" s="21" t="n">
        <f aca="false">MAX(0,U24-InitDed)</f>
        <v>0.556370221582966</v>
      </c>
      <c r="W24" s="29" t="n">
        <f aca="false">SUMPRODUCT((V24&gt;CLo)*(V24-CLo)*CD)*(1+LocalTax)</f>
        <v>0.083521738497903</v>
      </c>
      <c r="X24" s="21" t="n">
        <f aca="false">H24+P24+W24</f>
        <v>0.986795954779429</v>
      </c>
      <c r="Y24" s="29" t="n">
        <f aca="false">(L24-G24)-H24-I24-M24-N24-P24-W24</f>
        <v>3.73067730151602</v>
      </c>
      <c r="Z24" s="10" t="n">
        <f aca="false">Y24/K24</f>
        <v>0.390645201644812</v>
      </c>
      <c r="AA24" s="10" t="n">
        <f aca="false">IF(1+Z24&gt;0,(1+Z24)^(1/E24)-1,-1)</f>
        <v>0.0335265418502195</v>
      </c>
      <c r="AB24" s="21" t="n">
        <f aca="false">L24-O24-M24-W24</f>
        <v>17.1067657109665</v>
      </c>
      <c r="AC24" s="24" t="n">
        <f aca="false">AB24/K24</f>
        <v>1.79127686491015</v>
      </c>
      <c r="AD24" s="21" t="n">
        <f aca="false">K24*((1+DepRate*(1-DepTax))^E24-1)</f>
        <v>2.72021571166593</v>
      </c>
      <c r="AE24" s="21" t="n">
        <f aca="false">Y24-AD24</f>
        <v>1.01046158985009</v>
      </c>
    </row>
    <row r="25" customFormat="false" ht="15" hidden="false" customHeight="false" outlineLevel="0" collapsed="false">
      <c r="A25" s="20" t="n">
        <v>2</v>
      </c>
      <c r="B25" s="18" t="str">
        <f aca="false">INDEX(C_Name,A25)</f>
        <v>e편한세상 문래 에듀플라츠 84.99㎡</v>
      </c>
      <c r="C25" s="20" t="n">
        <v>3</v>
      </c>
      <c r="D25" s="10" t="n">
        <f aca="false">CHOOSE(C25,GrowLo,GrowMid,GrowHi)</f>
        <v>0.06</v>
      </c>
      <c r="E25" s="20" t="n">
        <v>3</v>
      </c>
      <c r="F25" s="20" t="n">
        <f aca="false">MAX(0,E25-NonRes)</f>
        <v>3</v>
      </c>
      <c r="G25" s="18" t="n">
        <f aca="false">INDEX(C_Price,A25)</f>
        <v>14.9</v>
      </c>
      <c r="H25" s="18" t="n">
        <f aca="false">INDEX(C_Acq,A25)</f>
        <v>0.4917</v>
      </c>
      <c r="I25" s="18" t="n">
        <f aca="false">INDEX(C_Fee,A25)</f>
        <v>0.11834</v>
      </c>
      <c r="J25" s="18" t="n">
        <f aca="false">INDEX(C_Loan,A25)</f>
        <v>5.96</v>
      </c>
      <c r="K25" s="21" t="n">
        <f aca="false">G25-J25+H25+I25</f>
        <v>9.55004</v>
      </c>
      <c r="L25" s="21" t="n">
        <f aca="false">G25*(1+D25)^E25</f>
        <v>17.7461384</v>
      </c>
      <c r="M25" s="21" t="n">
        <f aca="false">L25*LOOKUP(L25,FeeLo,FeeR)*(1+VAT)</f>
        <v>0.13664526568</v>
      </c>
      <c r="N25" s="21" t="n">
        <f aca="false">-CUMIPMT(Rm,LoanYears*12,J25,1,E25*12,0)</f>
        <v>0.696466302433323</v>
      </c>
      <c r="O25" s="21" t="n">
        <f aca="false">J25*(1+Rm)^(E25*12)-(J25*Rm/(1-(1+Rm)^(-LoanYears*12)))*((1+Rm)^(E25*12)-1)/Rm</f>
        <v>5.63212404448264</v>
      </c>
      <c r="P25" s="29" t="n">
        <f aca="false">SUMIFS(Sch_Total,Sch_Idx,A25,Sch_Scen,C25,Sch_Year,"&lt;="&amp;E25)</f>
        <v>0.099077800752</v>
      </c>
      <c r="Q25" s="21" t="n">
        <f aca="false">H25+I25+M25</f>
        <v>0.74668526568</v>
      </c>
      <c r="R25" s="21" t="n">
        <f aca="false">L25-G25-Q25</f>
        <v>2.09945313432</v>
      </c>
      <c r="S25" s="21" t="n">
        <f aca="false">MAX(0,IF(F25&gt;=2,IF(L25&gt;Exempt,R25*(L25-Exempt)/L25,0),R25))</f>
        <v>0.679795682993013</v>
      </c>
      <c r="T25" s="10" t="n">
        <f aca="false">IF(F25&gt;=2,MIN(MaxDed,MIN(0.4,HoldRate*E25)+MIN(0.4,LiveRate*F25)),IF(E25&gt;=3,MIN(0.3,0.02*E25),0))</f>
        <v>0.24</v>
      </c>
      <c r="U25" s="21" t="n">
        <f aca="false">S25*(1-T25)</f>
        <v>0.51664471907469</v>
      </c>
      <c r="V25" s="21" t="n">
        <f aca="false">MAX(0,U25-InitDed)</f>
        <v>0.49164471907469</v>
      </c>
      <c r="W25" s="29" t="n">
        <f aca="false">SUMPRODUCT((V25&gt;CLo)*(V25-CLo)*CD)*(1+LocalTax)</f>
        <v>0.0672613786473238</v>
      </c>
      <c r="X25" s="21" t="n">
        <f aca="false">H25+P25+W25</f>
        <v>0.658039179399324</v>
      </c>
      <c r="Y25" s="29" t="n">
        <f aca="false">(L25-G25)-H25-I25-M25-N25-P25-W25</f>
        <v>1.23664765248736</v>
      </c>
      <c r="Z25" s="10" t="n">
        <f aca="false">Y25/K25</f>
        <v>0.129491358411835</v>
      </c>
      <c r="AA25" s="10" t="n">
        <f aca="false">IF(1+Z25&gt;0,(1+Z25)^(1/E25)-1,-1)</f>
        <v>0.0414241332833982</v>
      </c>
      <c r="AB25" s="21" t="n">
        <f aca="false">L25-O25-M25-W25</f>
        <v>11.91010771119</v>
      </c>
      <c r="AC25" s="24" t="n">
        <f aca="false">AB25/K25</f>
        <v>1.24712647394043</v>
      </c>
      <c r="AD25" s="21" t="n">
        <f aca="false">K25*((1+DepRate*(1-DepTax))^E25-1)</f>
        <v>0.74575098768679</v>
      </c>
      <c r="AE25" s="21" t="n">
        <f aca="false">Y25-AD25</f>
        <v>0.490896664800567</v>
      </c>
    </row>
    <row r="26" customFormat="false" ht="15" hidden="false" customHeight="false" outlineLevel="0" collapsed="false">
      <c r="A26" s="20" t="n">
        <v>2</v>
      </c>
      <c r="B26" s="18" t="str">
        <f aca="false">INDEX(C_Name,A26)</f>
        <v>e편한세상 문래 에듀플라츠 84.99㎡</v>
      </c>
      <c r="C26" s="20" t="n">
        <v>3</v>
      </c>
      <c r="D26" s="10" t="n">
        <f aca="false">CHOOSE(C26,GrowLo,GrowMid,GrowHi)</f>
        <v>0.06</v>
      </c>
      <c r="E26" s="20" t="n">
        <v>5</v>
      </c>
      <c r="F26" s="20" t="n">
        <f aca="false">MAX(0,E26-NonRes)</f>
        <v>5</v>
      </c>
      <c r="G26" s="18" t="n">
        <f aca="false">INDEX(C_Price,A26)</f>
        <v>14.9</v>
      </c>
      <c r="H26" s="18" t="n">
        <f aca="false">INDEX(C_Acq,A26)</f>
        <v>0.4917</v>
      </c>
      <c r="I26" s="18" t="n">
        <f aca="false">INDEX(C_Fee,A26)</f>
        <v>0.11834</v>
      </c>
      <c r="J26" s="18" t="n">
        <f aca="false">INDEX(C_Loan,A26)</f>
        <v>5.96</v>
      </c>
      <c r="K26" s="21" t="n">
        <f aca="false">G26-J26+H26+I26</f>
        <v>9.55004</v>
      </c>
      <c r="L26" s="21" t="n">
        <f aca="false">G26*(1+D26)^E26</f>
        <v>19.93956110624</v>
      </c>
      <c r="M26" s="21" t="n">
        <f aca="false">L26*LOOKUP(L26,FeeLo,FeeR)*(1+VAT)</f>
        <v>0.153534620518048</v>
      </c>
      <c r="N26" s="21" t="n">
        <f aca="false">-CUMIPMT(Rm,LoanYears*12,J26,1,E26*12,0)</f>
        <v>1.1379088794955</v>
      </c>
      <c r="O26" s="21" t="n">
        <f aca="false">J26*(1+Rm)^(E26*12)-(J26*Rm/(1-(1+Rm)^(-LoanYears*12)))*((1+Rm)^(E26*12)-1)/Rm</f>
        <v>5.39067178291103</v>
      </c>
      <c r="P26" s="29" t="n">
        <f aca="false">SUMIFS(Sch_Total,Sch_Idx,A26,Sch_Scen,C26,Sch_Year,"&lt;="&amp;E26)</f>
        <v>0.182200124163283</v>
      </c>
      <c r="Q26" s="21" t="n">
        <f aca="false">H26+I26+M26</f>
        <v>0.763574620518048</v>
      </c>
      <c r="R26" s="21" t="n">
        <f aca="false">L26-G26-Q26</f>
        <v>4.27598648572196</v>
      </c>
      <c r="S26" s="21" t="n">
        <f aca="false">MAX(0,IF(F26&gt;=2,IF(L26&gt;Exempt,R26*(L26-Exempt)/L26,0),R26))</f>
        <v>1.70261801711481</v>
      </c>
      <c r="T26" s="10" t="n">
        <f aca="false">IF(F26&gt;=2,MIN(MaxDed,MIN(0.4,HoldRate*E26)+MIN(0.4,LiveRate*F26)),IF(E26&gt;=3,MIN(0.3,0.02*E26),0))</f>
        <v>0.4</v>
      </c>
      <c r="U26" s="21" t="n">
        <f aca="false">S26*(1-T26)</f>
        <v>1.02157081026889</v>
      </c>
      <c r="V26" s="21" t="n">
        <f aca="false">MAX(0,U26-InitDed)</f>
        <v>0.996570810268885</v>
      </c>
      <c r="W26" s="29" t="n">
        <f aca="false">SUMPRODUCT((V26&gt;CLo)*(V26-CLo)*CD)*(1+LocalTax)</f>
        <v>0.213839761953521</v>
      </c>
      <c r="X26" s="21" t="n">
        <f aca="false">H26+P26+W26</f>
        <v>0.887739886116804</v>
      </c>
      <c r="Y26" s="29" t="n">
        <f aca="false">(L26-G26)-H26-I26-M26-N26-P26-W26</f>
        <v>2.74203772010965</v>
      </c>
      <c r="Z26" s="10" t="n">
        <f aca="false">Y26/K26</f>
        <v>0.28712316598775</v>
      </c>
      <c r="AA26" s="10" t="n">
        <f aca="false">IF(1+Z26&gt;0,(1+Z26)^(1/E26)-1,-1)</f>
        <v>0.0517778521098666</v>
      </c>
      <c r="AB26" s="21" t="n">
        <f aca="false">L26-O26-M26-W26</f>
        <v>14.1815149408574</v>
      </c>
      <c r="AC26" s="24" t="n">
        <f aca="false">AB26/K26</f>
        <v>1.48496916671107</v>
      </c>
      <c r="AD26" s="21" t="n">
        <f aca="false">K26*((1+DepRate*(1-DepTax))^E26-1)</f>
        <v>1.27499731433006</v>
      </c>
      <c r="AE26" s="21" t="n">
        <f aca="false">Y26-AD26</f>
        <v>1.46704040577959</v>
      </c>
    </row>
    <row r="27" customFormat="false" ht="15" hidden="false" customHeight="false" outlineLevel="0" collapsed="false">
      <c r="A27" s="20" t="n">
        <v>2</v>
      </c>
      <c r="B27" s="18" t="str">
        <f aca="false">INDEX(C_Name,A27)</f>
        <v>e편한세상 문래 에듀플라츠 84.99㎡</v>
      </c>
      <c r="C27" s="20" t="n">
        <v>3</v>
      </c>
      <c r="D27" s="10" t="n">
        <f aca="false">CHOOSE(C27,GrowLo,GrowMid,GrowHi)</f>
        <v>0.06</v>
      </c>
      <c r="E27" s="20" t="n">
        <v>7</v>
      </c>
      <c r="F27" s="20" t="n">
        <f aca="false">MAX(0,E27-NonRes)</f>
        <v>7</v>
      </c>
      <c r="G27" s="18" t="n">
        <f aca="false">INDEX(C_Price,A27)</f>
        <v>14.9</v>
      </c>
      <c r="H27" s="18" t="n">
        <f aca="false">INDEX(C_Acq,A27)</f>
        <v>0.4917</v>
      </c>
      <c r="I27" s="18" t="n">
        <f aca="false">INDEX(C_Fee,A27)</f>
        <v>0.11834</v>
      </c>
      <c r="J27" s="18" t="n">
        <f aca="false">INDEX(C_Loan,A27)</f>
        <v>5.96</v>
      </c>
      <c r="K27" s="21" t="n">
        <f aca="false">G27-J27+H27+I27</f>
        <v>9.55004</v>
      </c>
      <c r="L27" s="21" t="n">
        <f aca="false">G27*(1+D27)^E27</f>
        <v>22.4040908589713</v>
      </c>
      <c r="M27" s="21" t="n">
        <f aca="false">L27*LOOKUP(L27,FeeLo,FeeR)*(1+VAT)</f>
        <v>0.172511499614079</v>
      </c>
      <c r="N27" s="21" t="n">
        <f aca="false">-CUMIPMT(Rm,LoanYears*12,J27,1,E27*12,0)</f>
        <v>1.55927640103497</v>
      </c>
      <c r="O27" s="21" t="n">
        <f aca="false">J27*(1+Rm)^(E27*12)-(J27*Rm/(1-(1+Rm)^(-LoanYears*12)))*((1+Rm)^(E27*12)-1)/Rm</f>
        <v>5.12914446581671</v>
      </c>
      <c r="P27" s="29" t="n">
        <f aca="false">SUMIFS(Sch_Total,Sch_Idx,A27,Sch_Scen,C27,Sch_Year,"&lt;="&amp;E27)</f>
        <v>0.288144238748201</v>
      </c>
      <c r="Q27" s="21" t="n">
        <f aca="false">H27+I27+M27</f>
        <v>0.782551499614079</v>
      </c>
      <c r="R27" s="21" t="n">
        <f aca="false">L27-G27-Q27</f>
        <v>6.72153935935719</v>
      </c>
      <c r="S27" s="21" t="n">
        <f aca="false">MAX(0,IF(F27&gt;=2,IF(L27&gt;Exempt,R27*(L27-Exempt)/L27,0),R27))</f>
        <v>3.1213721925655</v>
      </c>
      <c r="T27" s="10" t="n">
        <f aca="false">IF(F27&gt;=2,MIN(MaxDed,MIN(0.4,HoldRate*E27)+MIN(0.4,LiveRate*F27)),IF(E27&gt;=3,MIN(0.3,0.02*E27),0))</f>
        <v>0.56</v>
      </c>
      <c r="U27" s="21" t="n">
        <f aca="false">S27*(1-T27)</f>
        <v>1.37340376472882</v>
      </c>
      <c r="V27" s="21" t="n">
        <f aca="false">MAX(0,U27-InitDed)</f>
        <v>1.34840376472882</v>
      </c>
      <c r="W27" s="29" t="n">
        <f aca="false">SUMPRODUCT((V27&gt;CLo)*(V27-CLo)*CD)*(1+LocalTax)</f>
        <v>0.349295449420596</v>
      </c>
      <c r="X27" s="21" t="n">
        <f aca="false">H27+P27+W27</f>
        <v>1.1291396881688</v>
      </c>
      <c r="Y27" s="29" t="n">
        <f aca="false">(L27-G27)-H27-I27-M27-N27-P27-W27</f>
        <v>4.52482327015343</v>
      </c>
      <c r="Z27" s="10" t="n">
        <f aca="false">Y27/K27</f>
        <v>0.473801499276802</v>
      </c>
      <c r="AA27" s="10" t="n">
        <f aca="false">IF(1+Z27&gt;0,(1+Z27)^(1/E27)-1,-1)</f>
        <v>0.0569701278535419</v>
      </c>
      <c r="AB27" s="21" t="n">
        <f aca="false">L27-O27-M27-W27</f>
        <v>16.7531394441199</v>
      </c>
      <c r="AC27" s="24" t="n">
        <f aca="false">AB27/K27</f>
        <v>1.75424809153887</v>
      </c>
      <c r="AD27" s="21" t="n">
        <f aca="false">K27*((1+DepRate*(1-DepTax))^E27-1)</f>
        <v>1.83144909557127</v>
      </c>
      <c r="AE27" s="21" t="n">
        <f aca="false">Y27-AD27</f>
        <v>2.69337417458216</v>
      </c>
    </row>
    <row r="28" customFormat="false" ht="15" hidden="false" customHeight="false" outlineLevel="0" collapsed="false">
      <c r="A28" s="20" t="n">
        <v>2</v>
      </c>
      <c r="B28" s="18" t="str">
        <f aca="false">INDEX(C_Name,A28)</f>
        <v>e편한세상 문래 에듀플라츠 84.99㎡</v>
      </c>
      <c r="C28" s="20" t="n">
        <v>3</v>
      </c>
      <c r="D28" s="10" t="n">
        <f aca="false">CHOOSE(C28,GrowLo,GrowMid,GrowHi)</f>
        <v>0.06</v>
      </c>
      <c r="E28" s="20" t="n">
        <v>10</v>
      </c>
      <c r="F28" s="20" t="n">
        <f aca="false">MAX(0,E28-NonRes)</f>
        <v>10</v>
      </c>
      <c r="G28" s="18" t="n">
        <f aca="false">INDEX(C_Price,A28)</f>
        <v>14.9</v>
      </c>
      <c r="H28" s="18" t="n">
        <f aca="false">INDEX(C_Acq,A28)</f>
        <v>0.4917</v>
      </c>
      <c r="I28" s="18" t="n">
        <f aca="false">INDEX(C_Fee,A28)</f>
        <v>0.11834</v>
      </c>
      <c r="J28" s="18" t="n">
        <f aca="false">INDEX(C_Loan,A28)</f>
        <v>5.96</v>
      </c>
      <c r="K28" s="21" t="n">
        <f aca="false">G28-J28+H28+I28</f>
        <v>9.55004</v>
      </c>
      <c r="L28" s="21" t="n">
        <f aca="false">G28*(1+D28)^E28</f>
        <v>26.6836306784885</v>
      </c>
      <c r="M28" s="21" t="n">
        <f aca="false">L28*LOOKUP(L28,FeeLo,FeeR)*(1+VAT)</f>
        <v>0.205463956224362</v>
      </c>
      <c r="N28" s="21" t="n">
        <f aca="false">-CUMIPMT(Rm,LoanYears*12,J28,1,E28*12,0)</f>
        <v>2.1499981621792</v>
      </c>
      <c r="O28" s="21" t="n">
        <f aca="false">J28*(1+Rm)^(E28*12)-(J28*Rm/(1-(1+Rm)^(-LoanYears*12)))*((1+Rm)^(E28*12)-1)/Rm</f>
        <v>4.69552396901026</v>
      </c>
      <c r="P28" s="29" t="n">
        <f aca="false">SUMIFS(Sch_Total,Sch_Idx,A28,Sch_Scen,C28,Sch_Year,"&lt;="&amp;E28)</f>
        <v>0.496648028530773</v>
      </c>
      <c r="Q28" s="21" t="n">
        <f aca="false">H28+I28+M28</f>
        <v>0.815503956224362</v>
      </c>
      <c r="R28" s="21" t="n">
        <f aca="false">L28-G28-Q28</f>
        <v>10.9681267222642</v>
      </c>
      <c r="S28" s="21" t="n">
        <f aca="false">MAX(0,IF(F28&gt;=2,IF(L28&gt;Exempt,R28*(L28-Exempt)/L28,0),R28))</f>
        <v>6.03560752152153</v>
      </c>
      <c r="T28" s="10" t="n">
        <f aca="false">IF(F28&gt;=2,MIN(MaxDed,MIN(0.4,HoldRate*E28)+MIN(0.4,LiveRate*F28)),IF(E28&gt;=3,MIN(0.3,0.02*E28),0))</f>
        <v>0.8</v>
      </c>
      <c r="U28" s="21" t="n">
        <f aca="false">S28*(1-T28)</f>
        <v>1.20712150430431</v>
      </c>
      <c r="V28" s="21" t="n">
        <f aca="false">MAX(0,U28-InitDed)</f>
        <v>1.18212150430431</v>
      </c>
      <c r="W28" s="29" t="n">
        <f aca="false">SUMPRODUCT((V28&gt;CLo)*(V28-CLo)*CD)*(1+LocalTax)</f>
        <v>0.285276779157158</v>
      </c>
      <c r="X28" s="21" t="n">
        <f aca="false">H28+P28+W28</f>
        <v>1.27362480768793</v>
      </c>
      <c r="Y28" s="29" t="n">
        <f aca="false">(L28-G28)-H28-I28-M28-N28-P28-W28</f>
        <v>8.03620375239704</v>
      </c>
      <c r="Z28" s="10" t="n">
        <f aca="false">Y28/K28</f>
        <v>0.841483779376531</v>
      </c>
      <c r="AA28" s="10" t="n">
        <f aca="false">IF(1+Z28&gt;0,(1+Z28)^(1/E28)-1,-1)</f>
        <v>0.0629596763797027</v>
      </c>
      <c r="AB28" s="21" t="n">
        <f aca="false">L28-O28-M28-W28</f>
        <v>21.4973659740968</v>
      </c>
      <c r="AC28" s="24" t="n">
        <f aca="false">AB28/K28</f>
        <v>2.25102365792151</v>
      </c>
      <c r="AD28" s="21" t="n">
        <f aca="false">K28*((1+DepRate*(1-DepTax))^E28-1)</f>
        <v>2.72021571166593</v>
      </c>
      <c r="AE28" s="21" t="n">
        <f aca="false">Y28-AD28</f>
        <v>5.31598804073111</v>
      </c>
    </row>
    <row r="29" customFormat="false" ht="15" hidden="false" customHeight="false" outlineLevel="0" collapsed="false">
      <c r="A29" s="20" t="n">
        <v>3</v>
      </c>
      <c r="B29" s="18" t="str">
        <f aca="false">INDEX(C_Name,A29)</f>
        <v>문래자이 84㎡</v>
      </c>
      <c r="C29" s="20" t="n">
        <v>1</v>
      </c>
      <c r="D29" s="10" t="n">
        <f aca="false">CHOOSE(C29,GrowLo,GrowMid,GrowHi)</f>
        <v>0.02</v>
      </c>
      <c r="E29" s="20" t="n">
        <v>3</v>
      </c>
      <c r="F29" s="20" t="n">
        <f aca="false">MAX(0,E29-NonRes)</f>
        <v>3</v>
      </c>
      <c r="G29" s="18" t="n">
        <f aca="false">INDEX(C_Price,A29)</f>
        <v>19.5</v>
      </c>
      <c r="H29" s="18" t="n">
        <f aca="false">INDEX(C_Acq,A29)</f>
        <v>0.6435</v>
      </c>
      <c r="I29" s="18" t="n">
        <f aca="false">INDEX(C_Fee,A29)</f>
        <v>0.17015</v>
      </c>
      <c r="J29" s="18" t="n">
        <f aca="false">INDEX(C_Loan,A29)</f>
        <v>4</v>
      </c>
      <c r="K29" s="21" t="n">
        <f aca="false">G29-J29+H29+I29</f>
        <v>16.31365</v>
      </c>
      <c r="L29" s="21" t="n">
        <f aca="false">G29*(1+D29)^E29</f>
        <v>20.693556</v>
      </c>
      <c r="M29" s="21" t="n">
        <f aca="false">L29*LOOKUP(L29,FeeLo,FeeR)*(1+VAT)</f>
        <v>0.1593403812</v>
      </c>
      <c r="N29" s="21" t="n">
        <f aca="false">-CUMIPMT(Rm,LoanYears*12,J29,1,E29*12,0)</f>
        <v>0.467427048612969</v>
      </c>
      <c r="O29" s="21" t="n">
        <f aca="false">J29*(1+Rm)^(E29*12)-(J29*Rm/(1-(1+Rm)^(-LoanYears*12)))*((1+Rm)^(E29*12)-1)/Rm</f>
        <v>3.77994902314271</v>
      </c>
      <c r="P29" s="29" t="n">
        <f aca="false">SUMIFS(Sch_Total,Sch_Idx,A29,Sch_Scen,C29,Sch_Year,"&lt;="&amp;E29)</f>
        <v>0.14914063224</v>
      </c>
      <c r="Q29" s="21" t="n">
        <f aca="false">H29+I29+M29</f>
        <v>0.9729903812</v>
      </c>
      <c r="R29" s="21" t="n">
        <f aca="false">L29-G29-Q29</f>
        <v>0.220565618800004</v>
      </c>
      <c r="S29" s="21" t="n">
        <f aca="false">MAX(0,IF(F29&gt;=2,IF(L29&gt;Exempt,R29*(L29-Exempt)/L29,0),R29))</f>
        <v>0.0926616749055838</v>
      </c>
      <c r="T29" s="10" t="n">
        <f aca="false">IF(F29&gt;=2,MIN(MaxDed,MIN(0.4,HoldRate*E29)+MIN(0.4,LiveRate*F29)),IF(E29&gt;=3,MIN(0.3,0.02*E29),0))</f>
        <v>0.24</v>
      </c>
      <c r="U29" s="21" t="n">
        <f aca="false">S29*(1-T29)</f>
        <v>0.0704228729282437</v>
      </c>
      <c r="V29" s="21" t="n">
        <f aca="false">MAX(0,U29-InitDed)</f>
        <v>0.0454228729282437</v>
      </c>
      <c r="W29" s="29" t="n">
        <f aca="false">SUMPRODUCT((V29&gt;CLo)*(V29-CLo)*CD)*(1+LocalTax)</f>
        <v>0.00299790961326408</v>
      </c>
      <c r="X29" s="21" t="n">
        <f aca="false">H29+P29+W29</f>
        <v>0.795638541853264</v>
      </c>
      <c r="Y29" s="29" t="n">
        <f aca="false">(L29-G29)-H29-I29-M29-N29-P29-W29</f>
        <v>-0.398999971666228</v>
      </c>
      <c r="Z29" s="10" t="n">
        <f aca="false">Y29/K29</f>
        <v>-0.0244580441327495</v>
      </c>
      <c r="AA29" s="10" t="n">
        <f aca="false">IF(1+Z29&gt;0,(1+Z29)^(1/E29)-1,-1)</f>
        <v>-0.0082200657161039</v>
      </c>
      <c r="AB29" s="21" t="n">
        <f aca="false">L29-O29-M29-W29</f>
        <v>16.751268686044</v>
      </c>
      <c r="AC29" s="24" t="n">
        <f aca="false">AB29/K29</f>
        <v>1.02682530801164</v>
      </c>
      <c r="AD29" s="21" t="n">
        <f aca="false">K29*((1+DepRate*(1-DepTax))^E29-1)</f>
        <v>1.27391305170205</v>
      </c>
      <c r="AE29" s="21" t="n">
        <f aca="false">Y29-AD29</f>
        <v>-1.67291302336827</v>
      </c>
    </row>
    <row r="30" customFormat="false" ht="15" hidden="false" customHeight="false" outlineLevel="0" collapsed="false">
      <c r="A30" s="20" t="n">
        <v>3</v>
      </c>
      <c r="B30" s="18" t="str">
        <f aca="false">INDEX(C_Name,A30)</f>
        <v>문래자이 84㎡</v>
      </c>
      <c r="C30" s="20" t="n">
        <v>1</v>
      </c>
      <c r="D30" s="10" t="n">
        <f aca="false">CHOOSE(C30,GrowLo,GrowMid,GrowHi)</f>
        <v>0.02</v>
      </c>
      <c r="E30" s="20" t="n">
        <v>5</v>
      </c>
      <c r="F30" s="20" t="n">
        <f aca="false">MAX(0,E30-NonRes)</f>
        <v>5</v>
      </c>
      <c r="G30" s="18" t="n">
        <f aca="false">INDEX(C_Price,A30)</f>
        <v>19.5</v>
      </c>
      <c r="H30" s="18" t="n">
        <f aca="false">INDEX(C_Acq,A30)</f>
        <v>0.6435</v>
      </c>
      <c r="I30" s="18" t="n">
        <f aca="false">INDEX(C_Fee,A30)</f>
        <v>0.17015</v>
      </c>
      <c r="J30" s="18" t="n">
        <f aca="false">INDEX(C_Loan,A30)</f>
        <v>4</v>
      </c>
      <c r="K30" s="21" t="n">
        <f aca="false">G30-J30+H30+I30</f>
        <v>16.31365</v>
      </c>
      <c r="L30" s="21" t="n">
        <f aca="false">G30*(1+D30)^E30</f>
        <v>21.5295756624</v>
      </c>
      <c r="M30" s="21" t="n">
        <f aca="false">L30*LOOKUP(L30,FeeLo,FeeR)*(1+VAT)</f>
        <v>0.16577773260048</v>
      </c>
      <c r="N30" s="21" t="n">
        <f aca="false">-CUMIPMT(Rm,LoanYears*12,J30,1,E30*12,0)</f>
        <v>0.76369723456074</v>
      </c>
      <c r="O30" s="21" t="n">
        <f aca="false">J30*(1+Rm)^(E30*12)-(J30*Rm/(1-(1+Rm)^(-LoanYears*12)))*((1+Rm)^(E30*12)-1)/Rm</f>
        <v>3.61790052544364</v>
      </c>
      <c r="P30" s="29" t="n">
        <f aca="false">SUMIFS(Sch_Total,Sch_Idx,A30,Sch_Scen,C30,Sch_Year,"&lt;="&amp;E30)</f>
        <v>0.258749037782496</v>
      </c>
      <c r="Q30" s="21" t="n">
        <f aca="false">H30+I30+M30</f>
        <v>0.97942773260048</v>
      </c>
      <c r="R30" s="21" t="n">
        <f aca="false">L30-G30-Q30</f>
        <v>1.05014792979952</v>
      </c>
      <c r="S30" s="21" t="n">
        <f aca="false">MAX(0,IF(F30&gt;=2,IF(L30&gt;Exempt,R30*(L30-Exempt)/L30,0),R30))</f>
        <v>0.464824031400425</v>
      </c>
      <c r="T30" s="10" t="n">
        <f aca="false">IF(F30&gt;=2,MIN(MaxDed,MIN(0.4,HoldRate*E30)+MIN(0.4,LiveRate*F30)),IF(E30&gt;=3,MIN(0.3,0.02*E30),0))</f>
        <v>0.4</v>
      </c>
      <c r="U30" s="21" t="n">
        <f aca="false">S30*(1-T30)</f>
        <v>0.278894418840255</v>
      </c>
      <c r="V30" s="21" t="n">
        <f aca="false">MAX(0,U30-InitDed)</f>
        <v>0.253894418840255</v>
      </c>
      <c r="W30" s="29" t="n">
        <f aca="false">SUMPRODUCT((V30&gt;CLo)*(V30-CLo)*CD)*(1+LocalTax)</f>
        <v>0.0280325791086421</v>
      </c>
      <c r="X30" s="21" t="n">
        <f aca="false">H30+P30+W30</f>
        <v>0.930281616891138</v>
      </c>
      <c r="Y30" s="29" t="n">
        <f aca="false">(L30-G30)-H30-I30-M30-N30-P30-W30</f>
        <v>-0.000330921652359161</v>
      </c>
      <c r="Z30" s="10" t="n">
        <f aca="false">Y30/K30</f>
        <v>-2.02849547685013E-005</v>
      </c>
      <c r="AA30" s="10" t="n">
        <f aca="false">IF(1+Z30&gt;0,(1+Z30)^(1/E30)-1,-1)</f>
        <v>-4.05702387240581E-006</v>
      </c>
      <c r="AB30" s="21" t="n">
        <f aca="false">L30-O30-M30-W30</f>
        <v>17.7178648252472</v>
      </c>
      <c r="AC30" s="24" t="n">
        <f aca="false">AB30/K30</f>
        <v>1.08607606668325</v>
      </c>
      <c r="AD30" s="21" t="n">
        <f aca="false">K30*((1+DepRate*(1-DepTax))^E30-1)</f>
        <v>2.17798668245584</v>
      </c>
      <c r="AE30" s="21" t="n">
        <f aca="false">Y30-AD30</f>
        <v>-2.1783176041082</v>
      </c>
    </row>
    <row r="31" customFormat="false" ht="15" hidden="false" customHeight="false" outlineLevel="0" collapsed="false">
      <c r="A31" s="20" t="n">
        <v>3</v>
      </c>
      <c r="B31" s="18" t="str">
        <f aca="false">INDEX(C_Name,A31)</f>
        <v>문래자이 84㎡</v>
      </c>
      <c r="C31" s="20" t="n">
        <v>1</v>
      </c>
      <c r="D31" s="10" t="n">
        <f aca="false">CHOOSE(C31,GrowLo,GrowMid,GrowHi)</f>
        <v>0.02</v>
      </c>
      <c r="E31" s="20" t="n">
        <v>7</v>
      </c>
      <c r="F31" s="20" t="n">
        <f aca="false">MAX(0,E31-NonRes)</f>
        <v>7</v>
      </c>
      <c r="G31" s="18" t="n">
        <f aca="false">INDEX(C_Price,A31)</f>
        <v>19.5</v>
      </c>
      <c r="H31" s="18" t="n">
        <f aca="false">INDEX(C_Acq,A31)</f>
        <v>0.6435</v>
      </c>
      <c r="I31" s="18" t="n">
        <f aca="false">INDEX(C_Fee,A31)</f>
        <v>0.17015</v>
      </c>
      <c r="J31" s="18" t="n">
        <f aca="false">INDEX(C_Loan,A31)</f>
        <v>4</v>
      </c>
      <c r="K31" s="21" t="n">
        <f aca="false">G31-J31+H31+I31</f>
        <v>16.31365</v>
      </c>
      <c r="L31" s="21" t="n">
        <f aca="false">G31*(1+D31)^E31</f>
        <v>22.399370519161</v>
      </c>
      <c r="M31" s="21" t="n">
        <f aca="false">L31*LOOKUP(L31,FeeLo,FeeR)*(1+VAT)</f>
        <v>0.172475152997539</v>
      </c>
      <c r="N31" s="21" t="n">
        <f aca="false">-CUMIPMT(Rm,LoanYears*12,J31,1,E31*12,0)</f>
        <v>1.04649422888253</v>
      </c>
      <c r="O31" s="21" t="n">
        <f aca="false">J31*(1+Rm)^(E31*12)-(J31*Rm/(1-(1+Rm)^(-LoanYears*12)))*((1+Rm)^(E31*12)-1)/Rm</f>
        <v>3.4423788361186</v>
      </c>
      <c r="P31" s="29" t="n">
        <f aca="false">SUMIFS(Sch_Total,Sch_Idx,A31,Sch_Scen,C31,Sch_Year,"&lt;="&amp;E31)</f>
        <v>0.376887030908909</v>
      </c>
      <c r="Q31" s="21" t="n">
        <f aca="false">H31+I31+M31</f>
        <v>0.986125152997539</v>
      </c>
      <c r="R31" s="21" t="n">
        <f aca="false">L31-G31-Q31</f>
        <v>1.91324536616342</v>
      </c>
      <c r="S31" s="21" t="n">
        <f aca="false">MAX(0,IF(F31&gt;=2,IF(L31&gt;Exempt,R31*(L31-Exempt)/L31,0),R31))</f>
        <v>0.888263687579132</v>
      </c>
      <c r="T31" s="10" t="n">
        <f aca="false">IF(F31&gt;=2,MIN(MaxDed,MIN(0.4,HoldRate*E31)+MIN(0.4,LiveRate*F31)),IF(E31&gt;=3,MIN(0.3,0.02*E31),0))</f>
        <v>0.56</v>
      </c>
      <c r="U31" s="21" t="n">
        <f aca="false">S31*(1-T31)</f>
        <v>0.390836022534818</v>
      </c>
      <c r="V31" s="21" t="n">
        <f aca="false">MAX(0,U31-InitDed)</f>
        <v>0.365836022534818</v>
      </c>
      <c r="W31" s="29" t="n">
        <f aca="false">SUMPRODUCT((V31&gt;CLo)*(V31-CLo)*CD)*(1+LocalTax)</f>
        <v>0.0465029437182449</v>
      </c>
      <c r="X31" s="21" t="n">
        <f aca="false">H31+P31+W31</f>
        <v>1.06688997462715</v>
      </c>
      <c r="Y31" s="29" t="n">
        <f aca="false">(L31-G31)-H31-I31-M31-N31-P31-W31</f>
        <v>0.443361162653737</v>
      </c>
      <c r="Z31" s="10" t="n">
        <f aca="false">Y31/K31</f>
        <v>0.0271773124134536</v>
      </c>
      <c r="AA31" s="10" t="n">
        <f aca="false">IF(1+Z31&gt;0,(1+Z31)^(1/E31)-1,-1)</f>
        <v>0.00383799873846824</v>
      </c>
      <c r="AB31" s="21" t="n">
        <f aca="false">L31-O31-M31-W31</f>
        <v>18.7380135863266</v>
      </c>
      <c r="AC31" s="24" t="n">
        <f aca="false">AB31/K31</f>
        <v>1.14860951328039</v>
      </c>
      <c r="AD31" s="21" t="n">
        <f aca="false">K31*((1+DepRate*(1-DepTax))^E31-1)</f>
        <v>3.12853344467313</v>
      </c>
      <c r="AE31" s="21" t="n">
        <f aca="false">Y31-AD31</f>
        <v>-2.6851722820194</v>
      </c>
    </row>
    <row r="32" customFormat="false" ht="15" hidden="false" customHeight="false" outlineLevel="0" collapsed="false">
      <c r="A32" s="20" t="n">
        <v>3</v>
      </c>
      <c r="B32" s="18" t="str">
        <f aca="false">INDEX(C_Name,A32)</f>
        <v>문래자이 84㎡</v>
      </c>
      <c r="C32" s="20" t="n">
        <v>1</v>
      </c>
      <c r="D32" s="10" t="n">
        <f aca="false">CHOOSE(C32,GrowLo,GrowMid,GrowHi)</f>
        <v>0.02</v>
      </c>
      <c r="E32" s="20" t="n">
        <v>10</v>
      </c>
      <c r="F32" s="20" t="n">
        <f aca="false">MAX(0,E32-NonRes)</f>
        <v>10</v>
      </c>
      <c r="G32" s="18" t="n">
        <f aca="false">INDEX(C_Price,A32)</f>
        <v>19.5</v>
      </c>
      <c r="H32" s="18" t="n">
        <f aca="false">INDEX(C_Acq,A32)</f>
        <v>0.6435</v>
      </c>
      <c r="I32" s="18" t="n">
        <f aca="false">INDEX(C_Fee,A32)</f>
        <v>0.17015</v>
      </c>
      <c r="J32" s="18" t="n">
        <f aca="false">INDEX(C_Loan,A32)</f>
        <v>4</v>
      </c>
      <c r="K32" s="21" t="n">
        <f aca="false">G32-J32+H32+I32</f>
        <v>16.31365</v>
      </c>
      <c r="L32" s="21" t="n">
        <f aca="false">G32*(1+D32)^E32</f>
        <v>23.7703911898978</v>
      </c>
      <c r="M32" s="21" t="n">
        <f aca="false">L32*LOOKUP(L32,FeeLo,FeeR)*(1+VAT)</f>
        <v>0.183032012162213</v>
      </c>
      <c r="N32" s="21" t="n">
        <f aca="false">-CUMIPMT(Rm,LoanYears*12,J32,1,E32*12,0)</f>
        <v>1.44295178669745</v>
      </c>
      <c r="O32" s="21" t="n">
        <f aca="false">J32*(1+Rm)^(E32*12)-(J32*Rm/(1-(1+Rm)^(-LoanYears*12)))*((1+Rm)^(E32*12)-1)/Rm</f>
        <v>3.15135836846326</v>
      </c>
      <c r="P32" s="29" t="n">
        <f aca="false">SUMIFS(Sch_Total,Sch_Idx,A32,Sch_Scen,C32,Sch_Year,"&lt;="&amp;E32)</f>
        <v>0.570844591096781</v>
      </c>
      <c r="Q32" s="21" t="n">
        <f aca="false">H32+I32+M32</f>
        <v>0.996682012162213</v>
      </c>
      <c r="R32" s="21" t="n">
        <f aca="false">L32-G32-Q32</f>
        <v>3.27370917773556</v>
      </c>
      <c r="S32" s="21" t="n">
        <f aca="false">MAX(0,IF(F32&gt;=2,IF(L32&gt;Exempt,R32*(L32-Exempt)/L32,0),R32))</f>
        <v>1.62104348035645</v>
      </c>
      <c r="T32" s="10" t="n">
        <f aca="false">IF(F32&gt;=2,MIN(MaxDed,MIN(0.4,HoldRate*E32)+MIN(0.4,LiveRate*F32)),IF(E32&gt;=3,MIN(0.3,0.02*E32),0))</f>
        <v>0.8</v>
      </c>
      <c r="U32" s="21" t="n">
        <f aca="false">S32*(1-T32)</f>
        <v>0.324208696071289</v>
      </c>
      <c r="V32" s="21" t="n">
        <f aca="false">MAX(0,U32-InitDed)</f>
        <v>0.299208696071289</v>
      </c>
      <c r="W32" s="29" t="n">
        <f aca="false">SUMPRODUCT((V32&gt;CLo)*(V32-CLo)*CD)*(1+LocalTax)</f>
        <v>0.0355094348517627</v>
      </c>
      <c r="X32" s="21" t="n">
        <f aca="false">H32+P32+W32</f>
        <v>1.24985402594854</v>
      </c>
      <c r="Y32" s="29" t="n">
        <f aca="false">(L32-G32)-H32-I32-M32-N32-P32-W32</f>
        <v>1.22440336508956</v>
      </c>
      <c r="Z32" s="10" t="n">
        <f aca="false">Y32/K32</f>
        <v>0.0750539189629275</v>
      </c>
      <c r="AA32" s="10" t="n">
        <f aca="false">IF(1+Z32&gt;0,(1+Z32)^(1/E32)-1,-1)</f>
        <v>0.00726333271436941</v>
      </c>
      <c r="AB32" s="21" t="n">
        <f aca="false">L32-O32-M32-W32</f>
        <v>20.4004913744205</v>
      </c>
      <c r="AC32" s="24" t="n">
        <f aca="false">AB32/K32</f>
        <v>1.25051667618347</v>
      </c>
      <c r="AD32" s="21" t="n">
        <f aca="false">K32*((1+DepRate*(1-DepTax))^E32-1)</f>
        <v>4.64674986121723</v>
      </c>
      <c r="AE32" s="21" t="n">
        <f aca="false">Y32-AD32</f>
        <v>-3.42234649612767</v>
      </c>
    </row>
    <row r="33" customFormat="false" ht="15" hidden="false" customHeight="false" outlineLevel="0" collapsed="false">
      <c r="A33" s="20" t="n">
        <v>3</v>
      </c>
      <c r="B33" s="18" t="str">
        <f aca="false">INDEX(C_Name,A33)</f>
        <v>문래자이 84㎡</v>
      </c>
      <c r="C33" s="20" t="n">
        <v>2</v>
      </c>
      <c r="D33" s="10" t="n">
        <f aca="false">CHOOSE(C33,GrowLo,GrowMid,GrowHi)</f>
        <v>0.04</v>
      </c>
      <c r="E33" s="20" t="n">
        <v>3</v>
      </c>
      <c r="F33" s="20" t="n">
        <f aca="false">MAX(0,E33-NonRes)</f>
        <v>3</v>
      </c>
      <c r="G33" s="18" t="n">
        <f aca="false">INDEX(C_Price,A33)</f>
        <v>19.5</v>
      </c>
      <c r="H33" s="18" t="n">
        <f aca="false">INDEX(C_Acq,A33)</f>
        <v>0.6435</v>
      </c>
      <c r="I33" s="18" t="n">
        <f aca="false">INDEX(C_Fee,A33)</f>
        <v>0.17015</v>
      </c>
      <c r="J33" s="18" t="n">
        <f aca="false">INDEX(C_Loan,A33)</f>
        <v>4</v>
      </c>
      <c r="K33" s="21" t="n">
        <f aca="false">G33-J33+H33+I33</f>
        <v>16.31365</v>
      </c>
      <c r="L33" s="21" t="n">
        <f aca="false">G33*(1+D33)^E33</f>
        <v>21.934848</v>
      </c>
      <c r="M33" s="21" t="n">
        <f aca="false">L33*LOOKUP(L33,FeeLo,FeeR)*(1+VAT)</f>
        <v>0.1688983296</v>
      </c>
      <c r="N33" s="21" t="n">
        <f aca="false">-CUMIPMT(Rm,LoanYears*12,J33,1,E33*12,0)</f>
        <v>0.467427048612969</v>
      </c>
      <c r="O33" s="21" t="n">
        <f aca="false">J33*(1+Rm)^(E33*12)-(J33*Rm/(1-(1+Rm)^(-LoanYears*12)))*((1+Rm)^(E33*12)-1)/Rm</f>
        <v>3.77994902314271</v>
      </c>
      <c r="P33" s="29" t="n">
        <f aca="false">SUMIFS(Sch_Total,Sch_Idx,A33,Sch_Scen,C33,Sch_Year,"&lt;="&amp;E33)</f>
        <v>0.15516825696</v>
      </c>
      <c r="Q33" s="21" t="n">
        <f aca="false">H33+I33+M33</f>
        <v>0.9825483296</v>
      </c>
      <c r="R33" s="21" t="n">
        <f aca="false">L33-G33-Q33</f>
        <v>1.4522996704</v>
      </c>
      <c r="S33" s="21" t="n">
        <f aca="false">MAX(0,IF(F33&gt;=2,IF(L33&gt;Exempt,R33*(L33-Exempt)/L33,0),R33))</f>
        <v>0.657783289671035</v>
      </c>
      <c r="T33" s="10" t="n">
        <f aca="false">IF(F33&gt;=2,MIN(MaxDed,MIN(0.4,HoldRate*E33)+MIN(0.4,LiveRate*F33)),IF(E33&gt;=3,MIN(0.3,0.02*E33),0))</f>
        <v>0.24</v>
      </c>
      <c r="U33" s="21" t="n">
        <f aca="false">S33*(1-T33)</f>
        <v>0.499915300149987</v>
      </c>
      <c r="V33" s="21" t="n">
        <f aca="false">MAX(0,U33-InitDed)</f>
        <v>0.474915300149987</v>
      </c>
      <c r="W33" s="29" t="n">
        <f aca="false">SUMPRODUCT((V33&gt;CLo)*(V33-CLo)*CD)*(1+LocalTax)</f>
        <v>0.0645010245247478</v>
      </c>
      <c r="X33" s="21" t="n">
        <f aca="false">H33+P33+W33</f>
        <v>0.863169281484748</v>
      </c>
      <c r="Y33" s="29" t="n">
        <f aca="false">(L33-G33)-H33-I33-M33-N33-P33-W33</f>
        <v>0.765203340302286</v>
      </c>
      <c r="Z33" s="10" t="n">
        <f aca="false">Y33/K33</f>
        <v>0.046905710267309</v>
      </c>
      <c r="AA33" s="10" t="n">
        <f aca="false">IF(1+Z33&gt;0,(1+Z33)^(1/E33)-1,-1)</f>
        <v>0.0153969538682917</v>
      </c>
      <c r="AB33" s="21" t="n">
        <f aca="false">L33-O33-M33-W33</f>
        <v>17.9214996227325</v>
      </c>
      <c r="AC33" s="24" t="n">
        <f aca="false">AB33/K33</f>
        <v>1.09855854592519</v>
      </c>
      <c r="AD33" s="21" t="n">
        <f aca="false">K33*((1+DepRate*(1-DepTax))^E33-1)</f>
        <v>1.27391305170205</v>
      </c>
      <c r="AE33" s="21" t="n">
        <f aca="false">Y33-AD33</f>
        <v>-0.508709711399759</v>
      </c>
    </row>
    <row r="34" customFormat="false" ht="15" hidden="false" customHeight="false" outlineLevel="0" collapsed="false">
      <c r="A34" s="20" t="n">
        <v>3</v>
      </c>
      <c r="B34" s="18" t="str">
        <f aca="false">INDEX(C_Name,A34)</f>
        <v>문래자이 84㎡</v>
      </c>
      <c r="C34" s="20" t="n">
        <v>2</v>
      </c>
      <c r="D34" s="10" t="n">
        <f aca="false">CHOOSE(C34,GrowLo,GrowMid,GrowHi)</f>
        <v>0.04</v>
      </c>
      <c r="E34" s="20" t="n">
        <v>5</v>
      </c>
      <c r="F34" s="20" t="n">
        <f aca="false">MAX(0,E34-NonRes)</f>
        <v>5</v>
      </c>
      <c r="G34" s="18" t="n">
        <f aca="false">INDEX(C_Price,A34)</f>
        <v>19.5</v>
      </c>
      <c r="H34" s="18" t="n">
        <f aca="false">INDEX(C_Acq,A34)</f>
        <v>0.6435</v>
      </c>
      <c r="I34" s="18" t="n">
        <f aca="false">INDEX(C_Fee,A34)</f>
        <v>0.17015</v>
      </c>
      <c r="J34" s="18" t="n">
        <f aca="false">INDEX(C_Loan,A34)</f>
        <v>4</v>
      </c>
      <c r="K34" s="21" t="n">
        <f aca="false">G34-J34+H34+I34</f>
        <v>16.31365</v>
      </c>
      <c r="L34" s="21" t="n">
        <f aca="false">G34*(1+D34)^E34</f>
        <v>23.7247315968</v>
      </c>
      <c r="M34" s="21" t="n">
        <f aca="false">L34*LOOKUP(L34,FeeLo,FeeR)*(1+VAT)</f>
        <v>0.18268043329536</v>
      </c>
      <c r="N34" s="21" t="n">
        <f aca="false">-CUMIPMT(Rm,LoanYears*12,J34,1,E34*12,0)</f>
        <v>0.76369723456074</v>
      </c>
      <c r="O34" s="21" t="n">
        <f aca="false">J34*(1+Rm)^(E34*12)-(J34*Rm/(1-(1+Rm)^(-LoanYears*12)))*((1+Rm)^(E34*12)-1)/Rm</f>
        <v>3.61790052544364</v>
      </c>
      <c r="P34" s="29" t="n">
        <f aca="false">SUMIFS(Sch_Total,Sch_Idx,A34,Sch_Scen,C34,Sch_Year,"&lt;="&amp;E34)</f>
        <v>0.279656858727936</v>
      </c>
      <c r="Q34" s="21" t="n">
        <f aca="false">H34+I34+M34</f>
        <v>0.99633043329536</v>
      </c>
      <c r="R34" s="21" t="n">
        <f aca="false">L34-G34-Q34</f>
        <v>3.22840116350464</v>
      </c>
      <c r="S34" s="21" t="n">
        <f aca="false">MAX(0,IF(F34&gt;=2,IF(L34&gt;Exempt,R34*(L34-Exempt)/L34,0),R34))</f>
        <v>1.59547166948748</v>
      </c>
      <c r="T34" s="10" t="n">
        <f aca="false">IF(F34&gt;=2,MIN(MaxDed,MIN(0.4,HoldRate*E34)+MIN(0.4,LiveRate*F34)),IF(E34&gt;=3,MIN(0.3,0.02*E34),0))</f>
        <v>0.4</v>
      </c>
      <c r="U34" s="21" t="n">
        <f aca="false">S34*(1-T34)</f>
        <v>0.957283001692485</v>
      </c>
      <c r="V34" s="21" t="n">
        <f aca="false">MAX(0,U34-InitDed)</f>
        <v>0.932283001692485</v>
      </c>
      <c r="W34" s="29" t="n">
        <f aca="false">SUMPRODUCT((V34&gt;CLo)*(V34-CLo)*CD)*(1+LocalTax)</f>
        <v>0.189088955651607</v>
      </c>
      <c r="X34" s="21" t="n">
        <f aca="false">H34+P34+W34</f>
        <v>1.11224581437954</v>
      </c>
      <c r="Y34" s="29" t="n">
        <f aca="false">(L34-G34)-H34-I34-M34-N34-P34-W34</f>
        <v>1.99595811456436</v>
      </c>
      <c r="Z34" s="10" t="n">
        <f aca="false">Y34/K34</f>
        <v>0.122348960199855</v>
      </c>
      <c r="AA34" s="10" t="n">
        <f aca="false">IF(1+Z34&gt;0,(1+Z34)^(1/E34)-1,-1)</f>
        <v>0.0233532701711709</v>
      </c>
      <c r="AB34" s="21" t="n">
        <f aca="false">L34-O34-M34-W34</f>
        <v>19.7350616824094</v>
      </c>
      <c r="AC34" s="24" t="n">
        <f aca="false">AB34/K34</f>
        <v>1.20972692698503</v>
      </c>
      <c r="AD34" s="21" t="n">
        <f aca="false">K34*((1+DepRate*(1-DepTax))^E34-1)</f>
        <v>2.17798668245584</v>
      </c>
      <c r="AE34" s="21" t="n">
        <f aca="false">Y34-AD34</f>
        <v>-0.182028567891482</v>
      </c>
    </row>
    <row r="35" customFormat="false" ht="15" hidden="false" customHeight="false" outlineLevel="0" collapsed="false">
      <c r="A35" s="20" t="n">
        <v>3</v>
      </c>
      <c r="B35" s="18" t="str">
        <f aca="false">INDEX(C_Name,A35)</f>
        <v>문래자이 84㎡</v>
      </c>
      <c r="C35" s="20" t="n">
        <v>2</v>
      </c>
      <c r="D35" s="10" t="n">
        <f aca="false">CHOOSE(C35,GrowLo,GrowMid,GrowHi)</f>
        <v>0.04</v>
      </c>
      <c r="E35" s="20" t="n">
        <v>7</v>
      </c>
      <c r="F35" s="20" t="n">
        <f aca="false">MAX(0,E35-NonRes)</f>
        <v>7</v>
      </c>
      <c r="G35" s="18" t="n">
        <f aca="false">INDEX(C_Price,A35)</f>
        <v>19.5</v>
      </c>
      <c r="H35" s="18" t="n">
        <f aca="false">INDEX(C_Acq,A35)</f>
        <v>0.6435</v>
      </c>
      <c r="I35" s="18" t="n">
        <f aca="false">INDEX(C_Fee,A35)</f>
        <v>0.17015</v>
      </c>
      <c r="J35" s="18" t="n">
        <f aca="false">INDEX(C_Loan,A35)</f>
        <v>4</v>
      </c>
      <c r="K35" s="21" t="n">
        <f aca="false">G35-J35+H35+I35</f>
        <v>16.31365</v>
      </c>
      <c r="L35" s="21" t="n">
        <f aca="false">G35*(1+D35)^E35</f>
        <v>25.6606696950989</v>
      </c>
      <c r="M35" s="21" t="n">
        <f aca="false">L35*LOOKUP(L35,FeeLo,FeeR)*(1+VAT)</f>
        <v>0.197587156652261</v>
      </c>
      <c r="N35" s="21" t="n">
        <f aca="false">-CUMIPMT(Rm,LoanYears*12,J35,1,E35*12,0)</f>
        <v>1.04649422888253</v>
      </c>
      <c r="O35" s="21" t="n">
        <f aca="false">J35*(1+Rm)^(E35*12)-(J35*Rm/(1-(1+Rm)^(-LoanYears*12)))*((1+Rm)^(E35*12)-1)/Rm</f>
        <v>3.4423788361186</v>
      </c>
      <c r="P35" s="29" t="n">
        <f aca="false">SUMIFS(Sch_Total,Sch_Idx,A35,Sch_Scen,C35,Sch_Year,"&lt;="&amp;E35)</f>
        <v>0.422623571447299</v>
      </c>
      <c r="Q35" s="21" t="n">
        <f aca="false">H35+I35+M35</f>
        <v>1.01123715665226</v>
      </c>
      <c r="R35" s="21" t="n">
        <f aca="false">L35-G35-Q35</f>
        <v>5.14943253844662</v>
      </c>
      <c r="S35" s="21" t="n">
        <f aca="false">MAX(0,IF(F35&gt;=2,IF(L35&gt;Exempt,R35*(L35-Exempt)/L35,0),R35))</f>
        <v>2.7413429914633</v>
      </c>
      <c r="T35" s="10" t="n">
        <f aca="false">IF(F35&gt;=2,MIN(MaxDed,MIN(0.4,HoldRate*E35)+MIN(0.4,LiveRate*F35)),IF(E35&gt;=3,MIN(0.3,0.02*E35),0))</f>
        <v>0.56</v>
      </c>
      <c r="U35" s="21" t="n">
        <f aca="false">S35*(1-T35)</f>
        <v>1.20619091624385</v>
      </c>
      <c r="V35" s="21" t="n">
        <f aca="false">MAX(0,U35-InitDed)</f>
        <v>1.18119091624385</v>
      </c>
      <c r="W35" s="29" t="n">
        <f aca="false">SUMPRODUCT((V35&gt;CLo)*(V35-CLo)*CD)*(1+LocalTax)</f>
        <v>0.284918502753882</v>
      </c>
      <c r="X35" s="21" t="n">
        <f aca="false">H35+P35+W35</f>
        <v>1.35104207420118</v>
      </c>
      <c r="Y35" s="29" t="n">
        <f aca="false">(L35-G35)-H35-I35-M35-N35-P35-W35</f>
        <v>3.39539623536291</v>
      </c>
      <c r="Z35" s="10" t="n">
        <f aca="false">Y35/K35</f>
        <v>0.20813222273145</v>
      </c>
      <c r="AA35" s="10" t="n">
        <f aca="false">IF(1+Z35&gt;0,(1+Z35)^(1/E35)-1,-1)</f>
        <v>0.027378890973051</v>
      </c>
      <c r="AB35" s="21" t="n">
        <f aca="false">L35-O35-M35-W35</f>
        <v>21.7357851995741</v>
      </c>
      <c r="AC35" s="24" t="n">
        <f aca="false">AB35/K35</f>
        <v>1.33236799855177</v>
      </c>
      <c r="AD35" s="21" t="n">
        <f aca="false">K35*((1+DepRate*(1-DepTax))^E35-1)</f>
        <v>3.12853344467313</v>
      </c>
      <c r="AE35" s="21" t="n">
        <f aca="false">Y35-AD35</f>
        <v>0.266862790689779</v>
      </c>
    </row>
    <row r="36" customFormat="false" ht="15" hidden="false" customHeight="false" outlineLevel="0" collapsed="false">
      <c r="A36" s="20" t="n">
        <v>3</v>
      </c>
      <c r="B36" s="18" t="str">
        <f aca="false">INDEX(C_Name,A36)</f>
        <v>문래자이 84㎡</v>
      </c>
      <c r="C36" s="20" t="n">
        <v>2</v>
      </c>
      <c r="D36" s="10" t="n">
        <f aca="false">CHOOSE(C36,GrowLo,GrowMid,GrowHi)</f>
        <v>0.04</v>
      </c>
      <c r="E36" s="20" t="n">
        <v>10</v>
      </c>
      <c r="F36" s="20" t="n">
        <f aca="false">MAX(0,E36-NonRes)</f>
        <v>10</v>
      </c>
      <c r="G36" s="18" t="n">
        <f aca="false">INDEX(C_Price,A36)</f>
        <v>19.5</v>
      </c>
      <c r="H36" s="18" t="n">
        <f aca="false">INDEX(C_Acq,A36)</f>
        <v>0.6435</v>
      </c>
      <c r="I36" s="18" t="n">
        <f aca="false">INDEX(C_Fee,A36)</f>
        <v>0.17015</v>
      </c>
      <c r="J36" s="18" t="n">
        <f aca="false">INDEX(C_Loan,A36)</f>
        <v>4</v>
      </c>
      <c r="K36" s="21" t="n">
        <f aca="false">G36-J36+H36+I36</f>
        <v>16.31365</v>
      </c>
      <c r="L36" s="21" t="n">
        <f aca="false">G36*(1+D36)^E36</f>
        <v>28.8647635559077</v>
      </c>
      <c r="M36" s="21" t="n">
        <f aca="false">L36*LOOKUP(L36,FeeLo,FeeR)*(1+VAT)</f>
        <v>0.222258679380489</v>
      </c>
      <c r="N36" s="21" t="n">
        <f aca="false">-CUMIPMT(Rm,LoanYears*12,J36,1,E36*12,0)</f>
        <v>1.44295178669745</v>
      </c>
      <c r="O36" s="21" t="n">
        <f aca="false">J36*(1+Rm)^(E36*12)-(J36*Rm/(1-(1+Rm)^(-LoanYears*12)))*((1+Rm)^(E36*12)-1)/Rm</f>
        <v>3.15135836846326</v>
      </c>
      <c r="P36" s="29" t="n">
        <f aca="false">SUMIFS(Sch_Total,Sch_Idx,A36,Sch_Scen,C36,Sch_Year,"&lt;="&amp;E36)</f>
        <v>0.681074194754121</v>
      </c>
      <c r="Q36" s="21" t="n">
        <f aca="false">H36+I36+M36</f>
        <v>1.03590867938049</v>
      </c>
      <c r="R36" s="21" t="n">
        <f aca="false">L36-G36-Q36</f>
        <v>8.32885487652723</v>
      </c>
      <c r="S36" s="21" t="n">
        <f aca="false">MAX(0,IF(F36&gt;=2,IF(L36&gt;Exempt,R36*(L36-Exempt)/L36,0),R36))</f>
        <v>4.86628507841534</v>
      </c>
      <c r="T36" s="10" t="n">
        <f aca="false">IF(F36&gt;=2,MIN(MaxDed,MIN(0.4,HoldRate*E36)+MIN(0.4,LiveRate*F36)),IF(E36&gt;=3,MIN(0.3,0.02*E36),0))</f>
        <v>0.8</v>
      </c>
      <c r="U36" s="21" t="n">
        <f aca="false">S36*(1-T36)</f>
        <v>0.973257015683068</v>
      </c>
      <c r="V36" s="21" t="n">
        <f aca="false">MAX(0,U36-InitDed)</f>
        <v>0.948257015683068</v>
      </c>
      <c r="W36" s="29" t="n">
        <f aca="false">SUMPRODUCT((V36&gt;CLo)*(V36-CLo)*CD)*(1+LocalTax)</f>
        <v>0.195238951037981</v>
      </c>
      <c r="X36" s="21" t="n">
        <f aca="false">H36+P36+W36</f>
        <v>1.5198131457921</v>
      </c>
      <c r="Y36" s="29" t="n">
        <f aca="false">(L36-G36)-H36-I36-M36-N36-P36-W36</f>
        <v>6.00958994403767</v>
      </c>
      <c r="Z36" s="10" t="n">
        <f aca="false">Y36/K36</f>
        <v>0.368378011299597</v>
      </c>
      <c r="AA36" s="10" t="n">
        <f aca="false">IF(1+Z36&gt;0,(1+Z36)^(1/E36)-1,-1)</f>
        <v>0.0318595991903559</v>
      </c>
      <c r="AB36" s="21" t="n">
        <f aca="false">L36-O36-M36-W36</f>
        <v>25.295907557026</v>
      </c>
      <c r="AC36" s="24" t="n">
        <f aca="false">AB36/K36</f>
        <v>1.55059766251121</v>
      </c>
      <c r="AD36" s="21" t="n">
        <f aca="false">K36*((1+DepRate*(1-DepTax))^E36-1)</f>
        <v>4.64674986121723</v>
      </c>
      <c r="AE36" s="21" t="n">
        <f aca="false">Y36-AD36</f>
        <v>1.36284008282045</v>
      </c>
    </row>
    <row r="37" customFormat="false" ht="15" hidden="false" customHeight="false" outlineLevel="0" collapsed="false">
      <c r="A37" s="20" t="n">
        <v>3</v>
      </c>
      <c r="B37" s="18" t="str">
        <f aca="false">INDEX(C_Name,A37)</f>
        <v>문래자이 84㎡</v>
      </c>
      <c r="C37" s="20" t="n">
        <v>3</v>
      </c>
      <c r="D37" s="10" t="n">
        <f aca="false">CHOOSE(C37,GrowLo,GrowMid,GrowHi)</f>
        <v>0.06</v>
      </c>
      <c r="E37" s="20" t="n">
        <v>3</v>
      </c>
      <c r="F37" s="20" t="n">
        <f aca="false">MAX(0,E37-NonRes)</f>
        <v>3</v>
      </c>
      <c r="G37" s="18" t="n">
        <f aca="false">INDEX(C_Price,A37)</f>
        <v>19.5</v>
      </c>
      <c r="H37" s="18" t="n">
        <f aca="false">INDEX(C_Acq,A37)</f>
        <v>0.6435</v>
      </c>
      <c r="I37" s="18" t="n">
        <f aca="false">INDEX(C_Fee,A37)</f>
        <v>0.17015</v>
      </c>
      <c r="J37" s="18" t="n">
        <f aca="false">INDEX(C_Loan,A37)</f>
        <v>4</v>
      </c>
      <c r="K37" s="21" t="n">
        <f aca="false">G37-J37+H37+I37</f>
        <v>16.31365</v>
      </c>
      <c r="L37" s="21" t="n">
        <f aca="false">G37*(1+D37)^E37</f>
        <v>23.224812</v>
      </c>
      <c r="M37" s="21" t="n">
        <f aca="false">L37*LOOKUP(L37,FeeLo,FeeR)*(1+VAT)</f>
        <v>0.1788310524</v>
      </c>
      <c r="N37" s="21" t="n">
        <f aca="false">-CUMIPMT(Rm,LoanYears*12,J37,1,E37*12,0)</f>
        <v>0.467427048612969</v>
      </c>
      <c r="O37" s="21" t="n">
        <f aca="false">J37*(1+Rm)^(E37*12)-(J37*Rm/(1-(1+Rm)^(-LoanYears*12)))*((1+Rm)^(E37*12)-1)/Rm</f>
        <v>3.77994902314271</v>
      </c>
      <c r="P37" s="29" t="n">
        <f aca="false">SUMIFS(Sch_Total,Sch_Idx,A37,Sch_Scen,C37,Sch_Year,"&lt;="&amp;E37)</f>
        <v>0.16127467416</v>
      </c>
      <c r="Q37" s="21" t="n">
        <f aca="false">H37+I37+M37</f>
        <v>0.9924810524</v>
      </c>
      <c r="R37" s="21" t="n">
        <f aca="false">L37-G37-Q37</f>
        <v>2.7323309476</v>
      </c>
      <c r="S37" s="21" t="n">
        <f aca="false">MAX(0,IF(F37&gt;=2,IF(L37&gt;Exempt,R37*(L37-Exempt)/L37,0),R37))</f>
        <v>1.32056617761177</v>
      </c>
      <c r="T37" s="10" t="n">
        <f aca="false">IF(F37&gt;=2,MIN(MaxDed,MIN(0.4,HoldRate*E37)+MIN(0.4,LiveRate*F37)),IF(E37&gt;=3,MIN(0.3,0.02*E37),0))</f>
        <v>0.24</v>
      </c>
      <c r="U37" s="21" t="n">
        <f aca="false">S37*(1-T37)</f>
        <v>1.00363029498494</v>
      </c>
      <c r="V37" s="21" t="n">
        <f aca="false">MAX(0,U37-InitDed)</f>
        <v>0.978630294984941</v>
      </c>
      <c r="W37" s="29" t="n">
        <f aca="false">SUMPRODUCT((V37&gt;CLo)*(V37-CLo)*CD)*(1+LocalTax)</f>
        <v>0.206932663569202</v>
      </c>
      <c r="X37" s="21" t="n">
        <f aca="false">H37+P37+W37</f>
        <v>1.0117073377292</v>
      </c>
      <c r="Y37" s="29" t="n">
        <f aca="false">(L37-G37)-H37-I37-M37-N37-P37-W37</f>
        <v>1.89669656125783</v>
      </c>
      <c r="Z37" s="10" t="n">
        <f aca="false">Y37/K37</f>
        <v>0.116264389714002</v>
      </c>
      <c r="AA37" s="10" t="n">
        <f aca="false">IF(1+Z37&gt;0,(1+Z37)^(1/E37)-1,-1)</f>
        <v>0.0373429429926786</v>
      </c>
      <c r="AB37" s="21" t="n">
        <f aca="false">L37-O37-M37-W37</f>
        <v>19.0590992608881</v>
      </c>
      <c r="AC37" s="24" t="n">
        <f aca="false">AB37/K37</f>
        <v>1.16829153873524</v>
      </c>
      <c r="AD37" s="21" t="n">
        <f aca="false">K37*((1+DepRate*(1-DepTax))^E37-1)</f>
        <v>1.27391305170205</v>
      </c>
      <c r="AE37" s="21" t="n">
        <f aca="false">Y37-AD37</f>
        <v>0.622783509555784</v>
      </c>
    </row>
    <row r="38" customFormat="false" ht="15" hidden="false" customHeight="false" outlineLevel="0" collapsed="false">
      <c r="A38" s="20" t="n">
        <v>3</v>
      </c>
      <c r="B38" s="18" t="str">
        <f aca="false">INDEX(C_Name,A38)</f>
        <v>문래자이 84㎡</v>
      </c>
      <c r="C38" s="20" t="n">
        <v>3</v>
      </c>
      <c r="D38" s="10" t="n">
        <f aca="false">CHOOSE(C38,GrowLo,GrowMid,GrowHi)</f>
        <v>0.06</v>
      </c>
      <c r="E38" s="20" t="n">
        <v>5</v>
      </c>
      <c r="F38" s="20" t="n">
        <f aca="false">MAX(0,E38-NonRes)</f>
        <v>5</v>
      </c>
      <c r="G38" s="18" t="n">
        <f aca="false">INDEX(C_Price,A38)</f>
        <v>19.5</v>
      </c>
      <c r="H38" s="18" t="n">
        <f aca="false">INDEX(C_Acq,A38)</f>
        <v>0.6435</v>
      </c>
      <c r="I38" s="18" t="n">
        <f aca="false">INDEX(C_Fee,A38)</f>
        <v>0.17015</v>
      </c>
      <c r="J38" s="18" t="n">
        <f aca="false">INDEX(C_Loan,A38)</f>
        <v>4</v>
      </c>
      <c r="K38" s="21" t="n">
        <f aca="false">G38-J38+H38+I38</f>
        <v>16.31365</v>
      </c>
      <c r="L38" s="21" t="n">
        <f aca="false">G38*(1+D38)^E38</f>
        <v>26.0953987632</v>
      </c>
      <c r="M38" s="21" t="n">
        <f aca="false">L38*LOOKUP(L38,FeeLo,FeeR)*(1+VAT)</f>
        <v>0.20093457047664</v>
      </c>
      <c r="N38" s="21" t="n">
        <f aca="false">-CUMIPMT(Rm,LoanYears*12,J38,1,E38*12,0)</f>
        <v>0.76369723456074</v>
      </c>
      <c r="O38" s="21" t="n">
        <f aca="false">J38*(1+Rm)^(E38*12)-(J38*Rm/(1-(1+Rm)^(-LoanYears*12)))*((1+Rm)^(E38*12)-1)/Rm</f>
        <v>3.61790052544364</v>
      </c>
      <c r="P38" s="29" t="n">
        <f aca="false">SUMIFS(Sch_Total,Sch_Idx,A38,Sch_Scen,C38,Sch_Year,"&lt;="&amp;E38)</f>
        <v>0.301400667886176</v>
      </c>
      <c r="Q38" s="21" t="n">
        <f aca="false">H38+I38+M38</f>
        <v>1.01458457047664</v>
      </c>
      <c r="R38" s="21" t="n">
        <f aca="false">L38-G38-Q38</f>
        <v>5.58081419272337</v>
      </c>
      <c r="S38" s="21" t="n">
        <f aca="false">MAX(0,IF(F38&gt;=2,IF(L38&gt;Exempt,R38*(L38-Exempt)/L38,0),R38))</f>
        <v>3.01447018240988</v>
      </c>
      <c r="T38" s="10" t="n">
        <f aca="false">IF(F38&gt;=2,MIN(MaxDed,MIN(0.4,HoldRate*E38)+MIN(0.4,LiveRate*F38)),IF(E38&gt;=3,MIN(0.3,0.02*E38),0))</f>
        <v>0.4</v>
      </c>
      <c r="U38" s="21" t="n">
        <f aca="false">S38*(1-T38)</f>
        <v>1.80868210944593</v>
      </c>
      <c r="V38" s="21" t="n">
        <f aca="false">MAX(0,U38-InitDed)</f>
        <v>1.78368210944593</v>
      </c>
      <c r="W38" s="29" t="n">
        <f aca="false">SUMPRODUCT((V38&gt;CLo)*(V38-CLo)*CD)*(1+LocalTax)</f>
        <v>0.526239121748397</v>
      </c>
      <c r="X38" s="21" t="n">
        <f aca="false">H38+P38+W38</f>
        <v>1.47113978963457</v>
      </c>
      <c r="Y38" s="29" t="n">
        <f aca="false">(L38-G38)-H38-I38-M38-N38-P38-W38</f>
        <v>3.98947716852805</v>
      </c>
      <c r="Z38" s="10" t="n">
        <f aca="false">Y38/K38</f>
        <v>0.244548409983545</v>
      </c>
      <c r="AA38" s="10" t="n">
        <f aca="false">IF(1+Z38&gt;0,(1+Z38)^(1/E38)-1,-1)</f>
        <v>0.0447258936085038</v>
      </c>
      <c r="AB38" s="21" t="n">
        <f aca="false">L38-O38-M38-W38</f>
        <v>21.7503245455313</v>
      </c>
      <c r="AC38" s="24" t="n">
        <f aca="false">AB38/K38</f>
        <v>1.33325923662279</v>
      </c>
      <c r="AD38" s="21" t="n">
        <f aca="false">K38*((1+DepRate*(1-DepTax))^E38-1)</f>
        <v>2.17798668245584</v>
      </c>
      <c r="AE38" s="21" t="n">
        <f aca="false">Y38-AD38</f>
        <v>1.81149048607221</v>
      </c>
    </row>
    <row r="39" customFormat="false" ht="15" hidden="false" customHeight="false" outlineLevel="0" collapsed="false">
      <c r="A39" s="20" t="n">
        <v>3</v>
      </c>
      <c r="B39" s="18" t="str">
        <f aca="false">INDEX(C_Name,A39)</f>
        <v>문래자이 84㎡</v>
      </c>
      <c r="C39" s="20" t="n">
        <v>3</v>
      </c>
      <c r="D39" s="10" t="n">
        <f aca="false">CHOOSE(C39,GrowLo,GrowMid,GrowHi)</f>
        <v>0.06</v>
      </c>
      <c r="E39" s="20" t="n">
        <v>7</v>
      </c>
      <c r="F39" s="20" t="n">
        <f aca="false">MAX(0,E39-NonRes)</f>
        <v>7</v>
      </c>
      <c r="G39" s="18" t="n">
        <f aca="false">INDEX(C_Price,A39)</f>
        <v>19.5</v>
      </c>
      <c r="H39" s="18" t="n">
        <f aca="false">INDEX(C_Acq,A39)</f>
        <v>0.6435</v>
      </c>
      <c r="I39" s="18" t="n">
        <f aca="false">INDEX(C_Fee,A39)</f>
        <v>0.17015</v>
      </c>
      <c r="J39" s="18" t="n">
        <f aca="false">INDEX(C_Loan,A39)</f>
        <v>4</v>
      </c>
      <c r="K39" s="21" t="n">
        <f aca="false">G39-J39+H39+I39</f>
        <v>16.31365</v>
      </c>
      <c r="L39" s="21" t="n">
        <f aca="false">G39*(1+D39)^E39</f>
        <v>29.3207900503315</v>
      </c>
      <c r="M39" s="21" t="n">
        <f aca="false">L39*LOOKUP(L39,FeeLo,FeeR)*(1+VAT)</f>
        <v>0.225770083387553</v>
      </c>
      <c r="N39" s="21" t="n">
        <f aca="false">-CUMIPMT(Rm,LoanYears*12,J39,1,E39*12,0)</f>
        <v>1.04649422888253</v>
      </c>
      <c r="O39" s="21" t="n">
        <f aca="false">J39*(1+Rm)^(E39*12)-(J39*Rm/(1-(1+Rm)^(-LoanYears*12)))*((1+Rm)^(E39*12)-1)/Rm</f>
        <v>3.4423788361186</v>
      </c>
      <c r="P39" s="29" t="n">
        <f aca="false">SUMIFS(Sch_Total,Sch_Idx,A39,Sch_Scen,C39,Sch_Year,"&lt;="&amp;E39)</f>
        <v>0.475846586151805</v>
      </c>
      <c r="Q39" s="21" t="n">
        <f aca="false">H39+I39+M39</f>
        <v>1.03942008338755</v>
      </c>
      <c r="R39" s="21" t="n">
        <f aca="false">L39-G39-Q39</f>
        <v>8.78136996694398</v>
      </c>
      <c r="S39" s="21" t="n">
        <f aca="false">MAX(0,IF(F39&gt;=2,IF(L39&gt;Exempt,R39*(L39-Exempt)/L39,0),R39))</f>
        <v>5.18745454302667</v>
      </c>
      <c r="T39" s="10" t="n">
        <f aca="false">IF(F39&gt;=2,MIN(MaxDed,MIN(0.4,HoldRate*E39)+MIN(0.4,LiveRate*F39)),IF(E39&gt;=3,MIN(0.3,0.02*E39),0))</f>
        <v>0.56</v>
      </c>
      <c r="U39" s="21" t="n">
        <f aca="false">S39*(1-T39)</f>
        <v>2.28247999893173</v>
      </c>
      <c r="V39" s="21" t="n">
        <f aca="false">MAX(0,U39-InitDed)</f>
        <v>2.25747999893173</v>
      </c>
      <c r="W39" s="29" t="n">
        <f aca="false">SUMPRODUCT((V39&gt;CLo)*(V39-CLo)*CD)*(1+LocalTax)</f>
        <v>0.724286639553465</v>
      </c>
      <c r="X39" s="21" t="n">
        <f aca="false">H39+P39+W39</f>
        <v>1.84363322570527</v>
      </c>
      <c r="Y39" s="29" t="n">
        <f aca="false">(L39-G39)-H39-I39-M39-N39-P39-W39</f>
        <v>6.53474251235618</v>
      </c>
      <c r="Z39" s="10" t="n">
        <f aca="false">Y39/K39</f>
        <v>0.400569002789454</v>
      </c>
      <c r="AA39" s="10" t="n">
        <f aca="false">IF(1+Z39&gt;0,(1+Z39)^(1/E39)-1,-1)</f>
        <v>0.0493023471881631</v>
      </c>
      <c r="AB39" s="21" t="n">
        <f aca="false">L39-O39-M39-W39</f>
        <v>24.9283544912719</v>
      </c>
      <c r="AC39" s="24" t="n">
        <f aca="false">AB39/K39</f>
        <v>1.52806726215604</v>
      </c>
      <c r="AD39" s="21" t="n">
        <f aca="false">K39*((1+DepRate*(1-DepTax))^E39-1)</f>
        <v>3.12853344467313</v>
      </c>
      <c r="AE39" s="21" t="n">
        <f aca="false">Y39-AD39</f>
        <v>3.40620906768304</v>
      </c>
    </row>
    <row r="40" customFormat="false" ht="15" hidden="false" customHeight="false" outlineLevel="0" collapsed="false">
      <c r="A40" s="20" t="n">
        <v>3</v>
      </c>
      <c r="B40" s="18" t="str">
        <f aca="false">INDEX(C_Name,A40)</f>
        <v>문래자이 84㎡</v>
      </c>
      <c r="C40" s="20" t="n">
        <v>3</v>
      </c>
      <c r="D40" s="10" t="n">
        <f aca="false">CHOOSE(C40,GrowLo,GrowMid,GrowHi)</f>
        <v>0.06</v>
      </c>
      <c r="E40" s="20" t="n">
        <v>10</v>
      </c>
      <c r="F40" s="20" t="n">
        <f aca="false">MAX(0,E40-NonRes)</f>
        <v>10</v>
      </c>
      <c r="G40" s="18" t="n">
        <f aca="false">INDEX(C_Price,A40)</f>
        <v>19.5</v>
      </c>
      <c r="H40" s="18" t="n">
        <f aca="false">INDEX(C_Acq,A40)</f>
        <v>0.6435</v>
      </c>
      <c r="I40" s="18" t="n">
        <f aca="false">INDEX(C_Fee,A40)</f>
        <v>0.17015</v>
      </c>
      <c r="J40" s="18" t="n">
        <f aca="false">INDEX(C_Loan,A40)</f>
        <v>4</v>
      </c>
      <c r="K40" s="21" t="n">
        <f aca="false">G40-J40+H40+I40</f>
        <v>16.31365</v>
      </c>
      <c r="L40" s="21" t="n">
        <f aca="false">G40*(1+D40)^E40</f>
        <v>34.9215300825857</v>
      </c>
      <c r="M40" s="21" t="n">
        <f aca="false">L40*LOOKUP(L40,FeeLo,FeeR)*(1+VAT)</f>
        <v>0.26889578163591</v>
      </c>
      <c r="N40" s="21" t="n">
        <f aca="false">-CUMIPMT(Rm,LoanYears*12,J40,1,E40*12,0)</f>
        <v>1.44295178669745</v>
      </c>
      <c r="O40" s="21" t="n">
        <f aca="false">J40*(1+Rm)^(E40*12)-(J40*Rm/(1-(1+Rm)^(-LoanYears*12)))*((1+Rm)^(E40*12)-1)/Rm</f>
        <v>3.15135836846326</v>
      </c>
      <c r="P40" s="29" t="n">
        <f aca="false">SUMIFS(Sch_Total,Sch_Idx,A40,Sch_Scen,C40,Sch_Year,"&lt;="&amp;E40)</f>
        <v>0.81592612609079</v>
      </c>
      <c r="Q40" s="21" t="n">
        <f aca="false">H40+I40+M40</f>
        <v>1.08254578163591</v>
      </c>
      <c r="R40" s="21" t="n">
        <f aca="false">L40-G40-Q40</f>
        <v>14.3389843009498</v>
      </c>
      <c r="S40" s="21" t="n">
        <f aca="false">MAX(0,IF(F40&gt;=2,IF(L40&gt;Exempt,R40*(L40-Exempt)/L40,0),R40))</f>
        <v>9.411714184077</v>
      </c>
      <c r="T40" s="10" t="n">
        <f aca="false">IF(F40&gt;=2,MIN(MaxDed,MIN(0.4,HoldRate*E40)+MIN(0.4,LiveRate*F40)),IF(E40&gt;=3,MIN(0.3,0.02*E40),0))</f>
        <v>0.8</v>
      </c>
      <c r="U40" s="21" t="n">
        <f aca="false">S40*(1-T40)</f>
        <v>1.8823428368154</v>
      </c>
      <c r="V40" s="21" t="n">
        <f aca="false">MAX(0,U40-InitDed)</f>
        <v>1.8573428368154</v>
      </c>
      <c r="W40" s="29" t="n">
        <f aca="false">SUMPRODUCT((V40&gt;CLo)*(V40-CLo)*CD)*(1+LocalTax)</f>
        <v>0.557029305788837</v>
      </c>
      <c r="X40" s="21" t="n">
        <f aca="false">H40+P40+W40</f>
        <v>2.01645543187963</v>
      </c>
      <c r="Y40" s="29" t="n">
        <f aca="false">(L40-G40)-H40-I40-M40-N40-P40-W40</f>
        <v>11.5230770823727</v>
      </c>
      <c r="Z40" s="10" t="n">
        <f aca="false">Y40/K40</f>
        <v>0.706345733932791</v>
      </c>
      <c r="AA40" s="10" t="n">
        <f aca="false">IF(1+Z40&gt;0,(1+Z40)^(1/E40)-1,-1)</f>
        <v>0.0548888528378</v>
      </c>
      <c r="AB40" s="21" t="n">
        <f aca="false">L40-O40-M40-W40</f>
        <v>30.9442466266977</v>
      </c>
      <c r="AC40" s="24" t="n">
        <f aca="false">AB40/K40</f>
        <v>1.89683158745576</v>
      </c>
      <c r="AD40" s="21" t="n">
        <f aca="false">K40*((1+DepRate*(1-DepTax))^E40-1)</f>
        <v>4.64674986121723</v>
      </c>
      <c r="AE40" s="21" t="n">
        <f aca="false">Y40-AD40</f>
        <v>6.87632722115545</v>
      </c>
    </row>
    <row r="41" customFormat="false" ht="15" hidden="false" customHeight="false" outlineLevel="0" collapsed="false">
      <c r="A41" s="20" t="n">
        <v>4</v>
      </c>
      <c r="B41" s="18" t="str">
        <f aca="false">INDEX(C_Name,A41)</f>
        <v>신길삼성래미안 84㎡</v>
      </c>
      <c r="C41" s="20" t="n">
        <v>1</v>
      </c>
      <c r="D41" s="10" t="n">
        <f aca="false">CHOOSE(C41,GrowLo,GrowMid,GrowHi)</f>
        <v>0.02</v>
      </c>
      <c r="E41" s="20" t="n">
        <v>3</v>
      </c>
      <c r="F41" s="20" t="n">
        <f aca="false">MAX(0,E41-NonRes)</f>
        <v>3</v>
      </c>
      <c r="G41" s="18" t="n">
        <f aca="false">INDEX(C_Price,A41)</f>
        <v>13</v>
      </c>
      <c r="H41" s="18" t="n">
        <f aca="false">INDEX(C_Acq,A41)</f>
        <v>0.429</v>
      </c>
      <c r="I41" s="18" t="n">
        <f aca="false">INDEX(C_Fee,A41)</f>
        <v>0.1058</v>
      </c>
      <c r="J41" s="18" t="n">
        <f aca="false">INDEX(C_Loan,A41)</f>
        <v>5.2</v>
      </c>
      <c r="K41" s="21" t="n">
        <f aca="false">G41-J41+H41+I41</f>
        <v>8.3348</v>
      </c>
      <c r="L41" s="21" t="n">
        <f aca="false">G41*(1+D41)^E41</f>
        <v>13.795704</v>
      </c>
      <c r="M41" s="21" t="n">
        <f aca="false">L41*LOOKUP(L41,FeeLo,FeeR)*(1+VAT)</f>
        <v>0.0910516464</v>
      </c>
      <c r="N41" s="21" t="n">
        <f aca="false">-CUMIPMT(Rm,LoanYears*12,J41,1,E41*12,0)</f>
        <v>0.607655163196859</v>
      </c>
      <c r="O41" s="21" t="n">
        <f aca="false">J41*(1+Rm)^(E41*12)-(J41*Rm/(1-(1+Rm)^(-LoanYears*12)))*((1+Rm)^(E41*12)-1)/Rm</f>
        <v>4.91393373008552</v>
      </c>
      <c r="P41" s="29" t="n">
        <f aca="false">SUMIFS(Sch_Total,Sch_Idx,A41,Sch_Scen,C41,Sch_Year,"&lt;="&amp;E41)</f>
        <v>0.07621145136</v>
      </c>
      <c r="Q41" s="21" t="n">
        <f aca="false">H41+I41+M41</f>
        <v>0.6258516464</v>
      </c>
      <c r="R41" s="21" t="n">
        <f aca="false">L41-G41-Q41</f>
        <v>0.169852353600002</v>
      </c>
      <c r="S41" s="21" t="n">
        <f aca="false">MAX(0,IF(F41&gt;=2,IF(L41&gt;Exempt,R41*(L41-Exempt)/L41,0),R41))</f>
        <v>0.0221086615636968</v>
      </c>
      <c r="T41" s="10" t="n">
        <f aca="false">IF(F41&gt;=2,MIN(MaxDed,MIN(0.4,HoldRate*E41)+MIN(0.4,LiveRate*F41)),IF(E41&gt;=3,MIN(0.3,0.02*E41),0))</f>
        <v>0.24</v>
      </c>
      <c r="U41" s="21" t="n">
        <f aca="false">S41*(1-T41)</f>
        <v>0.0168025827884096</v>
      </c>
      <c r="V41" s="21" t="n">
        <f aca="false">MAX(0,U41-InitDed)</f>
        <v>0</v>
      </c>
      <c r="W41" s="29" t="n">
        <f aca="false">SUMPRODUCT((V41&gt;CLo)*(V41-CLo)*CD)*(1+LocalTax)</f>
        <v>0</v>
      </c>
      <c r="X41" s="21" t="n">
        <f aca="false">H41+P41+W41</f>
        <v>0.50521145136</v>
      </c>
      <c r="Y41" s="29" t="n">
        <f aca="false">(L41-G41)-H41-I41-M41-N41-P41-W41</f>
        <v>-0.514014260956857</v>
      </c>
      <c r="Z41" s="10" t="n">
        <f aca="false">Y41/K41</f>
        <v>-0.0616708572439479</v>
      </c>
      <c r="AA41" s="10" t="n">
        <f aca="false">IF(1+Z41&gt;0,(1+Z41)^(1/E41)-1,-1)</f>
        <v>-0.0209946428029959</v>
      </c>
      <c r="AB41" s="21" t="n">
        <f aca="false">L41-O41-M41-W41</f>
        <v>8.79071862351448</v>
      </c>
      <c r="AC41" s="24" t="n">
        <f aca="false">AB41/K41</f>
        <v>1.05470060751481</v>
      </c>
      <c r="AD41" s="21" t="n">
        <f aca="false">K41*((1+DepRate*(1-DepTax))^E41-1)</f>
        <v>0.65085437675359</v>
      </c>
      <c r="AE41" s="21" t="n">
        <f aca="false">Y41-AD41</f>
        <v>-1.16486863771045</v>
      </c>
    </row>
    <row r="42" customFormat="false" ht="15" hidden="false" customHeight="false" outlineLevel="0" collapsed="false">
      <c r="A42" s="20" t="n">
        <v>4</v>
      </c>
      <c r="B42" s="18" t="str">
        <f aca="false">INDEX(C_Name,A42)</f>
        <v>신길삼성래미안 84㎡</v>
      </c>
      <c r="C42" s="20" t="n">
        <v>1</v>
      </c>
      <c r="D42" s="10" t="n">
        <f aca="false">CHOOSE(C42,GrowLo,GrowMid,GrowHi)</f>
        <v>0.02</v>
      </c>
      <c r="E42" s="20" t="n">
        <v>5</v>
      </c>
      <c r="F42" s="20" t="n">
        <f aca="false">MAX(0,E42-NonRes)</f>
        <v>5</v>
      </c>
      <c r="G42" s="18" t="n">
        <f aca="false">INDEX(C_Price,A42)</f>
        <v>13</v>
      </c>
      <c r="H42" s="18" t="n">
        <f aca="false">INDEX(C_Acq,A42)</f>
        <v>0.429</v>
      </c>
      <c r="I42" s="18" t="n">
        <f aca="false">INDEX(C_Fee,A42)</f>
        <v>0.1058</v>
      </c>
      <c r="J42" s="18" t="n">
        <f aca="false">INDEX(C_Loan,A42)</f>
        <v>5.2</v>
      </c>
      <c r="K42" s="21" t="n">
        <f aca="false">G42-J42+H42+I42</f>
        <v>8.3348</v>
      </c>
      <c r="L42" s="21" t="n">
        <f aca="false">G42*(1+D42)^E42</f>
        <v>14.3530504416</v>
      </c>
      <c r="M42" s="21" t="n">
        <f aca="false">L42*LOOKUP(L42,FeeLo,FeeR)*(1+VAT)</f>
        <v>0.09473013291456</v>
      </c>
      <c r="N42" s="21" t="n">
        <f aca="false">-CUMIPMT(Rm,LoanYears*12,J42,1,E42*12,0)</f>
        <v>0.992806404928962</v>
      </c>
      <c r="O42" s="21" t="n">
        <f aca="false">J42*(1+Rm)^(E42*12)-(J42*Rm/(1-(1+Rm)^(-LoanYears*12)))*((1+Rm)^(E42*12)-1)/Rm</f>
        <v>4.70327068307674</v>
      </c>
      <c r="P42" s="29" t="n">
        <f aca="false">SUMIFS(Sch_Total,Sch_Idx,A42,Sch_Scen,C42,Sch_Year,"&lt;="&amp;E42)</f>
        <v>0.132621293674944</v>
      </c>
      <c r="Q42" s="21" t="n">
        <f aca="false">H42+I42+M42</f>
        <v>0.62953013291456</v>
      </c>
      <c r="R42" s="21" t="n">
        <f aca="false">L42-G42-Q42</f>
        <v>0.723520308685441</v>
      </c>
      <c r="S42" s="21" t="n">
        <f aca="false">MAX(0,IF(F42&gt;=2,IF(L42&gt;Exempt,R42*(L42-Exempt)/L42,0),R42))</f>
        <v>0.118614491657082</v>
      </c>
      <c r="T42" s="10" t="n">
        <f aca="false">IF(F42&gt;=2,MIN(MaxDed,MIN(0.4,HoldRate*E42)+MIN(0.4,LiveRate*F42)),IF(E42&gt;=3,MIN(0.3,0.02*E42),0))</f>
        <v>0.4</v>
      </c>
      <c r="U42" s="21" t="n">
        <f aca="false">S42*(1-T42)</f>
        <v>0.0711686949942494</v>
      </c>
      <c r="V42" s="21" t="n">
        <f aca="false">MAX(0,U42-InitDed)</f>
        <v>0.0461686949942494</v>
      </c>
      <c r="W42" s="29" t="n">
        <f aca="false">SUMPRODUCT((V42&gt;CLo)*(V42-CLo)*CD)*(1+LocalTax)</f>
        <v>0.00304713386962046</v>
      </c>
      <c r="X42" s="21" t="n">
        <f aca="false">H42+P42+W42</f>
        <v>0.564668427544565</v>
      </c>
      <c r="Y42" s="29" t="n">
        <f aca="false">(L42-G42)-H42-I42-M42-N42-P42-W42</f>
        <v>-0.404954523788086</v>
      </c>
      <c r="Z42" s="10" t="n">
        <f aca="false">Y42/K42</f>
        <v>-0.0485859917200276</v>
      </c>
      <c r="AA42" s="10" t="n">
        <f aca="false">IF(1+Z42&gt;0,(1+Z42)^(1/E42)-1,-1)</f>
        <v>-0.00991174587563004</v>
      </c>
      <c r="AB42" s="21" t="n">
        <f aca="false">L42-O42-M42-W42</f>
        <v>9.55200249173908</v>
      </c>
      <c r="AC42" s="24" t="n">
        <f aca="false">AB42/K42</f>
        <v>1.14603859621576</v>
      </c>
      <c r="AD42" s="21" t="n">
        <f aca="false">K42*((1+DepRate*(1-DepTax))^E42-1)</f>
        <v>1.11275425186472</v>
      </c>
      <c r="AE42" s="21" t="n">
        <f aca="false">Y42-AD42</f>
        <v>-1.51770877565281</v>
      </c>
    </row>
    <row r="43" customFormat="false" ht="15" hidden="false" customHeight="false" outlineLevel="0" collapsed="false">
      <c r="A43" s="20" t="n">
        <v>4</v>
      </c>
      <c r="B43" s="18" t="str">
        <f aca="false">INDEX(C_Name,A43)</f>
        <v>신길삼성래미안 84㎡</v>
      </c>
      <c r="C43" s="20" t="n">
        <v>1</v>
      </c>
      <c r="D43" s="10" t="n">
        <f aca="false">CHOOSE(C43,GrowLo,GrowMid,GrowHi)</f>
        <v>0.02</v>
      </c>
      <c r="E43" s="20" t="n">
        <v>7</v>
      </c>
      <c r="F43" s="20" t="n">
        <f aca="false">MAX(0,E43-NonRes)</f>
        <v>7</v>
      </c>
      <c r="G43" s="18" t="n">
        <f aca="false">INDEX(C_Price,A43)</f>
        <v>13</v>
      </c>
      <c r="H43" s="18" t="n">
        <f aca="false">INDEX(C_Acq,A43)</f>
        <v>0.429</v>
      </c>
      <c r="I43" s="18" t="n">
        <f aca="false">INDEX(C_Fee,A43)</f>
        <v>0.1058</v>
      </c>
      <c r="J43" s="18" t="n">
        <f aca="false">INDEX(C_Loan,A43)</f>
        <v>5.2</v>
      </c>
      <c r="K43" s="21" t="n">
        <f aca="false">G43-J43+H43+I43</f>
        <v>8.3348</v>
      </c>
      <c r="L43" s="21" t="n">
        <f aca="false">G43*(1+D43)^E43</f>
        <v>14.9329136794406</v>
      </c>
      <c r="M43" s="21" t="n">
        <f aca="false">L43*LOOKUP(L43,FeeLo,FeeR)*(1+VAT)</f>
        <v>0.0985572302843082</v>
      </c>
      <c r="N43" s="21" t="n">
        <f aca="false">-CUMIPMT(Rm,LoanYears*12,J43,1,E43*12,0)</f>
        <v>1.36044249754729</v>
      </c>
      <c r="O43" s="21" t="n">
        <f aca="false">J43*(1+Rm)^(E43*12)-(J43*Rm/(1-(1+Rm)^(-LoanYears*12)))*((1+Rm)^(E43*12)-1)/Rm</f>
        <v>4.47509248695418</v>
      </c>
      <c r="P43" s="29" t="n">
        <f aca="false">SUMIFS(Sch_Total,Sch_Idx,A43,Sch_Scen,C43,Sch_Year,"&lt;="&amp;E43)</f>
        <v>0.191920941619412</v>
      </c>
      <c r="Q43" s="21" t="n">
        <f aca="false">H43+I43+M43</f>
        <v>0.633357230284308</v>
      </c>
      <c r="R43" s="21" t="n">
        <f aca="false">L43-G43-Q43</f>
        <v>1.29955644915633</v>
      </c>
      <c r="S43" s="21" t="n">
        <f aca="false">MAX(0,IF(F43&gt;=2,IF(L43&gt;Exempt,R43*(L43-Exempt)/L43,0),R43))</f>
        <v>0.255240669621194</v>
      </c>
      <c r="T43" s="10" t="n">
        <f aca="false">IF(F43&gt;=2,MIN(MaxDed,MIN(0.4,HoldRate*E43)+MIN(0.4,LiveRate*F43)),IF(E43&gt;=3,MIN(0.3,0.02*E43),0))</f>
        <v>0.56</v>
      </c>
      <c r="U43" s="21" t="n">
        <f aca="false">S43*(1-T43)</f>
        <v>0.112305894633325</v>
      </c>
      <c r="V43" s="21" t="n">
        <f aca="false">MAX(0,U43-InitDed)</f>
        <v>0.0873058946333251</v>
      </c>
      <c r="W43" s="29" t="n">
        <f aca="false">SUMPRODUCT((V43&gt;CLo)*(V43-CLo)*CD)*(1+LocalTax)</f>
        <v>0.00576218904579946</v>
      </c>
      <c r="X43" s="21" t="n">
        <f aca="false">H43+P43+W43</f>
        <v>0.626683130665211</v>
      </c>
      <c r="Y43" s="29" t="n">
        <f aca="false">(L43-G43)-H43-I43-M43-N43-P43-W43</f>
        <v>-0.258569179056169</v>
      </c>
      <c r="Z43" s="10" t="n">
        <f aca="false">Y43/K43</f>
        <v>-0.0310228414666422</v>
      </c>
      <c r="AA43" s="10" t="n">
        <f aca="false">IF(1+Z43&gt;0,(1+Z43)^(1/E43)-1,-1)</f>
        <v>-0.00449191525980863</v>
      </c>
      <c r="AB43" s="21" t="n">
        <f aca="false">L43-O43-M43-W43</f>
        <v>10.3535017731564</v>
      </c>
      <c r="AC43" s="24" t="n">
        <f aca="false">AB43/K43</f>
        <v>1.24220158529975</v>
      </c>
      <c r="AD43" s="21" t="n">
        <f aca="false">K43*((1+DepRate*(1-DepTax))^E43-1)</f>
        <v>1.59839769485441</v>
      </c>
      <c r="AE43" s="21" t="n">
        <f aca="false">Y43-AD43</f>
        <v>-1.85696687391058</v>
      </c>
    </row>
    <row r="44" customFormat="false" ht="15" hidden="false" customHeight="false" outlineLevel="0" collapsed="false">
      <c r="A44" s="20" t="n">
        <v>4</v>
      </c>
      <c r="B44" s="18" t="str">
        <f aca="false">INDEX(C_Name,A44)</f>
        <v>신길삼성래미안 84㎡</v>
      </c>
      <c r="C44" s="20" t="n">
        <v>1</v>
      </c>
      <c r="D44" s="10" t="n">
        <f aca="false">CHOOSE(C44,GrowLo,GrowMid,GrowHi)</f>
        <v>0.02</v>
      </c>
      <c r="E44" s="20" t="n">
        <v>10</v>
      </c>
      <c r="F44" s="20" t="n">
        <f aca="false">MAX(0,E44-NonRes)</f>
        <v>10</v>
      </c>
      <c r="G44" s="18" t="n">
        <f aca="false">INDEX(C_Price,A44)</f>
        <v>13</v>
      </c>
      <c r="H44" s="18" t="n">
        <f aca="false">INDEX(C_Acq,A44)</f>
        <v>0.429</v>
      </c>
      <c r="I44" s="18" t="n">
        <f aca="false">INDEX(C_Fee,A44)</f>
        <v>0.1058</v>
      </c>
      <c r="J44" s="18" t="n">
        <f aca="false">INDEX(C_Loan,A44)</f>
        <v>5.2</v>
      </c>
      <c r="K44" s="21" t="n">
        <f aca="false">G44-J44+H44+I44</f>
        <v>8.3348</v>
      </c>
      <c r="L44" s="21" t="n">
        <f aca="false">G44*(1+D44)^E44</f>
        <v>15.8469274599318</v>
      </c>
      <c r="M44" s="21" t="n">
        <f aca="false">L44*LOOKUP(L44,FeeLo,FeeR)*(1+VAT)</f>
        <v>0.122021341441475</v>
      </c>
      <c r="N44" s="21" t="n">
        <f aca="false">-CUMIPMT(Rm,LoanYears*12,J44,1,E44*12,0)</f>
        <v>1.87583732270669</v>
      </c>
      <c r="O44" s="21" t="n">
        <f aca="false">J44*(1+Rm)^(E44*12)-(J44*Rm/(1-(1+Rm)^(-LoanYears*12)))*((1+Rm)^(E44*12)-1)/Rm</f>
        <v>4.09676587900224</v>
      </c>
      <c r="P44" s="29" t="n">
        <f aca="false">SUMIFS(Sch_Total,Sch_Idx,A44,Sch_Scen,C44,Sch_Year,"&lt;="&amp;E44)</f>
        <v>0.286545470207653</v>
      </c>
      <c r="Q44" s="21" t="n">
        <f aca="false">H44+I44+M44</f>
        <v>0.656821341441475</v>
      </c>
      <c r="R44" s="21" t="n">
        <f aca="false">L44-G44-Q44</f>
        <v>2.19010611849037</v>
      </c>
      <c r="S44" s="21" t="n">
        <f aca="false">MAX(0,IF(F44&gt;=2,IF(L44&gt;Exempt,R44*(L44-Exempt)/L44,0),R44))</f>
        <v>0.531660120782908</v>
      </c>
      <c r="T44" s="10" t="n">
        <f aca="false">IF(F44&gt;=2,MIN(MaxDed,MIN(0.4,HoldRate*E44)+MIN(0.4,LiveRate*F44)),IF(E44&gt;=3,MIN(0.3,0.02*E44),0))</f>
        <v>0.8</v>
      </c>
      <c r="U44" s="21" t="n">
        <f aca="false">S44*(1-T44)</f>
        <v>0.106332024156582</v>
      </c>
      <c r="V44" s="21" t="n">
        <f aca="false">MAX(0,U44-InitDed)</f>
        <v>0.0813320241565816</v>
      </c>
      <c r="W44" s="29" t="n">
        <f aca="false">SUMPRODUCT((V44&gt;CLo)*(V44-CLo)*CD)*(1+LocalTax)</f>
        <v>0.00536791359433439</v>
      </c>
      <c r="X44" s="21" t="n">
        <f aca="false">H44+P44+W44</f>
        <v>0.720913383801987</v>
      </c>
      <c r="Y44" s="29" t="n">
        <f aca="false">(L44-G44)-H44-I44-M44-N44-P44-W44</f>
        <v>0.0223554119816972</v>
      </c>
      <c r="Z44" s="10" t="n">
        <f aca="false">Y44/K44</f>
        <v>0.00268217737458574</v>
      </c>
      <c r="AA44" s="10" t="n">
        <f aca="false">IF(1+Z44&gt;0,(1+Z44)^(1/E44)-1,-1)</f>
        <v>0.000267894552925307</v>
      </c>
      <c r="AB44" s="21" t="n">
        <f aca="false">L44-O44-M44-W44</f>
        <v>11.6227723258938</v>
      </c>
      <c r="AC44" s="24" t="n">
        <f aca="false">AB44/K44</f>
        <v>1.39448724935137</v>
      </c>
      <c r="AD44" s="21" t="n">
        <f aca="false">K44*((1+DepRate*(1-DepTax))^E44-1)</f>
        <v>2.37406900008725</v>
      </c>
      <c r="AE44" s="21" t="n">
        <f aca="false">Y44-AD44</f>
        <v>-2.35171358810555</v>
      </c>
    </row>
    <row r="45" customFormat="false" ht="15" hidden="false" customHeight="false" outlineLevel="0" collapsed="false">
      <c r="A45" s="20" t="n">
        <v>4</v>
      </c>
      <c r="B45" s="18" t="str">
        <f aca="false">INDEX(C_Name,A45)</f>
        <v>신길삼성래미안 84㎡</v>
      </c>
      <c r="C45" s="20" t="n">
        <v>2</v>
      </c>
      <c r="D45" s="10" t="n">
        <f aca="false">CHOOSE(C45,GrowLo,GrowMid,GrowHi)</f>
        <v>0.04</v>
      </c>
      <c r="E45" s="20" t="n">
        <v>3</v>
      </c>
      <c r="F45" s="20" t="n">
        <f aca="false">MAX(0,E45-NonRes)</f>
        <v>3</v>
      </c>
      <c r="G45" s="18" t="n">
        <f aca="false">INDEX(C_Price,A45)</f>
        <v>13</v>
      </c>
      <c r="H45" s="18" t="n">
        <f aca="false">INDEX(C_Acq,A45)</f>
        <v>0.429</v>
      </c>
      <c r="I45" s="18" t="n">
        <f aca="false">INDEX(C_Fee,A45)</f>
        <v>0.1058</v>
      </c>
      <c r="J45" s="18" t="n">
        <f aca="false">INDEX(C_Loan,A45)</f>
        <v>5.2</v>
      </c>
      <c r="K45" s="21" t="n">
        <f aca="false">G45-J45+H45+I45</f>
        <v>8.3348</v>
      </c>
      <c r="L45" s="21" t="n">
        <f aca="false">G45*(1+D45)^E45</f>
        <v>14.623232</v>
      </c>
      <c r="M45" s="21" t="n">
        <f aca="false">L45*LOOKUP(L45,FeeLo,FeeR)*(1+VAT)</f>
        <v>0.0965133312</v>
      </c>
      <c r="N45" s="21" t="n">
        <f aca="false">-CUMIPMT(Rm,LoanYears*12,J45,1,E45*12,0)</f>
        <v>0.607655163196859</v>
      </c>
      <c r="O45" s="21" t="n">
        <f aca="false">J45*(1+Rm)^(E45*12)-(J45*Rm/(1-(1+Rm)^(-LoanYears*12)))*((1+Rm)^(E45*12)-1)/Rm</f>
        <v>4.91393373008552</v>
      </c>
      <c r="P45" s="29" t="n">
        <f aca="false">SUMIFS(Sch_Total,Sch_Idx,A45,Sch_Scen,C45,Sch_Year,"&lt;="&amp;E45)</f>
        <v>0.07825359744</v>
      </c>
      <c r="Q45" s="21" t="n">
        <f aca="false">H45+I45+M45</f>
        <v>0.6313133312</v>
      </c>
      <c r="R45" s="21" t="n">
        <f aca="false">L45-G45-Q45</f>
        <v>0.991918668800002</v>
      </c>
      <c r="S45" s="21" t="n">
        <f aca="false">MAX(0,IF(F45&gt;=2,IF(L45&gt;Exempt,R45*(L45-Exempt)/L45,0),R45))</f>
        <v>0.177938282959168</v>
      </c>
      <c r="T45" s="10" t="n">
        <f aca="false">IF(F45&gt;=2,MIN(MaxDed,MIN(0.4,HoldRate*E45)+MIN(0.4,LiveRate*F45)),IF(E45&gt;=3,MIN(0.3,0.02*E45),0))</f>
        <v>0.24</v>
      </c>
      <c r="U45" s="21" t="n">
        <f aca="false">S45*(1-T45)</f>
        <v>0.135233095048968</v>
      </c>
      <c r="V45" s="21" t="n">
        <f aca="false">MAX(0,U45-InitDed)</f>
        <v>0.110233095048968</v>
      </c>
      <c r="W45" s="29" t="n">
        <f aca="false">SUMPRODUCT((V45&gt;CLo)*(V45-CLo)*CD)*(1+LocalTax)</f>
        <v>0.00727538427323189</v>
      </c>
      <c r="X45" s="21" t="n">
        <f aca="false">H45+P45+W45</f>
        <v>0.514528981713232</v>
      </c>
      <c r="Y45" s="29" t="n">
        <f aca="false">(L45-G45)-H45-I45-M45-N45-P45-W45</f>
        <v>0.29873452388991</v>
      </c>
      <c r="Z45" s="10" t="n">
        <f aca="false">Y45/K45</f>
        <v>0.0358418347038814</v>
      </c>
      <c r="AA45" s="10" t="n">
        <f aca="false">IF(1+Z45&gt;0,(1+Z45)^(1/E45)-1,-1)</f>
        <v>0.0118073168076729</v>
      </c>
      <c r="AB45" s="21" t="n">
        <f aca="false">L45-O45-M45-W45</f>
        <v>9.60550955444125</v>
      </c>
      <c r="AC45" s="24" t="n">
        <f aca="false">AB45/K45</f>
        <v>1.15245831386971</v>
      </c>
      <c r="AD45" s="21" t="n">
        <f aca="false">K45*((1+DepRate*(1-DepTax))^E45-1)</f>
        <v>0.65085437675359</v>
      </c>
      <c r="AE45" s="21" t="n">
        <f aca="false">Y45-AD45</f>
        <v>-0.35211985286368</v>
      </c>
    </row>
    <row r="46" customFormat="false" ht="15" hidden="false" customHeight="false" outlineLevel="0" collapsed="false">
      <c r="A46" s="20" t="n">
        <v>4</v>
      </c>
      <c r="B46" s="18" t="str">
        <f aca="false">INDEX(C_Name,A46)</f>
        <v>신길삼성래미안 84㎡</v>
      </c>
      <c r="C46" s="20" t="n">
        <v>2</v>
      </c>
      <c r="D46" s="10" t="n">
        <f aca="false">CHOOSE(C46,GrowLo,GrowMid,GrowHi)</f>
        <v>0.04</v>
      </c>
      <c r="E46" s="20" t="n">
        <v>5</v>
      </c>
      <c r="F46" s="20" t="n">
        <f aca="false">MAX(0,E46-NonRes)</f>
        <v>5</v>
      </c>
      <c r="G46" s="18" t="n">
        <f aca="false">INDEX(C_Price,A46)</f>
        <v>13</v>
      </c>
      <c r="H46" s="18" t="n">
        <f aca="false">INDEX(C_Acq,A46)</f>
        <v>0.429</v>
      </c>
      <c r="I46" s="18" t="n">
        <f aca="false">INDEX(C_Fee,A46)</f>
        <v>0.1058</v>
      </c>
      <c r="J46" s="18" t="n">
        <f aca="false">INDEX(C_Loan,A46)</f>
        <v>5.2</v>
      </c>
      <c r="K46" s="21" t="n">
        <f aca="false">G46-J46+H46+I46</f>
        <v>8.3348</v>
      </c>
      <c r="L46" s="21" t="n">
        <f aca="false">G46*(1+D46)^E46</f>
        <v>15.8164877312</v>
      </c>
      <c r="M46" s="21" t="n">
        <f aca="false">L46*LOOKUP(L46,FeeLo,FeeR)*(1+VAT)</f>
        <v>0.12178695553024</v>
      </c>
      <c r="N46" s="21" t="n">
        <f aca="false">-CUMIPMT(Rm,LoanYears*12,J46,1,E46*12,0)</f>
        <v>0.992806404928962</v>
      </c>
      <c r="O46" s="21" t="n">
        <f aca="false">J46*(1+Rm)^(E46*12)-(J46*Rm/(1-(1+Rm)^(-LoanYears*12)))*((1+Rm)^(E46*12)-1)/Rm</f>
        <v>4.70327068307674</v>
      </c>
      <c r="P46" s="29" t="n">
        <f aca="false">SUMIFS(Sch_Total,Sch_Idx,A46,Sch_Scen,C46,Sch_Year,"&lt;="&amp;E46)</f>
        <v>0.139704817711104</v>
      </c>
      <c r="Q46" s="21" t="n">
        <f aca="false">H46+I46+M46</f>
        <v>0.65658695553024</v>
      </c>
      <c r="R46" s="21" t="n">
        <f aca="false">L46-G46-Q46</f>
        <v>2.15990077566976</v>
      </c>
      <c r="S46" s="21" t="n">
        <f aca="false">MAX(0,IF(F46&gt;=2,IF(L46&gt;Exempt,R46*(L46-Exempt)/L46,0),R46))</f>
        <v>0.521179856808045</v>
      </c>
      <c r="T46" s="10" t="n">
        <f aca="false">IF(F46&gt;=2,MIN(MaxDed,MIN(0.4,HoldRate*E46)+MIN(0.4,LiveRate*F46)),IF(E46&gt;=3,MIN(0.3,0.02*E46),0))</f>
        <v>0.4</v>
      </c>
      <c r="U46" s="21" t="n">
        <f aca="false">S46*(1-T46)</f>
        <v>0.312707914084827</v>
      </c>
      <c r="V46" s="21" t="n">
        <f aca="false">MAX(0,U46-InitDed)</f>
        <v>0.287707914084827</v>
      </c>
      <c r="W46" s="29" t="n">
        <f aca="false">SUMPRODUCT((V46&gt;CLo)*(V46-CLo)*CD)*(1+LocalTax)</f>
        <v>0.0336118058239964</v>
      </c>
      <c r="X46" s="21" t="n">
        <f aca="false">H46+P46+W46</f>
        <v>0.602316623535101</v>
      </c>
      <c r="Y46" s="29" t="n">
        <f aca="false">(L46-G46)-H46-I46-M46-N46-P46-W46</f>
        <v>0.993777747205699</v>
      </c>
      <c r="Z46" s="10" t="n">
        <f aca="false">Y46/K46</f>
        <v>0.119232344772004</v>
      </c>
      <c r="AA46" s="10" t="n">
        <f aca="false">IF(1+Z46&gt;0,(1+Z46)^(1/E46)-1,-1)</f>
        <v>0.0227842943475638</v>
      </c>
      <c r="AB46" s="21" t="n">
        <f aca="false">L46-O46-M46-W46</f>
        <v>10.957818286769</v>
      </c>
      <c r="AC46" s="24" t="n">
        <f aca="false">AB46/K46</f>
        <v>1.31470680601443</v>
      </c>
      <c r="AD46" s="21" t="n">
        <f aca="false">K46*((1+DepRate*(1-DepTax))^E46-1)</f>
        <v>1.11275425186472</v>
      </c>
      <c r="AE46" s="21" t="n">
        <f aca="false">Y46-AD46</f>
        <v>-0.118976504659024</v>
      </c>
    </row>
    <row r="47" customFormat="false" ht="15" hidden="false" customHeight="false" outlineLevel="0" collapsed="false">
      <c r="A47" s="20" t="n">
        <v>4</v>
      </c>
      <c r="B47" s="18" t="str">
        <f aca="false">INDEX(C_Name,A47)</f>
        <v>신길삼성래미안 84㎡</v>
      </c>
      <c r="C47" s="20" t="n">
        <v>2</v>
      </c>
      <c r="D47" s="10" t="n">
        <f aca="false">CHOOSE(C47,GrowLo,GrowMid,GrowHi)</f>
        <v>0.04</v>
      </c>
      <c r="E47" s="20" t="n">
        <v>7</v>
      </c>
      <c r="F47" s="20" t="n">
        <f aca="false">MAX(0,E47-NonRes)</f>
        <v>7</v>
      </c>
      <c r="G47" s="18" t="n">
        <f aca="false">INDEX(C_Price,A47)</f>
        <v>13</v>
      </c>
      <c r="H47" s="18" t="n">
        <f aca="false">INDEX(C_Acq,A47)</f>
        <v>0.429</v>
      </c>
      <c r="I47" s="18" t="n">
        <f aca="false">INDEX(C_Fee,A47)</f>
        <v>0.1058</v>
      </c>
      <c r="J47" s="18" t="n">
        <f aca="false">INDEX(C_Loan,A47)</f>
        <v>5.2</v>
      </c>
      <c r="K47" s="21" t="n">
        <f aca="false">G47-J47+H47+I47</f>
        <v>8.3348</v>
      </c>
      <c r="L47" s="21" t="n">
        <f aca="false">G47*(1+D47)^E47</f>
        <v>17.1071131300659</v>
      </c>
      <c r="M47" s="21" t="n">
        <f aca="false">L47*LOOKUP(L47,FeeLo,FeeR)*(1+VAT)</f>
        <v>0.131724771101508</v>
      </c>
      <c r="N47" s="21" t="n">
        <f aca="false">-CUMIPMT(Rm,LoanYears*12,J47,1,E47*12,0)</f>
        <v>1.36044249754729</v>
      </c>
      <c r="O47" s="21" t="n">
        <f aca="false">J47*(1+Rm)^(E47*12)-(J47*Rm/(1-(1+Rm)^(-LoanYears*12)))*((1+Rm)^(E47*12)-1)/Rm</f>
        <v>4.47509248695418</v>
      </c>
      <c r="P47" s="29" t="n">
        <f aca="false">SUMIFS(Sch_Total,Sch_Idx,A47,Sch_Scen,C47,Sch_Year,"&lt;="&amp;E47)</f>
        <v>0.20740424955633</v>
      </c>
      <c r="Q47" s="21" t="n">
        <f aca="false">H47+I47+M47</f>
        <v>0.666524771101508</v>
      </c>
      <c r="R47" s="21" t="n">
        <f aca="false">L47-G47-Q47</f>
        <v>3.44058835896441</v>
      </c>
      <c r="S47" s="21" t="n">
        <f aca="false">MAX(0,IF(F47&gt;=2,IF(L47&gt;Exempt,R47*(L47-Exempt)/L47,0),R47))</f>
        <v>1.02714431415883</v>
      </c>
      <c r="T47" s="10" t="n">
        <f aca="false">IF(F47&gt;=2,MIN(MaxDed,MIN(0.4,HoldRate*E47)+MIN(0.4,LiveRate*F47)),IF(E47&gt;=3,MIN(0.3,0.02*E47),0))</f>
        <v>0.56</v>
      </c>
      <c r="U47" s="21" t="n">
        <f aca="false">S47*(1-T47)</f>
        <v>0.451943498229886</v>
      </c>
      <c r="V47" s="21" t="n">
        <f aca="false">MAX(0,U47-InitDed)</f>
        <v>0.426943498229886</v>
      </c>
      <c r="W47" s="29" t="n">
        <f aca="false">SUMPRODUCT((V47&gt;CLo)*(V47-CLo)*CD)*(1+LocalTax)</f>
        <v>0.0565856772079313</v>
      </c>
      <c r="X47" s="21" t="n">
        <f aca="false">H47+P47+W47</f>
        <v>0.692989926764261</v>
      </c>
      <c r="Y47" s="29" t="n">
        <f aca="false">(L47-G47)-H47-I47-M47-N47-P47-W47</f>
        <v>1.81615593465286</v>
      </c>
      <c r="Z47" s="10" t="n">
        <f aca="false">Y47/K47</f>
        <v>0.217900361694685</v>
      </c>
      <c r="AA47" s="10" t="n">
        <f aca="false">IF(1+Z47&gt;0,(1+Z47)^(1/E47)-1,-1)</f>
        <v>0.0285614694512575</v>
      </c>
      <c r="AB47" s="21" t="n">
        <f aca="false">L47-O47-M47-W47</f>
        <v>12.4437101948023</v>
      </c>
      <c r="AC47" s="24" t="n">
        <f aca="false">AB47/K47</f>
        <v>1.49298245846359</v>
      </c>
      <c r="AD47" s="21" t="n">
        <f aca="false">K47*((1+DepRate*(1-DepTax))^E47-1)</f>
        <v>1.59839769485441</v>
      </c>
      <c r="AE47" s="21" t="n">
        <f aca="false">Y47-AD47</f>
        <v>0.217758239798454</v>
      </c>
    </row>
    <row r="48" customFormat="false" ht="15" hidden="false" customHeight="false" outlineLevel="0" collapsed="false">
      <c r="A48" s="20" t="n">
        <v>4</v>
      </c>
      <c r="B48" s="18" t="str">
        <f aca="false">INDEX(C_Name,A48)</f>
        <v>신길삼성래미안 84㎡</v>
      </c>
      <c r="C48" s="20" t="n">
        <v>2</v>
      </c>
      <c r="D48" s="10" t="n">
        <f aca="false">CHOOSE(C48,GrowLo,GrowMid,GrowHi)</f>
        <v>0.04</v>
      </c>
      <c r="E48" s="20" t="n">
        <v>10</v>
      </c>
      <c r="F48" s="20" t="n">
        <f aca="false">MAX(0,E48-NonRes)</f>
        <v>10</v>
      </c>
      <c r="G48" s="18" t="n">
        <f aca="false">INDEX(C_Price,A48)</f>
        <v>13</v>
      </c>
      <c r="H48" s="18" t="n">
        <f aca="false">INDEX(C_Acq,A48)</f>
        <v>0.429</v>
      </c>
      <c r="I48" s="18" t="n">
        <f aca="false">INDEX(C_Fee,A48)</f>
        <v>0.1058</v>
      </c>
      <c r="J48" s="18" t="n">
        <f aca="false">INDEX(C_Loan,A48)</f>
        <v>5.2</v>
      </c>
      <c r="K48" s="21" t="n">
        <f aca="false">G48-J48+H48+I48</f>
        <v>8.3348</v>
      </c>
      <c r="L48" s="21" t="n">
        <f aca="false">G48*(1+D48)^E48</f>
        <v>19.2431757039385</v>
      </c>
      <c r="M48" s="21" t="n">
        <f aca="false">L48*LOOKUP(L48,FeeLo,FeeR)*(1+VAT)</f>
        <v>0.148172452920326</v>
      </c>
      <c r="N48" s="21" t="n">
        <f aca="false">-CUMIPMT(Rm,LoanYears*12,J48,1,E48*12,0)</f>
        <v>1.87583732270669</v>
      </c>
      <c r="O48" s="21" t="n">
        <f aca="false">J48*(1+Rm)^(E48*12)-(J48*Rm/(1-(1+Rm)^(-LoanYears*12)))*((1+Rm)^(E48*12)-1)/Rm</f>
        <v>4.09676587900224</v>
      </c>
      <c r="P48" s="29" t="n">
        <f aca="false">SUMIFS(Sch_Total,Sch_Idx,A48,Sch_Scen,C48,Sch_Year,"&lt;="&amp;E48)</f>
        <v>0.325550801744133</v>
      </c>
      <c r="Q48" s="21" t="n">
        <f aca="false">H48+I48+M48</f>
        <v>0.682972452920326</v>
      </c>
      <c r="R48" s="21" t="n">
        <f aca="false">L48-G48-Q48</f>
        <v>5.56020325101815</v>
      </c>
      <c r="S48" s="21" t="n">
        <f aca="false">MAX(0,IF(F48&gt;=2,IF(L48&gt;Exempt,R48*(L48-Exempt)/L48,0),R48))</f>
        <v>2.09287332383977</v>
      </c>
      <c r="T48" s="10" t="n">
        <f aca="false">IF(F48&gt;=2,MIN(MaxDed,MIN(0.4,HoldRate*E48)+MIN(0.4,LiveRate*F48)),IF(E48&gt;=3,MIN(0.3,0.02*E48),0))</f>
        <v>0.8</v>
      </c>
      <c r="U48" s="21" t="n">
        <f aca="false">S48*(1-T48)</f>
        <v>0.418574664767954</v>
      </c>
      <c r="V48" s="21" t="n">
        <f aca="false">MAX(0,U48-InitDed)</f>
        <v>0.393574664767954</v>
      </c>
      <c r="W48" s="29" t="n">
        <f aca="false">SUMPRODUCT((V48&gt;CLo)*(V48-CLo)*CD)*(1+LocalTax)</f>
        <v>0.0510798196867123</v>
      </c>
      <c r="X48" s="21" t="n">
        <f aca="false">H48+P48+W48</f>
        <v>0.805630621430846</v>
      </c>
      <c r="Y48" s="29" t="n">
        <f aca="false">(L48-G48)-H48-I48-M48-N48-P48-W48</f>
        <v>3.30773530688062</v>
      </c>
      <c r="Z48" s="10" t="n">
        <f aca="false">Y48/K48</f>
        <v>0.396858389749078</v>
      </c>
      <c r="AA48" s="10" t="n">
        <f aca="false">IF(1+Z48&gt;0,(1+Z48)^(1/E48)-1,-1)</f>
        <v>0.0339873797843422</v>
      </c>
      <c r="AB48" s="21" t="n">
        <f aca="false">L48-O48-M48-W48</f>
        <v>14.9471575523292</v>
      </c>
      <c r="AC48" s="24" t="n">
        <f aca="false">AB48/K48</f>
        <v>1.7933432778626</v>
      </c>
      <c r="AD48" s="21" t="n">
        <f aca="false">K48*((1+DepRate*(1-DepTax))^E48-1)</f>
        <v>2.37406900008725</v>
      </c>
      <c r="AE48" s="21" t="n">
        <f aca="false">Y48-AD48</f>
        <v>0.93366630679337</v>
      </c>
    </row>
    <row r="49" customFormat="false" ht="15" hidden="false" customHeight="false" outlineLevel="0" collapsed="false">
      <c r="A49" s="20" t="n">
        <v>4</v>
      </c>
      <c r="B49" s="18" t="str">
        <f aca="false">INDEX(C_Name,A49)</f>
        <v>신길삼성래미안 84㎡</v>
      </c>
      <c r="C49" s="20" t="n">
        <v>3</v>
      </c>
      <c r="D49" s="10" t="n">
        <f aca="false">CHOOSE(C49,GrowLo,GrowMid,GrowHi)</f>
        <v>0.06</v>
      </c>
      <c r="E49" s="20" t="n">
        <v>3</v>
      </c>
      <c r="F49" s="20" t="n">
        <f aca="false">MAX(0,E49-NonRes)</f>
        <v>3</v>
      </c>
      <c r="G49" s="18" t="n">
        <f aca="false">INDEX(C_Price,A49)</f>
        <v>13</v>
      </c>
      <c r="H49" s="18" t="n">
        <f aca="false">INDEX(C_Acq,A49)</f>
        <v>0.429</v>
      </c>
      <c r="I49" s="18" t="n">
        <f aca="false">INDEX(C_Fee,A49)</f>
        <v>0.1058</v>
      </c>
      <c r="J49" s="18" t="n">
        <f aca="false">INDEX(C_Loan,A49)</f>
        <v>5.2</v>
      </c>
      <c r="K49" s="21" t="n">
        <f aca="false">G49-J49+H49+I49</f>
        <v>8.3348</v>
      </c>
      <c r="L49" s="21" t="n">
        <f aca="false">G49*(1+D49)^E49</f>
        <v>15.483208</v>
      </c>
      <c r="M49" s="21" t="n">
        <f aca="false">L49*LOOKUP(L49,FeeLo,FeeR)*(1+VAT)</f>
        <v>0.1192207016</v>
      </c>
      <c r="N49" s="21" t="n">
        <f aca="false">-CUMIPMT(Rm,LoanYears*12,J49,1,E49*12,0)</f>
        <v>0.607655163196859</v>
      </c>
      <c r="O49" s="21" t="n">
        <f aca="false">J49*(1+Rm)^(E49*12)-(J49*Rm/(1-(1+Rm)^(-LoanYears*12)))*((1+Rm)^(E49*12)-1)/Rm</f>
        <v>4.91393373008552</v>
      </c>
      <c r="P49" s="29" t="n">
        <f aca="false">SUMIFS(Sch_Total,Sch_Idx,A49,Sch_Scen,C49,Sch_Year,"&lt;="&amp;E49)</f>
        <v>0.08032243824</v>
      </c>
      <c r="Q49" s="21" t="n">
        <f aca="false">H49+I49+M49</f>
        <v>0.6540207016</v>
      </c>
      <c r="R49" s="21" t="n">
        <f aca="false">L49-G49-Q49</f>
        <v>1.8291872984</v>
      </c>
      <c r="S49" s="21" t="n">
        <f aca="false">MAX(0,IF(F49&gt;=2,IF(L49&gt;Exempt,R49*(L49-Exempt)/L49,0),R49))</f>
        <v>0.411506441771322</v>
      </c>
      <c r="T49" s="10" t="n">
        <f aca="false">IF(F49&gt;=2,MIN(MaxDed,MIN(0.4,HoldRate*E49)+MIN(0.4,LiveRate*F49)),IF(E49&gt;=3,MIN(0.3,0.02*E49),0))</f>
        <v>0.24</v>
      </c>
      <c r="U49" s="21" t="n">
        <f aca="false">S49*(1-T49)</f>
        <v>0.312744895746205</v>
      </c>
      <c r="V49" s="21" t="n">
        <f aca="false">MAX(0,U49-InitDed)</f>
        <v>0.287744895746205</v>
      </c>
      <c r="W49" s="29" t="n">
        <f aca="false">SUMPRODUCT((V49&gt;CLo)*(V49-CLo)*CD)*(1+LocalTax)</f>
        <v>0.0336179077981238</v>
      </c>
      <c r="X49" s="21" t="n">
        <f aca="false">H49+P49+W49</f>
        <v>0.542940346038124</v>
      </c>
      <c r="Y49" s="29" t="n">
        <f aca="false">(L49-G49)-H49-I49-M49-N49-P49-W49</f>
        <v>1.10759178916502</v>
      </c>
      <c r="Z49" s="10" t="n">
        <f aca="false">Y49/K49</f>
        <v>0.132887626477542</v>
      </c>
      <c r="AA49" s="10" t="n">
        <f aca="false">IF(1+Z49&gt;0,(1+Z49)^(1/E49)-1,-1)</f>
        <v>0.0424669083696045</v>
      </c>
      <c r="AB49" s="21" t="n">
        <f aca="false">L49-O49-M49-W49</f>
        <v>10.4164356605164</v>
      </c>
      <c r="AC49" s="24" t="n">
        <f aca="false">AB49/K49</f>
        <v>1.24975232285314</v>
      </c>
      <c r="AD49" s="21" t="n">
        <f aca="false">K49*((1+DepRate*(1-DepTax))^E49-1)</f>
        <v>0.65085437675359</v>
      </c>
      <c r="AE49" s="21" t="n">
        <f aca="false">Y49-AD49</f>
        <v>0.456737412411428</v>
      </c>
    </row>
    <row r="50" customFormat="false" ht="15" hidden="false" customHeight="false" outlineLevel="0" collapsed="false">
      <c r="A50" s="20" t="n">
        <v>4</v>
      </c>
      <c r="B50" s="18" t="str">
        <f aca="false">INDEX(C_Name,A50)</f>
        <v>신길삼성래미안 84㎡</v>
      </c>
      <c r="C50" s="20" t="n">
        <v>3</v>
      </c>
      <c r="D50" s="10" t="n">
        <f aca="false">CHOOSE(C50,GrowLo,GrowMid,GrowHi)</f>
        <v>0.06</v>
      </c>
      <c r="E50" s="20" t="n">
        <v>5</v>
      </c>
      <c r="F50" s="20" t="n">
        <f aca="false">MAX(0,E50-NonRes)</f>
        <v>5</v>
      </c>
      <c r="G50" s="18" t="n">
        <f aca="false">INDEX(C_Price,A50)</f>
        <v>13</v>
      </c>
      <c r="H50" s="18" t="n">
        <f aca="false">INDEX(C_Acq,A50)</f>
        <v>0.429</v>
      </c>
      <c r="I50" s="18" t="n">
        <f aca="false">INDEX(C_Fee,A50)</f>
        <v>0.1058</v>
      </c>
      <c r="J50" s="18" t="n">
        <f aca="false">INDEX(C_Loan,A50)</f>
        <v>5.2</v>
      </c>
      <c r="K50" s="21" t="n">
        <f aca="false">G50-J50+H50+I50</f>
        <v>8.3348</v>
      </c>
      <c r="L50" s="21" t="n">
        <f aca="false">G50*(1+D50)^E50</f>
        <v>17.3969325088</v>
      </c>
      <c r="M50" s="21" t="n">
        <f aca="false">L50*LOOKUP(L50,FeeLo,FeeR)*(1+VAT)</f>
        <v>0.13395638031776</v>
      </c>
      <c r="N50" s="21" t="n">
        <f aca="false">-CUMIPMT(Rm,LoanYears*12,J50,1,E50*12,0)</f>
        <v>0.992806404928962</v>
      </c>
      <c r="O50" s="21" t="n">
        <f aca="false">J50*(1+Rm)^(E50*12)-(J50*Rm/(1-(1+Rm)^(-LoanYears*12)))*((1+Rm)^(E50*12)-1)/Rm</f>
        <v>4.70327068307674</v>
      </c>
      <c r="P50" s="29" t="n">
        <f aca="false">SUMIFS(Sch_Total,Sch_Idx,A50,Sch_Scen,C50,Sch_Year,"&lt;="&amp;E50)</f>
        <v>0.147071572726464</v>
      </c>
      <c r="Q50" s="21" t="n">
        <f aca="false">H50+I50+M50</f>
        <v>0.66875638031776</v>
      </c>
      <c r="R50" s="21" t="n">
        <f aca="false">L50-G50-Q50</f>
        <v>3.72817612848224</v>
      </c>
      <c r="S50" s="21" t="n">
        <f aca="false">MAX(0,IF(F50&gt;=2,IF(L50&gt;Exempt,R50*(L50-Exempt)/L50,0),R50))</f>
        <v>1.15656682211994</v>
      </c>
      <c r="T50" s="10" t="n">
        <f aca="false">IF(F50&gt;=2,MIN(MaxDed,MIN(0.4,HoldRate*E50)+MIN(0.4,LiveRate*F50)),IF(E50&gt;=3,MIN(0.3,0.02*E50),0))</f>
        <v>0.4</v>
      </c>
      <c r="U50" s="21" t="n">
        <f aca="false">S50*(1-T50)</f>
        <v>0.693940093271966</v>
      </c>
      <c r="V50" s="21" t="n">
        <f aca="false">MAX(0,U50-InitDed)</f>
        <v>0.668940093271966</v>
      </c>
      <c r="W50" s="29" t="n">
        <f aca="false">SUMPRODUCT((V50&gt;CLo)*(V50-CLo)*CD)*(1+LocalTax)</f>
        <v>0.113240184623799</v>
      </c>
      <c r="X50" s="21" t="n">
        <f aca="false">H50+P50+W50</f>
        <v>0.689311757350263</v>
      </c>
      <c r="Y50" s="29" t="n">
        <f aca="false">(L50-G50)-H50-I50-M50-N50-P50-W50</f>
        <v>2.47505796620302</v>
      </c>
      <c r="Z50" s="10" t="n">
        <f aca="false">Y50/K50</f>
        <v>0.296954691918584</v>
      </c>
      <c r="AA50" s="10" t="n">
        <f aca="false">IF(1+Z50&gt;0,(1+Z50)^(1/E50)-1,-1)</f>
        <v>0.0533797393949285</v>
      </c>
      <c r="AB50" s="21" t="n">
        <f aca="false">L50-O50-M50-W50</f>
        <v>12.4464652607817</v>
      </c>
      <c r="AC50" s="24" t="n">
        <f aca="false">AB50/K50</f>
        <v>1.49331300820436</v>
      </c>
      <c r="AD50" s="21" t="n">
        <f aca="false">K50*((1+DepRate*(1-DepTax))^E50-1)</f>
        <v>1.11275425186472</v>
      </c>
      <c r="AE50" s="21" t="n">
        <f aca="false">Y50-AD50</f>
        <v>1.36230371433829</v>
      </c>
    </row>
    <row r="51" customFormat="false" ht="15" hidden="false" customHeight="false" outlineLevel="0" collapsed="false">
      <c r="A51" s="20" t="n">
        <v>4</v>
      </c>
      <c r="B51" s="18" t="str">
        <f aca="false">INDEX(C_Name,A51)</f>
        <v>신길삼성래미안 84㎡</v>
      </c>
      <c r="C51" s="20" t="n">
        <v>3</v>
      </c>
      <c r="D51" s="10" t="n">
        <f aca="false">CHOOSE(C51,GrowLo,GrowMid,GrowHi)</f>
        <v>0.06</v>
      </c>
      <c r="E51" s="20" t="n">
        <v>7</v>
      </c>
      <c r="F51" s="20" t="n">
        <f aca="false">MAX(0,E51-NonRes)</f>
        <v>7</v>
      </c>
      <c r="G51" s="18" t="n">
        <f aca="false">INDEX(C_Price,A51)</f>
        <v>13</v>
      </c>
      <c r="H51" s="18" t="n">
        <f aca="false">INDEX(C_Acq,A51)</f>
        <v>0.429</v>
      </c>
      <c r="I51" s="18" t="n">
        <f aca="false">INDEX(C_Fee,A51)</f>
        <v>0.1058</v>
      </c>
      <c r="J51" s="18" t="n">
        <f aca="false">INDEX(C_Loan,A51)</f>
        <v>5.2</v>
      </c>
      <c r="K51" s="21" t="n">
        <f aca="false">G51-J51+H51+I51</f>
        <v>8.3348</v>
      </c>
      <c r="L51" s="21" t="n">
        <f aca="false">G51*(1+D51)^E51</f>
        <v>19.5471933668877</v>
      </c>
      <c r="M51" s="21" t="n">
        <f aca="false">L51*LOOKUP(L51,FeeLo,FeeR)*(1+VAT)</f>
        <v>0.150513388925035</v>
      </c>
      <c r="N51" s="21" t="n">
        <f aca="false">-CUMIPMT(Rm,LoanYears*12,J51,1,E51*12,0)</f>
        <v>1.36044249754729</v>
      </c>
      <c r="O51" s="21" t="n">
        <f aca="false">J51*(1+Rm)^(E51*12)-(J51*Rm/(1-(1+Rm)^(-LoanYears*12)))*((1+Rm)^(E51*12)-1)/Rm</f>
        <v>4.47509248695418</v>
      </c>
      <c r="P51" s="29" t="n">
        <f aca="false">SUMIFS(Sch_Total,Sch_Idx,A51,Sch_Scen,C51,Sch_Year,"&lt;="&amp;E51)</f>
        <v>0.226560531760285</v>
      </c>
      <c r="Q51" s="21" t="n">
        <f aca="false">H51+I51+M51</f>
        <v>0.685313388925035</v>
      </c>
      <c r="R51" s="21" t="n">
        <f aca="false">L51-G51-Q51</f>
        <v>5.86187997796265</v>
      </c>
      <c r="S51" s="21" t="n">
        <f aca="false">MAX(0,IF(F51&gt;=2,IF(L51&gt;Exempt,R51*(L51-Exempt)/L51,0),R51))</f>
        <v>2.26327845930628</v>
      </c>
      <c r="T51" s="10" t="n">
        <f aca="false">IF(F51&gt;=2,MIN(MaxDed,MIN(0.4,HoldRate*E51)+MIN(0.4,LiveRate*F51)),IF(E51&gt;=3,MIN(0.3,0.02*E51),0))</f>
        <v>0.56</v>
      </c>
      <c r="U51" s="21" t="n">
        <f aca="false">S51*(1-T51)</f>
        <v>0.995842522094762</v>
      </c>
      <c r="V51" s="21" t="n">
        <f aca="false">MAX(0,U51-InitDed)</f>
        <v>0.970842522094762</v>
      </c>
      <c r="W51" s="29" t="n">
        <f aca="false">SUMPRODUCT((V51&gt;CLo)*(V51-CLo)*CD)*(1+LocalTax)</f>
        <v>0.203934371006483</v>
      </c>
      <c r="X51" s="21" t="n">
        <f aca="false">H51+P51+W51</f>
        <v>0.859494902766768</v>
      </c>
      <c r="Y51" s="29" t="n">
        <f aca="false">(L51-G51)-H51-I51-M51-N51-P51-W51</f>
        <v>4.07094257764859</v>
      </c>
      <c r="Z51" s="10" t="n">
        <f aca="false">Y51/K51</f>
        <v>0.48842714614011</v>
      </c>
      <c r="AA51" s="10" t="n">
        <f aca="false">IF(1+Z51&gt;0,(1+Z51)^(1/E51)-1,-1)</f>
        <v>0.0584622386324598</v>
      </c>
      <c r="AB51" s="21" t="n">
        <f aca="false">L51-O51-M51-W51</f>
        <v>14.717653120002</v>
      </c>
      <c r="AC51" s="24" t="n">
        <f aca="false">AB51/K51</f>
        <v>1.765807592264</v>
      </c>
      <c r="AD51" s="21" t="n">
        <f aca="false">K51*((1+DepRate*(1-DepTax))^E51-1)</f>
        <v>1.59839769485441</v>
      </c>
      <c r="AE51" s="21" t="n">
        <f aca="false">Y51-AD51</f>
        <v>2.47254488279418</v>
      </c>
    </row>
    <row r="52" customFormat="false" ht="15" hidden="false" customHeight="false" outlineLevel="0" collapsed="false">
      <c r="A52" s="20" t="n">
        <v>4</v>
      </c>
      <c r="B52" s="18" t="str">
        <f aca="false">INDEX(C_Name,A52)</f>
        <v>신길삼성래미안 84㎡</v>
      </c>
      <c r="C52" s="20" t="n">
        <v>3</v>
      </c>
      <c r="D52" s="10" t="n">
        <f aca="false">CHOOSE(C52,GrowLo,GrowMid,GrowHi)</f>
        <v>0.06</v>
      </c>
      <c r="E52" s="20" t="n">
        <v>10</v>
      </c>
      <c r="F52" s="20" t="n">
        <f aca="false">MAX(0,E52-NonRes)</f>
        <v>10</v>
      </c>
      <c r="G52" s="18" t="n">
        <f aca="false">INDEX(C_Price,A52)</f>
        <v>13</v>
      </c>
      <c r="H52" s="18" t="n">
        <f aca="false">INDEX(C_Acq,A52)</f>
        <v>0.429</v>
      </c>
      <c r="I52" s="18" t="n">
        <f aca="false">INDEX(C_Fee,A52)</f>
        <v>0.1058</v>
      </c>
      <c r="J52" s="18" t="n">
        <f aca="false">INDEX(C_Loan,A52)</f>
        <v>5.2</v>
      </c>
      <c r="K52" s="21" t="n">
        <f aca="false">G52-J52+H52+I52</f>
        <v>8.3348</v>
      </c>
      <c r="L52" s="21" t="n">
        <f aca="false">G52*(1+D52)^E52</f>
        <v>23.2810200550571</v>
      </c>
      <c r="M52" s="21" t="n">
        <f aca="false">L52*LOOKUP(L52,FeeLo,FeeR)*(1+VAT)</f>
        <v>0.17926385442394</v>
      </c>
      <c r="N52" s="21" t="n">
        <f aca="false">-CUMIPMT(Rm,LoanYears*12,J52,1,E52*12,0)</f>
        <v>1.87583732270669</v>
      </c>
      <c r="O52" s="21" t="n">
        <f aca="false">J52*(1+Rm)^(E52*12)-(J52*Rm/(1-(1+Rm)^(-LoanYears*12)))*((1+Rm)^(E52*12)-1)/Rm</f>
        <v>4.09676587900224</v>
      </c>
      <c r="P52" s="29" t="n">
        <f aca="false">SUMIFS(Sch_Total,Sch_Idx,A52,Sch_Scen,C52,Sch_Year,"&lt;="&amp;E52)</f>
        <v>0.388594062370387</v>
      </c>
      <c r="Q52" s="21" t="n">
        <f aca="false">H52+I52+M52</f>
        <v>0.71406385442394</v>
      </c>
      <c r="R52" s="21" t="n">
        <f aca="false">L52-G52-Q52</f>
        <v>9.56695620063317</v>
      </c>
      <c r="S52" s="21" t="n">
        <f aca="false">MAX(0,IF(F52&gt;=2,IF(L52&gt;Exempt,R52*(L52-Exempt)/L52,0),R52))</f>
        <v>4.63575154825539</v>
      </c>
      <c r="T52" s="10" t="n">
        <f aca="false">IF(F52&gt;=2,MIN(MaxDed,MIN(0.4,HoldRate*E52)+MIN(0.4,LiveRate*F52)),IF(E52&gt;=3,MIN(0.3,0.02*E52),0))</f>
        <v>0.8</v>
      </c>
      <c r="U52" s="21" t="n">
        <f aca="false">S52*(1-T52)</f>
        <v>0.927150309651078</v>
      </c>
      <c r="V52" s="21" t="n">
        <f aca="false">MAX(0,U52-InitDed)</f>
        <v>0.902150309651078</v>
      </c>
      <c r="W52" s="29" t="n">
        <f aca="false">SUMPRODUCT((V52&gt;CLo)*(V52-CLo)*CD)*(1+LocalTax)</f>
        <v>0.177487869215665</v>
      </c>
      <c r="X52" s="21" t="n">
        <f aca="false">H52+P52+W52</f>
        <v>0.995081931586052</v>
      </c>
      <c r="Y52" s="29" t="n">
        <f aca="false">(L52-G52)-H52-I52-M52-N52-P52-W52</f>
        <v>7.12503694634043</v>
      </c>
      <c r="Z52" s="10" t="n">
        <f aca="false">Y52/K52</f>
        <v>0.854853979260502</v>
      </c>
      <c r="AA52" s="10" t="n">
        <f aca="false">IF(1+Z52&gt;0,(1+Z52)^(1/E52)-1,-1)</f>
        <v>0.0637289343978706</v>
      </c>
      <c r="AB52" s="21" t="n">
        <f aca="false">L52-O52-M52-W52</f>
        <v>18.8275024524153</v>
      </c>
      <c r="AC52" s="24" t="n">
        <f aca="false">AB52/K52</f>
        <v>2.25890272740981</v>
      </c>
      <c r="AD52" s="21" t="n">
        <f aca="false">K52*((1+DepRate*(1-DepTax))^E52-1)</f>
        <v>2.37406900008725</v>
      </c>
      <c r="AE52" s="21" t="n">
        <f aca="false">Y52-AD52</f>
        <v>4.75096794625318</v>
      </c>
    </row>
    <row r="53" customFormat="false" ht="15" hidden="false" customHeight="false" outlineLevel="0" collapsed="false">
      <c r="A53" s="20" t="n">
        <v>5</v>
      </c>
      <c r="B53" s="18" t="str">
        <f aca="false">INDEX(C_Name,A53)</f>
        <v>신길 래미안에스티움 84㎡</v>
      </c>
      <c r="C53" s="20" t="n">
        <v>1</v>
      </c>
      <c r="D53" s="10" t="n">
        <f aca="false">CHOOSE(C53,GrowLo,GrowMid,GrowHi)</f>
        <v>0.02</v>
      </c>
      <c r="E53" s="20" t="n">
        <v>3</v>
      </c>
      <c r="F53" s="20" t="n">
        <f aca="false">MAX(0,E53-NonRes)</f>
        <v>3</v>
      </c>
      <c r="G53" s="18" t="n">
        <f aca="false">INDEX(C_Price,A53)</f>
        <v>18.8</v>
      </c>
      <c r="H53" s="18" t="n">
        <f aca="false">INDEX(C_Acq,A53)</f>
        <v>0.6204</v>
      </c>
      <c r="I53" s="18" t="n">
        <f aca="false">INDEX(C_Fee,A53)</f>
        <v>0.16476</v>
      </c>
      <c r="J53" s="18" t="n">
        <f aca="false">INDEX(C_Loan,A53)</f>
        <v>4</v>
      </c>
      <c r="K53" s="21" t="n">
        <f aca="false">G53-J53+H53+I53</f>
        <v>15.58516</v>
      </c>
      <c r="L53" s="21" t="n">
        <f aca="false">G53*(1+D53)^E53</f>
        <v>19.9507104</v>
      </c>
      <c r="M53" s="21" t="n">
        <f aca="false">L53*LOOKUP(L53,FeeLo,FeeR)*(1+VAT)</f>
        <v>0.15362047008</v>
      </c>
      <c r="N53" s="21" t="n">
        <f aca="false">-CUMIPMT(Rm,LoanYears*12,J53,1,E53*12,0)</f>
        <v>0.467427048612969</v>
      </c>
      <c r="O53" s="21" t="n">
        <f aca="false">J53*(1+Rm)^(E53*12)-(J53*Rm/(1-(1+Rm)^(-LoanYears*12)))*((1+Rm)^(E53*12)-1)/Rm</f>
        <v>3.77994902314271</v>
      </c>
      <c r="P53" s="29" t="n">
        <f aca="false">SUMIFS(Sch_Total,Sch_Idx,A53,Sch_Scen,C53,Sch_Year,"&lt;="&amp;E53)</f>
        <v>0.138320404416</v>
      </c>
      <c r="Q53" s="21" t="n">
        <f aca="false">H53+I53+M53</f>
        <v>0.93878047008</v>
      </c>
      <c r="R53" s="21" t="n">
        <f aca="false">L53-G53-Q53</f>
        <v>0.211929929920001</v>
      </c>
      <c r="S53" s="21" t="n">
        <f aca="false">MAX(0,IF(F53&gt;=2,IF(L53&gt;Exempt,R53*(L53-Exempt)/L53,0),R53))</f>
        <v>0.0844578195013159</v>
      </c>
      <c r="T53" s="10" t="n">
        <f aca="false">IF(F53&gt;=2,MIN(MaxDed,MIN(0.4,HoldRate*E53)+MIN(0.4,LiveRate*F53)),IF(E53&gt;=3,MIN(0.3,0.02*E53),0))</f>
        <v>0.24</v>
      </c>
      <c r="U53" s="21" t="n">
        <f aca="false">S53*(1-T53)</f>
        <v>0.0641879428210001</v>
      </c>
      <c r="V53" s="21" t="n">
        <f aca="false">MAX(0,U53-InitDed)</f>
        <v>0.0391879428210001</v>
      </c>
      <c r="W53" s="29" t="n">
        <f aca="false">SUMPRODUCT((V53&gt;CLo)*(V53-CLo)*CD)*(1+LocalTax)</f>
        <v>0.002586404226186</v>
      </c>
      <c r="X53" s="21" t="n">
        <f aca="false">H53+P53+W53</f>
        <v>0.761306808642186</v>
      </c>
      <c r="Y53" s="29" t="n">
        <f aca="false">(L53-G53)-H53-I53-M53-N53-P53-W53</f>
        <v>-0.396403927335153</v>
      </c>
      <c r="Z53" s="10" t="n">
        <f aca="false">Y53/K53</f>
        <v>-0.025434703739657</v>
      </c>
      <c r="AA53" s="10" t="n">
        <f aca="false">IF(1+Z53&gt;0,(1+Z53)^(1/E53)-1,-1)</f>
        <v>-0.00855114829089942</v>
      </c>
      <c r="AB53" s="21" t="n">
        <f aca="false">L53-O53-M53-W53</f>
        <v>16.0145545025511</v>
      </c>
      <c r="AC53" s="24" t="n">
        <f aca="false">AB53/K53</f>
        <v>1.02755149787048</v>
      </c>
      <c r="AD53" s="21" t="n">
        <f aca="false">K53*((1+DepRate*(1-DepTax))^E53-1)</f>
        <v>1.21702615520528</v>
      </c>
      <c r="AE53" s="21" t="n">
        <f aca="false">Y53-AD53</f>
        <v>-1.61343008254044</v>
      </c>
    </row>
    <row r="54" customFormat="false" ht="15" hidden="false" customHeight="false" outlineLevel="0" collapsed="false">
      <c r="A54" s="20" t="n">
        <v>5</v>
      </c>
      <c r="B54" s="18" t="str">
        <f aca="false">INDEX(C_Name,A54)</f>
        <v>신길 래미안에스티움 84㎡</v>
      </c>
      <c r="C54" s="20" t="n">
        <v>1</v>
      </c>
      <c r="D54" s="10" t="n">
        <f aca="false">CHOOSE(C54,GrowLo,GrowMid,GrowHi)</f>
        <v>0.02</v>
      </c>
      <c r="E54" s="20" t="n">
        <v>5</v>
      </c>
      <c r="F54" s="20" t="n">
        <f aca="false">MAX(0,E54-NonRes)</f>
        <v>5</v>
      </c>
      <c r="G54" s="18" t="n">
        <f aca="false">INDEX(C_Price,A54)</f>
        <v>18.8</v>
      </c>
      <c r="H54" s="18" t="n">
        <f aca="false">INDEX(C_Acq,A54)</f>
        <v>0.6204</v>
      </c>
      <c r="I54" s="18" t="n">
        <f aca="false">INDEX(C_Fee,A54)</f>
        <v>0.16476</v>
      </c>
      <c r="J54" s="18" t="n">
        <f aca="false">INDEX(C_Loan,A54)</f>
        <v>4</v>
      </c>
      <c r="K54" s="21" t="n">
        <f aca="false">G54-J54+H54+I54</f>
        <v>15.58516</v>
      </c>
      <c r="L54" s="21" t="n">
        <f aca="false">G54*(1+D54)^E54</f>
        <v>20.75671910016</v>
      </c>
      <c r="M54" s="21" t="n">
        <f aca="false">L54*LOOKUP(L54,FeeLo,FeeR)*(1+VAT)</f>
        <v>0.159826737071232</v>
      </c>
      <c r="N54" s="21" t="n">
        <f aca="false">-CUMIPMT(Rm,LoanYears*12,J54,1,E54*12,0)</f>
        <v>0.76369723456074</v>
      </c>
      <c r="O54" s="21" t="n">
        <f aca="false">J54*(1+Rm)^(E54*12)-(J54*Rm/(1-(1+Rm)^(-LoanYears*12)))*((1+Rm)^(E54*12)-1)/Rm</f>
        <v>3.61790052544364</v>
      </c>
      <c r="P54" s="29" t="n">
        <f aca="false">SUMIFS(Sch_Total,Sch_Idx,A54,Sch_Scen,C54,Sch_Year,"&lt;="&amp;E54)</f>
        <v>0.240349841554406</v>
      </c>
      <c r="Q54" s="21" t="n">
        <f aca="false">H54+I54+M54</f>
        <v>0.944986737071232</v>
      </c>
      <c r="R54" s="21" t="n">
        <f aca="false">L54-G54-Q54</f>
        <v>1.01173236308877</v>
      </c>
      <c r="S54" s="21" t="n">
        <f aca="false">MAX(0,IF(F54&gt;=2,IF(L54&gt;Exempt,R54*(L54-Exempt)/L54,0),R54))</f>
        <v>0.426823529545242</v>
      </c>
      <c r="T54" s="10" t="n">
        <f aca="false">IF(F54&gt;=2,MIN(MaxDed,MIN(0.4,HoldRate*E54)+MIN(0.4,LiveRate*F54)),IF(E54&gt;=3,MIN(0.3,0.02*E54),0))</f>
        <v>0.4</v>
      </c>
      <c r="U54" s="21" t="n">
        <f aca="false">S54*(1-T54)</f>
        <v>0.256094117727145</v>
      </c>
      <c r="V54" s="21" t="n">
        <f aca="false">MAX(0,U54-InitDed)</f>
        <v>0.231094117727145</v>
      </c>
      <c r="W54" s="29" t="n">
        <f aca="false">SUMPRODUCT((V54&gt;CLo)*(V54-CLo)*CD)*(1+LocalTax)</f>
        <v>0.024270529424979</v>
      </c>
      <c r="X54" s="21" t="n">
        <f aca="false">H54+P54+W54</f>
        <v>0.885020370979385</v>
      </c>
      <c r="Y54" s="29" t="n">
        <f aca="false">(L54-G54)-H54-I54-M54-N54-P54-W54</f>
        <v>-0.0165852424513569</v>
      </c>
      <c r="Z54" s="10" t="n">
        <f aca="false">Y54/K54</f>
        <v>-0.00106416889216132</v>
      </c>
      <c r="AA54" s="10" t="n">
        <f aca="false">IF(1+Z54&gt;0,(1+Z54)^(1/E54)-1,-1)</f>
        <v>-0.000212924432755779</v>
      </c>
      <c r="AB54" s="21" t="n">
        <f aca="false">L54-O54-M54-W54</f>
        <v>16.9547213082201</v>
      </c>
      <c r="AC54" s="24" t="n">
        <f aca="false">AB54/K54</f>
        <v>1.08787598640118</v>
      </c>
      <c r="AD54" s="21" t="n">
        <f aca="false">K54*((1+DepRate*(1-DepTax))^E54-1)</f>
        <v>2.08072815856313</v>
      </c>
      <c r="AE54" s="21" t="n">
        <f aca="false">Y54-AD54</f>
        <v>-2.09731340101449</v>
      </c>
    </row>
    <row r="55" customFormat="false" ht="15" hidden="false" customHeight="false" outlineLevel="0" collapsed="false">
      <c r="A55" s="20" t="n">
        <v>5</v>
      </c>
      <c r="B55" s="18" t="str">
        <f aca="false">INDEX(C_Name,A55)</f>
        <v>신길 래미안에스티움 84㎡</v>
      </c>
      <c r="C55" s="20" t="n">
        <v>1</v>
      </c>
      <c r="D55" s="10" t="n">
        <f aca="false">CHOOSE(C55,GrowLo,GrowMid,GrowHi)</f>
        <v>0.02</v>
      </c>
      <c r="E55" s="20" t="n">
        <v>7</v>
      </c>
      <c r="F55" s="20" t="n">
        <f aca="false">MAX(0,E55-NonRes)</f>
        <v>7</v>
      </c>
      <c r="G55" s="18" t="n">
        <f aca="false">INDEX(C_Price,A55)</f>
        <v>18.8</v>
      </c>
      <c r="H55" s="18" t="n">
        <f aca="false">INDEX(C_Acq,A55)</f>
        <v>0.6204</v>
      </c>
      <c r="I55" s="18" t="n">
        <f aca="false">INDEX(C_Fee,A55)</f>
        <v>0.16476</v>
      </c>
      <c r="J55" s="18" t="n">
        <f aca="false">INDEX(C_Loan,A55)</f>
        <v>4</v>
      </c>
      <c r="K55" s="21" t="n">
        <f aca="false">G55-J55+H55+I55</f>
        <v>15.58516</v>
      </c>
      <c r="L55" s="21" t="n">
        <f aca="false">G55*(1+D55)^E55</f>
        <v>21.5952905518065</v>
      </c>
      <c r="M55" s="21" t="n">
        <f aca="false">L55*LOOKUP(L55,FeeLo,FeeR)*(1+VAT)</f>
        <v>0.16628373724891</v>
      </c>
      <c r="N55" s="21" t="n">
        <f aca="false">-CUMIPMT(Rm,LoanYears*12,J55,1,E55*12,0)</f>
        <v>1.04649422888253</v>
      </c>
      <c r="O55" s="21" t="n">
        <f aca="false">J55*(1+Rm)^(E55*12)-(J55*Rm/(1-(1+Rm)^(-LoanYears*12)))*((1+Rm)^(E55*12)-1)/Rm</f>
        <v>3.4423788361186</v>
      </c>
      <c r="P55" s="29" t="n">
        <f aca="false">SUMIFS(Sch_Total,Sch_Idx,A55,Sch_Scen,C55,Sch_Year,"&lt;="&amp;E55)</f>
        <v>0.350602675953204</v>
      </c>
      <c r="Q55" s="21" t="n">
        <f aca="false">H55+I55+M55</f>
        <v>0.95144373724891</v>
      </c>
      <c r="R55" s="21" t="n">
        <f aca="false">L55-G55-Q55</f>
        <v>1.84384681455755</v>
      </c>
      <c r="S55" s="21" t="n">
        <f aca="false">MAX(0,IF(F55&gt;=2,IF(L55&gt;Exempt,R55*(L55-Exempt)/L55,0),R55))</f>
        <v>0.819264083354626</v>
      </c>
      <c r="T55" s="10" t="n">
        <f aca="false">IF(F55&gt;=2,MIN(MaxDed,MIN(0.4,HoldRate*E55)+MIN(0.4,LiveRate*F55)),IF(E55&gt;=3,MIN(0.3,0.02*E55),0))</f>
        <v>0.56</v>
      </c>
      <c r="U55" s="21" t="n">
        <f aca="false">S55*(1-T55)</f>
        <v>0.360476196676035</v>
      </c>
      <c r="V55" s="21" t="n">
        <f aca="false">MAX(0,U55-InitDed)</f>
        <v>0.335476196676035</v>
      </c>
      <c r="W55" s="29" t="n">
        <f aca="false">SUMPRODUCT((V55&gt;CLo)*(V55-CLo)*CD)*(1+LocalTax)</f>
        <v>0.0414935724515458</v>
      </c>
      <c r="X55" s="21" t="n">
        <f aca="false">H55+P55+W55</f>
        <v>1.01249624840475</v>
      </c>
      <c r="Y55" s="29" t="n">
        <f aca="false">(L55-G55)-H55-I55-M55-N55-P55-W55</f>
        <v>0.405256337270273</v>
      </c>
      <c r="Z55" s="10" t="n">
        <f aca="false">Y55/K55</f>
        <v>0.0260027062455742</v>
      </c>
      <c r="AA55" s="10" t="n">
        <f aca="false">IF(1+Z55&gt;0,(1+Z55)^(1/E55)-1,-1)</f>
        <v>0.00367393016996487</v>
      </c>
      <c r="AB55" s="21" t="n">
        <f aca="false">L55-O55-M55-W55</f>
        <v>17.9451344059874</v>
      </c>
      <c r="AC55" s="24" t="n">
        <f aca="false">AB55/K55</f>
        <v>1.15142445800925</v>
      </c>
      <c r="AD55" s="21" t="n">
        <f aca="false">K55*((1+DepRate*(1-DepTax))^E55-1)</f>
        <v>2.98882802442016</v>
      </c>
      <c r="AE55" s="21" t="n">
        <f aca="false">Y55-AD55</f>
        <v>-2.58357168714989</v>
      </c>
    </row>
    <row r="56" customFormat="false" ht="15" hidden="false" customHeight="false" outlineLevel="0" collapsed="false">
      <c r="A56" s="20" t="n">
        <v>5</v>
      </c>
      <c r="B56" s="18" t="str">
        <f aca="false">INDEX(C_Name,A56)</f>
        <v>신길 래미안에스티움 84㎡</v>
      </c>
      <c r="C56" s="20" t="n">
        <v>1</v>
      </c>
      <c r="D56" s="10" t="n">
        <f aca="false">CHOOSE(C56,GrowLo,GrowMid,GrowHi)</f>
        <v>0.02</v>
      </c>
      <c r="E56" s="20" t="n">
        <v>10</v>
      </c>
      <c r="F56" s="20" t="n">
        <f aca="false">MAX(0,E56-NonRes)</f>
        <v>10</v>
      </c>
      <c r="G56" s="18" t="n">
        <f aca="false">INDEX(C_Price,A56)</f>
        <v>18.8</v>
      </c>
      <c r="H56" s="18" t="n">
        <f aca="false">INDEX(C_Acq,A56)</f>
        <v>0.6204</v>
      </c>
      <c r="I56" s="18" t="n">
        <f aca="false">INDEX(C_Fee,A56)</f>
        <v>0.16476</v>
      </c>
      <c r="J56" s="18" t="n">
        <f aca="false">INDEX(C_Loan,A56)</f>
        <v>4</v>
      </c>
      <c r="K56" s="21" t="n">
        <f aca="false">G56-J56+H56+I56</f>
        <v>15.58516</v>
      </c>
      <c r="L56" s="21" t="n">
        <f aca="false">G56*(1+D56)^E56</f>
        <v>22.9170950959014</v>
      </c>
      <c r="M56" s="21" t="n">
        <f aca="false">L56*LOOKUP(L56,FeeLo,FeeR)*(1+VAT)</f>
        <v>0.176461632238441</v>
      </c>
      <c r="N56" s="21" t="n">
        <f aca="false">-CUMIPMT(Rm,LoanYears*12,J56,1,E56*12,0)</f>
        <v>1.44295178669745</v>
      </c>
      <c r="O56" s="21" t="n">
        <f aca="false">J56*(1+Rm)^(E56*12)-(J56*Rm/(1-(1+Rm)^(-LoanYears*12)))*((1+Rm)^(E56*12)-1)/Rm</f>
        <v>3.15135836846326</v>
      </c>
      <c r="P56" s="29" t="n">
        <f aca="false">SUMIFS(Sch_Total,Sch_Idx,A56,Sch_Scen,C56,Sch_Year,"&lt;="&amp;E56)</f>
        <v>0.532131195518948</v>
      </c>
      <c r="Q56" s="21" t="n">
        <f aca="false">H56+I56+M56</f>
        <v>0.961621632238441</v>
      </c>
      <c r="R56" s="21" t="n">
        <f aca="false">L56-G56-Q56</f>
        <v>3.155473463663</v>
      </c>
      <c r="S56" s="21" t="n">
        <f aca="false">MAX(0,IF(F56&gt;=2,IF(L56&gt;Exempt,R56*(L56-Exempt)/L56,0),R56))</f>
        <v>1.50318370331165</v>
      </c>
      <c r="T56" s="10" t="n">
        <f aca="false">IF(F56&gt;=2,MIN(MaxDed,MIN(0.4,HoldRate*E56)+MIN(0.4,LiveRate*F56)),IF(E56&gt;=3,MIN(0.3,0.02*E56),0))</f>
        <v>0.8</v>
      </c>
      <c r="U56" s="21" t="n">
        <f aca="false">S56*(1-T56)</f>
        <v>0.30063674066233</v>
      </c>
      <c r="V56" s="21" t="n">
        <f aca="false">MAX(0,U56-InitDed)</f>
        <v>0.27563674066233</v>
      </c>
      <c r="W56" s="29" t="n">
        <f aca="false">SUMPRODUCT((V56&gt;CLo)*(V56-CLo)*CD)*(1+LocalTax)</f>
        <v>0.0316200622092845</v>
      </c>
      <c r="X56" s="21" t="n">
        <f aca="false">H56+P56+W56</f>
        <v>1.18415125772823</v>
      </c>
      <c r="Y56" s="29" t="n">
        <f aca="false">(L56-G56)-H56-I56-M56-N56-P56-W56</f>
        <v>1.14877041923731</v>
      </c>
      <c r="Z56" s="10" t="n">
        <f aca="false">Y56/K56</f>
        <v>0.0737092477226614</v>
      </c>
      <c r="AA56" s="10" t="n">
        <f aca="false">IF(1+Z56&gt;0,(1+Z56)^(1/E56)-1,-1)</f>
        <v>0.00713727382830687</v>
      </c>
      <c r="AB56" s="21" t="n">
        <f aca="false">L56-O56-M56-W56</f>
        <v>19.5576550329905</v>
      </c>
      <c r="AC56" s="24" t="n">
        <f aca="false">AB56/K56</f>
        <v>1.25488958939083</v>
      </c>
      <c r="AD56" s="21" t="n">
        <f aca="false">K56*((1+DepRate*(1-DepTax))^E56-1)</f>
        <v>4.43924811841913</v>
      </c>
      <c r="AE56" s="21" t="n">
        <f aca="false">Y56-AD56</f>
        <v>-3.29047769918182</v>
      </c>
    </row>
    <row r="57" customFormat="false" ht="15" hidden="false" customHeight="false" outlineLevel="0" collapsed="false">
      <c r="A57" s="20" t="n">
        <v>5</v>
      </c>
      <c r="B57" s="18" t="str">
        <f aca="false">INDEX(C_Name,A57)</f>
        <v>신길 래미안에스티움 84㎡</v>
      </c>
      <c r="C57" s="20" t="n">
        <v>2</v>
      </c>
      <c r="D57" s="10" t="n">
        <f aca="false">CHOOSE(C57,GrowLo,GrowMid,GrowHi)</f>
        <v>0.04</v>
      </c>
      <c r="E57" s="20" t="n">
        <v>3</v>
      </c>
      <c r="F57" s="20" t="n">
        <f aca="false">MAX(0,E57-NonRes)</f>
        <v>3</v>
      </c>
      <c r="G57" s="18" t="n">
        <f aca="false">INDEX(C_Price,A57)</f>
        <v>18.8</v>
      </c>
      <c r="H57" s="18" t="n">
        <f aca="false">INDEX(C_Acq,A57)</f>
        <v>0.6204</v>
      </c>
      <c r="I57" s="18" t="n">
        <f aca="false">INDEX(C_Fee,A57)</f>
        <v>0.16476</v>
      </c>
      <c r="J57" s="18" t="n">
        <f aca="false">INDEX(C_Loan,A57)</f>
        <v>4</v>
      </c>
      <c r="K57" s="21" t="n">
        <f aca="false">G57-J57+H57+I57</f>
        <v>15.58516</v>
      </c>
      <c r="L57" s="21" t="n">
        <f aca="false">G57*(1+D57)^E57</f>
        <v>21.1474432</v>
      </c>
      <c r="M57" s="21" t="n">
        <f aca="false">L57*LOOKUP(L57,FeeLo,FeeR)*(1+VAT)</f>
        <v>0.16283531264</v>
      </c>
      <c r="N57" s="21" t="n">
        <f aca="false">-CUMIPMT(Rm,LoanYears*12,J57,1,E57*12,0)</f>
        <v>0.467427048612969</v>
      </c>
      <c r="O57" s="21" t="n">
        <f aca="false">J57*(1+Rm)^(E57*12)-(J57*Rm/(1-(1+Rm)^(-LoanYears*12)))*((1+Rm)^(E57*12)-1)/Rm</f>
        <v>3.77994902314271</v>
      </c>
      <c r="P57" s="29" t="n">
        <f aca="false">SUMIFS(Sch_Total,Sch_Idx,A57,Sch_Scen,C57,Sch_Year,"&lt;="&amp;E57)</f>
        <v>0.144131652864</v>
      </c>
      <c r="Q57" s="21" t="n">
        <f aca="false">H57+I57+M57</f>
        <v>0.94799531264</v>
      </c>
      <c r="R57" s="21" t="n">
        <f aca="false">L57-G57-Q57</f>
        <v>1.39944788736</v>
      </c>
      <c r="S57" s="21" t="n">
        <f aca="false">MAX(0,IF(F57&gt;=2,IF(L57&gt;Exempt,R57*(L57-Exempt)/L57,0),R57))</f>
        <v>0.605338902671014</v>
      </c>
      <c r="T57" s="10" t="n">
        <f aca="false">IF(F57&gt;=2,MIN(MaxDed,MIN(0.4,HoldRate*E57)+MIN(0.4,LiveRate*F57)),IF(E57&gt;=3,MIN(0.3,0.02*E57),0))</f>
        <v>0.24</v>
      </c>
      <c r="U57" s="21" t="n">
        <f aca="false">S57*(1-T57)</f>
        <v>0.460057566029971</v>
      </c>
      <c r="V57" s="21" t="n">
        <f aca="false">MAX(0,U57-InitDed)</f>
        <v>0.435057566029971</v>
      </c>
      <c r="W57" s="29" t="n">
        <f aca="false">SUMPRODUCT((V57&gt;CLo)*(V57-CLo)*CD)*(1+LocalTax)</f>
        <v>0.0579244983949452</v>
      </c>
      <c r="X57" s="21" t="n">
        <f aca="false">H57+P57+W57</f>
        <v>0.822456151258945</v>
      </c>
      <c r="Y57" s="29" t="n">
        <f aca="false">(L57-G57)-H57-I57-M57-N57-P57-W57</f>
        <v>0.729964687488087</v>
      </c>
      <c r="Z57" s="10" t="n">
        <f aca="false">Y57/K57</f>
        <v>0.0468371635253079</v>
      </c>
      <c r="AA57" s="10" t="n">
        <f aca="false">IF(1+Z57&gt;0,(1+Z57)^(1/E57)-1,-1)</f>
        <v>0.0153747921551344</v>
      </c>
      <c r="AB57" s="21" t="n">
        <f aca="false">L57-O57-M57-W57</f>
        <v>17.1467343658223</v>
      </c>
      <c r="AC57" s="24" t="n">
        <f aca="false">AB57/K57</f>
        <v>1.10019623576674</v>
      </c>
      <c r="AD57" s="21" t="n">
        <f aca="false">K57*((1+DepRate*(1-DepTax))^E57-1)</f>
        <v>1.21702615520528</v>
      </c>
      <c r="AE57" s="21" t="n">
        <f aca="false">Y57-AD57</f>
        <v>-0.487061467717195</v>
      </c>
    </row>
    <row r="58" customFormat="false" ht="15" hidden="false" customHeight="false" outlineLevel="0" collapsed="false">
      <c r="A58" s="20" t="n">
        <v>5</v>
      </c>
      <c r="B58" s="18" t="str">
        <f aca="false">INDEX(C_Name,A58)</f>
        <v>신길 래미안에스티움 84㎡</v>
      </c>
      <c r="C58" s="20" t="n">
        <v>2</v>
      </c>
      <c r="D58" s="10" t="n">
        <f aca="false">CHOOSE(C58,GrowLo,GrowMid,GrowHi)</f>
        <v>0.04</v>
      </c>
      <c r="E58" s="20" t="n">
        <v>5</v>
      </c>
      <c r="F58" s="20" t="n">
        <f aca="false">MAX(0,E58-NonRes)</f>
        <v>5</v>
      </c>
      <c r="G58" s="18" t="n">
        <f aca="false">INDEX(C_Price,A58)</f>
        <v>18.8</v>
      </c>
      <c r="H58" s="18" t="n">
        <f aca="false">INDEX(C_Acq,A58)</f>
        <v>0.6204</v>
      </c>
      <c r="I58" s="18" t="n">
        <f aca="false">INDEX(C_Fee,A58)</f>
        <v>0.16476</v>
      </c>
      <c r="J58" s="18" t="n">
        <f aca="false">INDEX(C_Loan,A58)</f>
        <v>4</v>
      </c>
      <c r="K58" s="21" t="n">
        <f aca="false">G58-J58+H58+I58</f>
        <v>15.58516</v>
      </c>
      <c r="L58" s="21" t="n">
        <f aca="false">G58*(1+D58)^E58</f>
        <v>22.87307456512</v>
      </c>
      <c r="M58" s="21" t="n">
        <f aca="false">L58*LOOKUP(L58,FeeLo,FeeR)*(1+VAT)</f>
        <v>0.176122674151424</v>
      </c>
      <c r="N58" s="21" t="n">
        <f aca="false">-CUMIPMT(Rm,LoanYears*12,J58,1,E58*12,0)</f>
        <v>0.76369723456074</v>
      </c>
      <c r="O58" s="21" t="n">
        <f aca="false">J58*(1+Rm)^(E58*12)-(J58*Rm/(1-(1+Rm)^(-LoanYears*12)))*((1+Rm)^(E58*12)-1)/Rm</f>
        <v>3.61790052544364</v>
      </c>
      <c r="P58" s="29" t="n">
        <f aca="false">SUMIFS(Sch_Total,Sch_Idx,A58,Sch_Scen,C58,Sch_Year,"&lt;="&amp;E58)</f>
        <v>0.260507125337702</v>
      </c>
      <c r="Q58" s="21" t="n">
        <f aca="false">H58+I58+M58</f>
        <v>0.961282674151424</v>
      </c>
      <c r="R58" s="21" t="n">
        <f aca="false">L58-G58-Q58</f>
        <v>3.11179189096858</v>
      </c>
      <c r="S58" s="21" t="n">
        <f aca="false">MAX(0,IF(F58&gt;=2,IF(L58&gt;Exempt,R58*(L58-Exempt)/L58,0),R58))</f>
        <v>1.47923905749133</v>
      </c>
      <c r="T58" s="10" t="n">
        <f aca="false">IF(F58&gt;=2,MIN(MaxDed,MIN(0.4,HoldRate*E58)+MIN(0.4,LiveRate*F58)),IF(E58&gt;=3,MIN(0.3,0.02*E58),0))</f>
        <v>0.4</v>
      </c>
      <c r="U58" s="21" t="n">
        <f aca="false">S58*(1-T58)</f>
        <v>0.887543434494801</v>
      </c>
      <c r="V58" s="21" t="n">
        <f aca="false">MAX(0,U58-InitDed)</f>
        <v>0.862543434494801</v>
      </c>
      <c r="W58" s="29" t="n">
        <f aca="false">SUMPRODUCT((V58&gt;CLo)*(V58-CLo)*CD)*(1+LocalTax)</f>
        <v>0.164351466706627</v>
      </c>
      <c r="X58" s="21" t="n">
        <f aca="false">H58+P58+W58</f>
        <v>1.04525859204433</v>
      </c>
      <c r="Y58" s="29" t="n">
        <f aca="false">(L58-G58)-H58-I58-M58-N58-P58-W58</f>
        <v>1.92323606436351</v>
      </c>
      <c r="Z58" s="10" t="n">
        <f aca="false">Y58/K58</f>
        <v>0.123401752972925</v>
      </c>
      <c r="AA58" s="10" t="n">
        <f aca="false">IF(1+Z58&gt;0,(1+Z58)^(1/E58)-1,-1)</f>
        <v>0.0235451846200294</v>
      </c>
      <c r="AB58" s="21" t="n">
        <f aca="false">L58-O58-M58-W58</f>
        <v>18.9146998988183</v>
      </c>
      <c r="AC58" s="24" t="n">
        <f aca="false">AB58/K58</f>
        <v>1.21363527219601</v>
      </c>
      <c r="AD58" s="21" t="n">
        <f aca="false">K58*((1+DepRate*(1-DepTax))^E58-1)</f>
        <v>2.08072815856313</v>
      </c>
      <c r="AE58" s="21" t="n">
        <f aca="false">Y58-AD58</f>
        <v>-0.157492094199626</v>
      </c>
    </row>
    <row r="59" customFormat="false" ht="15" hidden="false" customHeight="false" outlineLevel="0" collapsed="false">
      <c r="A59" s="20" t="n">
        <v>5</v>
      </c>
      <c r="B59" s="18" t="str">
        <f aca="false">INDEX(C_Name,A59)</f>
        <v>신길 래미안에스티움 84㎡</v>
      </c>
      <c r="C59" s="20" t="n">
        <v>2</v>
      </c>
      <c r="D59" s="10" t="n">
        <f aca="false">CHOOSE(C59,GrowLo,GrowMid,GrowHi)</f>
        <v>0.04</v>
      </c>
      <c r="E59" s="20" t="n">
        <v>7</v>
      </c>
      <c r="F59" s="20" t="n">
        <f aca="false">MAX(0,E59-NonRes)</f>
        <v>7</v>
      </c>
      <c r="G59" s="18" t="n">
        <f aca="false">INDEX(C_Price,A59)</f>
        <v>18.8</v>
      </c>
      <c r="H59" s="18" t="n">
        <f aca="false">INDEX(C_Acq,A59)</f>
        <v>0.6204</v>
      </c>
      <c r="I59" s="18" t="n">
        <f aca="false">INDEX(C_Fee,A59)</f>
        <v>0.16476</v>
      </c>
      <c r="J59" s="18" t="n">
        <f aca="false">INDEX(C_Loan,A59)</f>
        <v>4</v>
      </c>
      <c r="K59" s="21" t="n">
        <f aca="false">G59-J59+H59+I59</f>
        <v>15.58516</v>
      </c>
      <c r="L59" s="21" t="n">
        <f aca="false">G59*(1+D59)^E59</f>
        <v>24.7395174496338</v>
      </c>
      <c r="M59" s="21" t="n">
        <f aca="false">L59*LOOKUP(L59,FeeLo,FeeR)*(1+VAT)</f>
        <v>0.19049428436218</v>
      </c>
      <c r="N59" s="21" t="n">
        <f aca="false">-CUMIPMT(Rm,LoanYears*12,J59,1,E59*12,0)</f>
        <v>1.04649422888253</v>
      </c>
      <c r="O59" s="21" t="n">
        <f aca="false">J59*(1+Rm)^(E59*12)-(J59*Rm/(1-(1+Rm)^(-LoanYears*12)))*((1+Rm)^(E59*12)-1)/Rm</f>
        <v>3.4423788361186</v>
      </c>
      <c r="P59" s="29" t="n">
        <f aca="false">SUMIFS(Sch_Total,Sch_Idx,A59,Sch_Scen,C59,Sch_Year,"&lt;="&amp;E59)</f>
        <v>0.394662868365259</v>
      </c>
      <c r="Q59" s="21" t="n">
        <f aca="false">H59+I59+M59</f>
        <v>0.97565428436218</v>
      </c>
      <c r="R59" s="21" t="n">
        <f aca="false">L59-G59-Q59</f>
        <v>4.96386316527162</v>
      </c>
      <c r="S59" s="21" t="n">
        <f aca="false">MAX(0,IF(F59&gt;=2,IF(L59&gt;Exempt,R59*(L59-Exempt)/L59,0),R59))</f>
        <v>2.55612186213067</v>
      </c>
      <c r="T59" s="10" t="n">
        <f aca="false">IF(F59&gt;=2,MIN(MaxDed,MIN(0.4,HoldRate*E59)+MIN(0.4,LiveRate*F59)),IF(E59&gt;=3,MIN(0.3,0.02*E59),0))</f>
        <v>0.56</v>
      </c>
      <c r="U59" s="21" t="n">
        <f aca="false">S59*(1-T59)</f>
        <v>1.1246936193375</v>
      </c>
      <c r="V59" s="21" t="n">
        <f aca="false">MAX(0,U59-InitDed)</f>
        <v>1.0996936193375</v>
      </c>
      <c r="W59" s="29" t="n">
        <f aca="false">SUMPRODUCT((V59&gt;CLo)*(V59-CLo)*CD)*(1+LocalTax)</f>
        <v>0.253542043444936</v>
      </c>
      <c r="X59" s="21" t="n">
        <f aca="false">H59+P59+W59</f>
        <v>1.2686049118102</v>
      </c>
      <c r="Y59" s="29" t="n">
        <f aca="false">(L59-G59)-H59-I59-M59-N59-P59-W59</f>
        <v>3.26916402457889</v>
      </c>
      <c r="Z59" s="10" t="n">
        <f aca="false">Y59/K59</f>
        <v>0.20976133864387</v>
      </c>
      <c r="AA59" s="10" t="n">
        <f aca="false">IF(1+Z59&gt;0,(1+Z59)^(1/E59)-1,-1)</f>
        <v>0.0275766877768708</v>
      </c>
      <c r="AB59" s="21" t="n">
        <f aca="false">L59-O59-M59-W59</f>
        <v>20.8531022857081</v>
      </c>
      <c r="AC59" s="24" t="n">
        <f aca="false">AB59/K59</f>
        <v>1.33801015104805</v>
      </c>
      <c r="AD59" s="21" t="n">
        <f aca="false">K59*((1+DepRate*(1-DepTax))^E59-1)</f>
        <v>2.98882802442016</v>
      </c>
      <c r="AE59" s="21" t="n">
        <f aca="false">Y59-AD59</f>
        <v>0.280336000158731</v>
      </c>
    </row>
    <row r="60" customFormat="false" ht="15" hidden="false" customHeight="false" outlineLevel="0" collapsed="false">
      <c r="A60" s="20" t="n">
        <v>5</v>
      </c>
      <c r="B60" s="18" t="str">
        <f aca="false">INDEX(C_Name,A60)</f>
        <v>신길 래미안에스티움 84㎡</v>
      </c>
      <c r="C60" s="20" t="n">
        <v>2</v>
      </c>
      <c r="D60" s="10" t="n">
        <f aca="false">CHOOSE(C60,GrowLo,GrowMid,GrowHi)</f>
        <v>0.04</v>
      </c>
      <c r="E60" s="20" t="n">
        <v>10</v>
      </c>
      <c r="F60" s="20" t="n">
        <f aca="false">MAX(0,E60-NonRes)</f>
        <v>10</v>
      </c>
      <c r="G60" s="18" t="n">
        <f aca="false">INDEX(C_Price,A60)</f>
        <v>18.8</v>
      </c>
      <c r="H60" s="18" t="n">
        <f aca="false">INDEX(C_Acq,A60)</f>
        <v>0.6204</v>
      </c>
      <c r="I60" s="18" t="n">
        <f aca="false">INDEX(C_Fee,A60)</f>
        <v>0.16476</v>
      </c>
      <c r="J60" s="18" t="n">
        <f aca="false">INDEX(C_Loan,A60)</f>
        <v>4</v>
      </c>
      <c r="K60" s="21" t="n">
        <f aca="false">G60-J60+H60+I60</f>
        <v>15.58516</v>
      </c>
      <c r="L60" s="21" t="n">
        <f aca="false">G60*(1+D60)^E60</f>
        <v>27.8285925564649</v>
      </c>
      <c r="M60" s="21" t="n">
        <f aca="false">L60*LOOKUP(L60,FeeLo,FeeR)*(1+VAT)</f>
        <v>0.21428016268478</v>
      </c>
      <c r="N60" s="21" t="n">
        <f aca="false">-CUMIPMT(Rm,LoanYears*12,J60,1,E60*12,0)</f>
        <v>1.44295178669745</v>
      </c>
      <c r="O60" s="21" t="n">
        <f aca="false">J60*(1+Rm)^(E60*12)-(J60*Rm/(1-(1+Rm)^(-LoanYears*12)))*((1+Rm)^(E60*12)-1)/Rm</f>
        <v>3.15135836846326</v>
      </c>
      <c r="P60" s="29" t="n">
        <f aca="false">SUMIFS(Sch_Total,Sch_Idx,A60,Sch_Scen,C60,Sch_Year,"&lt;="&amp;E60)</f>
        <v>0.635733007758503</v>
      </c>
      <c r="Q60" s="21" t="n">
        <f aca="false">H60+I60+M60</f>
        <v>0.99944016268478</v>
      </c>
      <c r="R60" s="21" t="n">
        <f aca="false">L60-G60-Q60</f>
        <v>8.0291523937801</v>
      </c>
      <c r="S60" s="21" t="n">
        <f aca="false">MAX(0,IF(F60&gt;=2,IF(L60&gt;Exempt,R60*(L60-Exempt)/L60,0),R60))</f>
        <v>4.56689218317602</v>
      </c>
      <c r="T60" s="10" t="n">
        <f aca="false">IF(F60&gt;=2,MIN(MaxDed,MIN(0.4,HoldRate*E60)+MIN(0.4,LiveRate*F60)),IF(E60&gt;=3,MIN(0.3,0.02*E60),0))</f>
        <v>0.8</v>
      </c>
      <c r="U60" s="21" t="n">
        <f aca="false">S60*(1-T60)</f>
        <v>0.913378436635204</v>
      </c>
      <c r="V60" s="21" t="n">
        <f aca="false">MAX(0,U60-InitDed)</f>
        <v>0.888378436635203</v>
      </c>
      <c r="W60" s="29" t="n">
        <f aca="false">SUMPRODUCT((V60&gt;CLo)*(V60-CLo)*CD)*(1+LocalTax)</f>
        <v>0.172185698104553</v>
      </c>
      <c r="X60" s="21" t="n">
        <f aca="false">H60+P60+W60</f>
        <v>1.42831870586306</v>
      </c>
      <c r="Y60" s="29" t="n">
        <f aca="false">(L60-G60)-H60-I60-M60-N60-P60-W60</f>
        <v>5.77828190121959</v>
      </c>
      <c r="Z60" s="10" t="n">
        <f aca="false">Y60/K60</f>
        <v>0.370755378912991</v>
      </c>
      <c r="AA60" s="10" t="n">
        <f aca="false">IF(1+Z60&gt;0,(1+Z60)^(1/E60)-1,-1)</f>
        <v>0.0320387305274303</v>
      </c>
      <c r="AB60" s="21" t="n">
        <f aca="false">L60-O60-M60-W60</f>
        <v>24.2907683272123</v>
      </c>
      <c r="AC60" s="24" t="n">
        <f aca="false">AB60/K60</f>
        <v>1.55858318600594</v>
      </c>
      <c r="AD60" s="21" t="n">
        <f aca="false">K60*((1+DepRate*(1-DepTax))^E60-1)</f>
        <v>4.43924811841913</v>
      </c>
      <c r="AE60" s="21" t="n">
        <f aca="false">Y60-AD60</f>
        <v>1.33903378280046</v>
      </c>
    </row>
    <row r="61" customFormat="false" ht="15" hidden="false" customHeight="false" outlineLevel="0" collapsed="false">
      <c r="A61" s="20" t="n">
        <v>5</v>
      </c>
      <c r="B61" s="18" t="str">
        <f aca="false">INDEX(C_Name,A61)</f>
        <v>신길 래미안에스티움 84㎡</v>
      </c>
      <c r="C61" s="20" t="n">
        <v>3</v>
      </c>
      <c r="D61" s="10" t="n">
        <f aca="false">CHOOSE(C61,GrowLo,GrowMid,GrowHi)</f>
        <v>0.06</v>
      </c>
      <c r="E61" s="20" t="n">
        <v>3</v>
      </c>
      <c r="F61" s="20" t="n">
        <f aca="false">MAX(0,E61-NonRes)</f>
        <v>3</v>
      </c>
      <c r="G61" s="18" t="n">
        <f aca="false">INDEX(C_Price,A61)</f>
        <v>18.8</v>
      </c>
      <c r="H61" s="18" t="n">
        <f aca="false">INDEX(C_Acq,A61)</f>
        <v>0.6204</v>
      </c>
      <c r="I61" s="18" t="n">
        <f aca="false">INDEX(C_Fee,A61)</f>
        <v>0.16476</v>
      </c>
      <c r="J61" s="18" t="n">
        <f aca="false">INDEX(C_Loan,A61)</f>
        <v>4</v>
      </c>
      <c r="K61" s="21" t="n">
        <f aca="false">G61-J61+H61+I61</f>
        <v>15.58516</v>
      </c>
      <c r="L61" s="21" t="n">
        <f aca="false">G61*(1+D61)^E61</f>
        <v>22.3911008</v>
      </c>
      <c r="M61" s="21" t="n">
        <f aca="false">L61*LOOKUP(L61,FeeLo,FeeR)*(1+VAT)</f>
        <v>0.17241147616</v>
      </c>
      <c r="N61" s="21" t="n">
        <f aca="false">-CUMIPMT(Rm,LoanYears*12,J61,1,E61*12,0)</f>
        <v>0.467427048612969</v>
      </c>
      <c r="O61" s="21" t="n">
        <f aca="false">J61*(1+Rm)^(E61*12)-(J61*Rm/(1-(1+Rm)^(-LoanYears*12)))*((1+Rm)^(E61*12)-1)/Rm</f>
        <v>3.77994902314271</v>
      </c>
      <c r="P61" s="29" t="n">
        <f aca="false">SUMIFS(Sch_Total,Sch_Idx,A61,Sch_Scen,C61,Sch_Year,"&lt;="&amp;E61)</f>
        <v>0.150018865344</v>
      </c>
      <c r="Q61" s="21" t="n">
        <f aca="false">H61+I61+M61</f>
        <v>0.95757147616</v>
      </c>
      <c r="R61" s="21" t="n">
        <f aca="false">L61-G61-Q61</f>
        <v>2.63352932384</v>
      </c>
      <c r="S61" s="21" t="n">
        <f aca="false">MAX(0,IF(F61&gt;=2,IF(L61&gt;Exempt,R61*(L61-Exempt)/L61,0),R61))</f>
        <v>1.22214932209931</v>
      </c>
      <c r="T61" s="10" t="n">
        <f aca="false">IF(F61&gt;=2,MIN(MaxDed,MIN(0.4,HoldRate*E61)+MIN(0.4,LiveRate*F61)),IF(E61&gt;=3,MIN(0.3,0.02*E61),0))</f>
        <v>0.24</v>
      </c>
      <c r="U61" s="21" t="n">
        <f aca="false">S61*(1-T61)</f>
        <v>0.928833484795476</v>
      </c>
      <c r="V61" s="21" t="n">
        <f aca="false">MAX(0,U61-InitDed)</f>
        <v>0.903833484795476</v>
      </c>
      <c r="W61" s="29" t="n">
        <f aca="false">SUMPRODUCT((V61&gt;CLo)*(V61-CLo)*CD)*(1+LocalTax)</f>
        <v>0.178135891646258</v>
      </c>
      <c r="X61" s="21" t="n">
        <f aca="false">H61+P61+W61</f>
        <v>0.948554756990258</v>
      </c>
      <c r="Y61" s="29" t="n">
        <f aca="false">(L61-G61)-H61-I61-M61-N61-P61-W61</f>
        <v>1.83794751823678</v>
      </c>
      <c r="Z61" s="10" t="n">
        <f aca="false">Y61/K61</f>
        <v>0.117929332662403</v>
      </c>
      <c r="AA61" s="10" t="n">
        <f aca="false">IF(1+Z61&gt;0,(1+Z61)^(1/E61)-1,-1)</f>
        <v>0.0378584298438751</v>
      </c>
      <c r="AB61" s="21" t="n">
        <f aca="false">L61-O61-M61-W61</f>
        <v>18.260604409051</v>
      </c>
      <c r="AC61" s="24" t="n">
        <f aca="false">AB61/K61</f>
        <v>1.17166614966103</v>
      </c>
      <c r="AD61" s="21" t="n">
        <f aca="false">K61*((1+DepRate*(1-DepTax))^E61-1)</f>
        <v>1.21702615520528</v>
      </c>
      <c r="AE61" s="21" t="n">
        <f aca="false">Y61-AD61</f>
        <v>0.620921363031495</v>
      </c>
    </row>
    <row r="62" customFormat="false" ht="15" hidden="false" customHeight="false" outlineLevel="0" collapsed="false">
      <c r="A62" s="20" t="n">
        <v>5</v>
      </c>
      <c r="B62" s="18" t="str">
        <f aca="false">INDEX(C_Name,A62)</f>
        <v>신길 래미안에스티움 84㎡</v>
      </c>
      <c r="C62" s="20" t="n">
        <v>3</v>
      </c>
      <c r="D62" s="10" t="n">
        <f aca="false">CHOOSE(C62,GrowLo,GrowMid,GrowHi)</f>
        <v>0.06</v>
      </c>
      <c r="E62" s="20" t="n">
        <v>5</v>
      </c>
      <c r="F62" s="20" t="n">
        <f aca="false">MAX(0,E62-NonRes)</f>
        <v>5</v>
      </c>
      <c r="G62" s="18" t="n">
        <f aca="false">INDEX(C_Price,A62)</f>
        <v>18.8</v>
      </c>
      <c r="H62" s="18" t="n">
        <f aca="false">INDEX(C_Acq,A62)</f>
        <v>0.6204</v>
      </c>
      <c r="I62" s="18" t="n">
        <f aca="false">INDEX(C_Fee,A62)</f>
        <v>0.16476</v>
      </c>
      <c r="J62" s="18" t="n">
        <f aca="false">INDEX(C_Loan,A62)</f>
        <v>4</v>
      </c>
      <c r="K62" s="21" t="n">
        <f aca="false">G62-J62+H62+I62</f>
        <v>15.58516</v>
      </c>
      <c r="L62" s="21" t="n">
        <f aca="false">G62*(1+D62)^E62</f>
        <v>25.15864085888</v>
      </c>
      <c r="M62" s="21" t="n">
        <f aca="false">L62*LOOKUP(L62,FeeLo,FeeR)*(1+VAT)</f>
        <v>0.193721534613376</v>
      </c>
      <c r="N62" s="21" t="n">
        <f aca="false">-CUMIPMT(Rm,LoanYears*12,J62,1,E62*12,0)</f>
        <v>0.76369723456074</v>
      </c>
      <c r="O62" s="21" t="n">
        <f aca="false">J62*(1+Rm)^(E62*12)-(J62*Rm/(1-(1+Rm)^(-LoanYears*12)))*((1+Rm)^(E62*12)-1)/Rm</f>
        <v>3.61790052544364</v>
      </c>
      <c r="P62" s="29" t="n">
        <f aca="false">SUMIFS(Sch_Total,Sch_Idx,A62,Sch_Scen,C62,Sch_Year,"&lt;="&amp;E62)</f>
        <v>0.281470387500518</v>
      </c>
      <c r="Q62" s="21" t="n">
        <f aca="false">H62+I62+M62</f>
        <v>0.978881534613376</v>
      </c>
      <c r="R62" s="21" t="n">
        <f aca="false">L62-G62-Q62</f>
        <v>5.37975932426663</v>
      </c>
      <c r="S62" s="21" t="n">
        <f aca="false">MAX(0,IF(F62&gt;=2,IF(L62&gt;Exempt,R62*(L62-Exempt)/L62,0),R62))</f>
        <v>2.81375775632368</v>
      </c>
      <c r="T62" s="10" t="n">
        <f aca="false">IF(F62&gt;=2,MIN(MaxDed,MIN(0.4,HoldRate*E62)+MIN(0.4,LiveRate*F62)),IF(E62&gt;=3,MIN(0.3,0.02*E62),0))</f>
        <v>0.4</v>
      </c>
      <c r="U62" s="21" t="n">
        <f aca="false">S62*(1-T62)</f>
        <v>1.68825465379421</v>
      </c>
      <c r="V62" s="21" t="n">
        <f aca="false">MAX(0,U62-InitDed)</f>
        <v>1.66325465379421</v>
      </c>
      <c r="W62" s="29" t="n">
        <f aca="false">SUMPRODUCT((V62&gt;CLo)*(V62-CLo)*CD)*(1+LocalTax)</f>
        <v>0.47590044528598</v>
      </c>
      <c r="X62" s="21" t="n">
        <f aca="false">H62+P62+W62</f>
        <v>1.3777708327865</v>
      </c>
      <c r="Y62" s="29" t="n">
        <f aca="false">(L62-G62)-H62-I62-M62-N62-P62-W62</f>
        <v>3.85869125691939</v>
      </c>
      <c r="Z62" s="10" t="n">
        <f aca="false">Y62/K62</f>
        <v>0.247587529221348</v>
      </c>
      <c r="AA62" s="10" t="n">
        <f aca="false">IF(1+Z62&gt;0,(1+Z62)^(1/E62)-1,-1)</f>
        <v>0.0452356286668005</v>
      </c>
      <c r="AB62" s="21" t="n">
        <f aca="false">L62-O62-M62-W62</f>
        <v>20.871118353537</v>
      </c>
      <c r="AC62" s="24" t="n">
        <f aca="false">AB62/K62</f>
        <v>1.33916612684997</v>
      </c>
      <c r="AD62" s="21" t="n">
        <f aca="false">K62*((1+DepRate*(1-DepTax))^E62-1)</f>
        <v>2.08072815856313</v>
      </c>
      <c r="AE62" s="21" t="n">
        <f aca="false">Y62-AD62</f>
        <v>1.77796309835626</v>
      </c>
    </row>
    <row r="63" customFormat="false" ht="15" hidden="false" customHeight="false" outlineLevel="0" collapsed="false">
      <c r="A63" s="20" t="n">
        <v>5</v>
      </c>
      <c r="B63" s="18" t="str">
        <f aca="false">INDEX(C_Name,A63)</f>
        <v>신길 래미안에스티움 84㎡</v>
      </c>
      <c r="C63" s="20" t="n">
        <v>3</v>
      </c>
      <c r="D63" s="10" t="n">
        <f aca="false">CHOOSE(C63,GrowLo,GrowMid,GrowHi)</f>
        <v>0.06</v>
      </c>
      <c r="E63" s="20" t="n">
        <v>7</v>
      </c>
      <c r="F63" s="20" t="n">
        <f aca="false">MAX(0,E63-NonRes)</f>
        <v>7</v>
      </c>
      <c r="G63" s="18" t="n">
        <f aca="false">INDEX(C_Price,A63)</f>
        <v>18.8</v>
      </c>
      <c r="H63" s="18" t="n">
        <f aca="false">INDEX(C_Acq,A63)</f>
        <v>0.6204</v>
      </c>
      <c r="I63" s="18" t="n">
        <f aca="false">INDEX(C_Fee,A63)</f>
        <v>0.16476</v>
      </c>
      <c r="J63" s="18" t="n">
        <f aca="false">INDEX(C_Loan,A63)</f>
        <v>4</v>
      </c>
      <c r="K63" s="21" t="n">
        <f aca="false">G63-J63+H63+I63</f>
        <v>15.58516</v>
      </c>
      <c r="L63" s="21" t="n">
        <f aca="false">G63*(1+D63)^E63</f>
        <v>28.2682488690376</v>
      </c>
      <c r="M63" s="21" t="n">
        <f aca="false">L63*LOOKUP(L63,FeeLo,FeeR)*(1+VAT)</f>
        <v>0.217665516291589</v>
      </c>
      <c r="N63" s="21" t="n">
        <f aca="false">-CUMIPMT(Rm,LoanYears*12,J63,1,E63*12,0)</f>
        <v>1.04649422888253</v>
      </c>
      <c r="O63" s="21" t="n">
        <f aca="false">J63*(1+Rm)^(E63*12)-(J63*Rm/(1-(1+Rm)^(-LoanYears*12)))*((1+Rm)^(E63*12)-1)/Rm</f>
        <v>3.4423788361186</v>
      </c>
      <c r="P63" s="29" t="n">
        <f aca="false">SUMIFS(Sch_Total,Sch_Idx,A63,Sch_Scen,C63,Sch_Year,"&lt;="&amp;E63)</f>
        <v>0.444252298443792</v>
      </c>
      <c r="Q63" s="21" t="n">
        <f aca="false">H63+I63+M63</f>
        <v>1.00282551629159</v>
      </c>
      <c r="R63" s="21" t="n">
        <f aca="false">L63-G63-Q63</f>
        <v>8.46542335274599</v>
      </c>
      <c r="S63" s="21" t="n">
        <f aca="false">MAX(0,IF(F63&gt;=2,IF(L63&gt;Exempt,R63*(L63-Exempt)/L63,0),R63))</f>
        <v>4.87181270131937</v>
      </c>
      <c r="T63" s="10" t="n">
        <f aca="false">IF(F63&gt;=2,MIN(MaxDed,MIN(0.4,HoldRate*E63)+MIN(0.4,LiveRate*F63)),IF(E63&gt;=3,MIN(0.3,0.02*E63),0))</f>
        <v>0.56</v>
      </c>
      <c r="U63" s="21" t="n">
        <f aca="false">S63*(1-T63)</f>
        <v>2.14359758858052</v>
      </c>
      <c r="V63" s="21" t="n">
        <f aca="false">MAX(0,U63-InitDed)</f>
        <v>2.11859758858052</v>
      </c>
      <c r="W63" s="29" t="n">
        <f aca="false">SUMPRODUCT((V63&gt;CLo)*(V63-CLo)*CD)*(1+LocalTax)</f>
        <v>0.666233792026659</v>
      </c>
      <c r="X63" s="21" t="n">
        <f aca="false">H63+P63+W63</f>
        <v>1.73088609047045</v>
      </c>
      <c r="Y63" s="29" t="n">
        <f aca="false">(L63-G63)-H63-I63-M63-N63-P63-W63</f>
        <v>6.30844303339301</v>
      </c>
      <c r="Z63" s="10" t="n">
        <f aca="false">Y63/K63</f>
        <v>0.404772426679804</v>
      </c>
      <c r="AA63" s="10" t="n">
        <f aca="false">IF(1+Z63&gt;0,(1+Z63)^(1/E63)-1,-1)</f>
        <v>0.049751654362012</v>
      </c>
      <c r="AB63" s="21" t="n">
        <f aca="false">L63-O63-M63-W63</f>
        <v>23.9419707246007</v>
      </c>
      <c r="AC63" s="24" t="n">
        <f aca="false">AB63/K63</f>
        <v>1.53620307552831</v>
      </c>
      <c r="AD63" s="21" t="n">
        <f aca="false">K63*((1+DepRate*(1-DepTax))^E63-1)</f>
        <v>2.98882802442016</v>
      </c>
      <c r="AE63" s="21" t="n">
        <f aca="false">Y63-AD63</f>
        <v>3.31961500897285</v>
      </c>
    </row>
    <row r="64" customFormat="false" ht="15" hidden="false" customHeight="false" outlineLevel="0" collapsed="false">
      <c r="A64" s="20" t="n">
        <v>5</v>
      </c>
      <c r="B64" s="18" t="str">
        <f aca="false">INDEX(C_Name,A64)</f>
        <v>신길 래미안에스티움 84㎡</v>
      </c>
      <c r="C64" s="20" t="n">
        <v>3</v>
      </c>
      <c r="D64" s="10" t="n">
        <f aca="false">CHOOSE(C64,GrowLo,GrowMid,GrowHi)</f>
        <v>0.06</v>
      </c>
      <c r="E64" s="20" t="n">
        <v>10</v>
      </c>
      <c r="F64" s="20" t="n">
        <f aca="false">MAX(0,E64-NonRes)</f>
        <v>10</v>
      </c>
      <c r="G64" s="18" t="n">
        <f aca="false">INDEX(C_Price,A64)</f>
        <v>18.8</v>
      </c>
      <c r="H64" s="18" t="n">
        <f aca="false">INDEX(C_Acq,A64)</f>
        <v>0.6204</v>
      </c>
      <c r="I64" s="18" t="n">
        <f aca="false">INDEX(C_Fee,A64)</f>
        <v>0.16476</v>
      </c>
      <c r="J64" s="18" t="n">
        <f aca="false">INDEX(C_Loan,A64)</f>
        <v>4</v>
      </c>
      <c r="K64" s="21" t="n">
        <f aca="false">G64-J64+H64+I64</f>
        <v>15.58516</v>
      </c>
      <c r="L64" s="21" t="n">
        <f aca="false">G64*(1+D64)^E64</f>
        <v>33.6679366950057</v>
      </c>
      <c r="M64" s="21" t="n">
        <f aca="false">L64*LOOKUP(L64,FeeLo,FeeR)*(1+VAT)</f>
        <v>0.259243112551544</v>
      </c>
      <c r="N64" s="21" t="n">
        <f aca="false">-CUMIPMT(Rm,LoanYears*12,J64,1,E64*12,0)</f>
        <v>1.44295178669745</v>
      </c>
      <c r="O64" s="21" t="n">
        <f aca="false">J64*(1+Rm)^(E64*12)-(J64*Rm/(1-(1+Rm)^(-LoanYears*12)))*((1+Rm)^(E64*12)-1)/Rm</f>
        <v>3.15135836846326</v>
      </c>
      <c r="P64" s="29" t="n">
        <f aca="false">SUMIFS(Sch_Total,Sch_Idx,A64,Sch_Scen,C64,Sch_Year,"&lt;="&amp;E64)</f>
        <v>0.762496850031817</v>
      </c>
      <c r="Q64" s="21" t="n">
        <f aca="false">H64+I64+M64</f>
        <v>1.04440311255154</v>
      </c>
      <c r="R64" s="21" t="n">
        <f aca="false">L64-G64-Q64</f>
        <v>13.8235335824541</v>
      </c>
      <c r="S64" s="21" t="n">
        <f aca="false">MAX(0,IF(F64&gt;=2,IF(L64&gt;Exempt,R64*(L64-Exempt)/L64,0),R64))</f>
        <v>8.8965193584415</v>
      </c>
      <c r="T64" s="10" t="n">
        <f aca="false">IF(F64&gt;=2,MIN(MaxDed,MIN(0.4,HoldRate*E64)+MIN(0.4,LiveRate*F64)),IF(E64&gt;=3,MIN(0.3,0.02*E64),0))</f>
        <v>0.8</v>
      </c>
      <c r="U64" s="21" t="n">
        <f aca="false">S64*(1-T64)</f>
        <v>1.7793038716883</v>
      </c>
      <c r="V64" s="21" t="n">
        <f aca="false">MAX(0,U64-InitDed)</f>
        <v>1.7543038716883</v>
      </c>
      <c r="W64" s="29" t="n">
        <f aca="false">SUMPRODUCT((V64&gt;CLo)*(V64-CLo)*CD)*(1+LocalTax)</f>
        <v>0.513959018365709</v>
      </c>
      <c r="X64" s="21" t="n">
        <f aca="false">H64+P64+W64</f>
        <v>1.89685586839753</v>
      </c>
      <c r="Y64" s="29" t="n">
        <f aca="false">(L64-G64)-H64-I64-M64-N64-P64-W64</f>
        <v>11.1041259273591</v>
      </c>
      <c r="Z64" s="10" t="n">
        <f aca="false">Y64/K64</f>
        <v>0.712480714176765</v>
      </c>
      <c r="AA64" s="10" t="n">
        <f aca="false">IF(1+Z64&gt;0,(1+Z64)^(1/E64)-1,-1)</f>
        <v>0.0552675143925134</v>
      </c>
      <c r="AB64" s="21" t="n">
        <f aca="false">L64-O64-M64-W64</f>
        <v>29.7433761956252</v>
      </c>
      <c r="AC64" s="24" t="n">
        <f aca="false">AB64/K64</f>
        <v>1.90844214596611</v>
      </c>
      <c r="AD64" s="21" t="n">
        <f aca="false">K64*((1+DepRate*(1-DepTax))^E64-1)</f>
        <v>4.43924811841913</v>
      </c>
      <c r="AE64" s="21" t="n">
        <f aca="false">Y64-AD64</f>
        <v>6.66487780894002</v>
      </c>
    </row>
    <row r="65" customFormat="false" ht="15" hidden="false" customHeight="false" outlineLevel="0" collapsed="false">
      <c r="A65" s="20" t="n">
        <v>6</v>
      </c>
      <c r="B65" s="18" t="str">
        <f aca="false">INDEX(C_Name,A65)</f>
        <v>신길 보라매SK뷰 84.98㎡</v>
      </c>
      <c r="C65" s="20" t="n">
        <v>1</v>
      </c>
      <c r="D65" s="10" t="n">
        <f aca="false">CHOOSE(C65,GrowLo,GrowMid,GrowHi)</f>
        <v>0.02</v>
      </c>
      <c r="E65" s="20" t="n">
        <v>3</v>
      </c>
      <c r="F65" s="20" t="n">
        <f aca="false">MAX(0,E65-NonRes)</f>
        <v>3</v>
      </c>
      <c r="G65" s="18" t="n">
        <f aca="false">INDEX(C_Price,A65)</f>
        <v>20.4</v>
      </c>
      <c r="H65" s="18" t="n">
        <f aca="false">INDEX(C_Acq,A65)</f>
        <v>0.6732</v>
      </c>
      <c r="I65" s="18" t="n">
        <f aca="false">INDEX(C_Fee,A65)</f>
        <v>0.17708</v>
      </c>
      <c r="J65" s="18" t="n">
        <f aca="false">INDEX(C_Loan,A65)</f>
        <v>4</v>
      </c>
      <c r="K65" s="21" t="n">
        <f aca="false">G65-J65+H65+I65</f>
        <v>17.25028</v>
      </c>
      <c r="L65" s="21" t="n">
        <f aca="false">G65*(1+D65)^E65</f>
        <v>21.6486432</v>
      </c>
      <c r="M65" s="21" t="n">
        <f aca="false">L65*LOOKUP(L65,FeeLo,FeeR)*(1+VAT)</f>
        <v>0.16669455264</v>
      </c>
      <c r="N65" s="21" t="n">
        <f aca="false">-CUMIPMT(Rm,LoanYears*12,J65,1,E65*12,0)</f>
        <v>0.467427048612969</v>
      </c>
      <c r="O65" s="21" t="n">
        <f aca="false">J65*(1+Rm)^(E65*12)-(J65*Rm/(1-(1+Rm)^(-LoanYears*12)))*((1+Rm)^(E65*12)-1)/Rm</f>
        <v>3.77994902314271</v>
      </c>
      <c r="P65" s="29" t="n">
        <f aca="false">SUMIFS(Sch_Total,Sch_Idx,A65,Sch_Scen,C65,Sch_Year,"&lt;="&amp;E65)</f>
        <v>0.163052353728</v>
      </c>
      <c r="Q65" s="21" t="n">
        <f aca="false">H65+I65+M65</f>
        <v>1.01697455264</v>
      </c>
      <c r="R65" s="21" t="n">
        <f aca="false">L65-G65-Q65</f>
        <v>0.231668647360004</v>
      </c>
      <c r="S65" s="21" t="n">
        <f aca="false">MAX(0,IF(F65&gt;=2,IF(L65&gt;Exempt,R65*(L65-Exempt)/L65,0),R65))</f>
        <v>0.10325303522963</v>
      </c>
      <c r="T65" s="10" t="n">
        <f aca="false">IF(F65&gt;=2,MIN(MaxDed,MIN(0.4,HoldRate*E65)+MIN(0.4,LiveRate*F65)),IF(E65&gt;=3,MIN(0.3,0.02*E65),0))</f>
        <v>0.24</v>
      </c>
      <c r="U65" s="21" t="n">
        <f aca="false">S65*(1-T65)</f>
        <v>0.0784723067745191</v>
      </c>
      <c r="V65" s="21" t="n">
        <f aca="false">MAX(0,U65-InitDed)</f>
        <v>0.0534723067745191</v>
      </c>
      <c r="W65" s="29" t="n">
        <f aca="false">SUMPRODUCT((V65&gt;CLo)*(V65-CLo)*CD)*(1+LocalTax)</f>
        <v>0.00352917224711826</v>
      </c>
      <c r="X65" s="21" t="n">
        <f aca="false">H65+P65+W65</f>
        <v>0.839781525975118</v>
      </c>
      <c r="Y65" s="29" t="n">
        <f aca="false">(L65-G65)-H65-I65-M65-N65-P65-W65</f>
        <v>-0.402339927228083</v>
      </c>
      <c r="Z65" s="10" t="n">
        <f aca="false">Y65/K65</f>
        <v>-0.0233236751651616</v>
      </c>
      <c r="AA65" s="10" t="n">
        <f aca="false">IF(1+Z65&gt;0,(1+Z65)^(1/E65)-1,-1)</f>
        <v>-0.00783579774270626</v>
      </c>
      <c r="AB65" s="21" t="n">
        <f aca="false">L65-O65-M65-W65</f>
        <v>17.6984704519702</v>
      </c>
      <c r="AC65" s="24" t="n">
        <f aca="false">AB65/K65</f>
        <v>1.02598163345582</v>
      </c>
      <c r="AD65" s="21" t="n">
        <f aca="false">K65*((1+DepRate*(1-DepTax))^E65-1)</f>
        <v>1.34705334719788</v>
      </c>
      <c r="AE65" s="21" t="n">
        <f aca="false">Y65-AD65</f>
        <v>-1.74939327442597</v>
      </c>
    </row>
    <row r="66" customFormat="false" ht="15" hidden="false" customHeight="false" outlineLevel="0" collapsed="false">
      <c r="A66" s="20" t="n">
        <v>6</v>
      </c>
      <c r="B66" s="18" t="str">
        <f aca="false">INDEX(C_Name,A66)</f>
        <v>신길 보라매SK뷰 84.98㎡</v>
      </c>
      <c r="C66" s="20" t="n">
        <v>1</v>
      </c>
      <c r="D66" s="10" t="n">
        <f aca="false">CHOOSE(C66,GrowLo,GrowMid,GrowHi)</f>
        <v>0.02</v>
      </c>
      <c r="E66" s="20" t="n">
        <v>5</v>
      </c>
      <c r="F66" s="20" t="n">
        <f aca="false">MAX(0,E66-NonRes)</f>
        <v>5</v>
      </c>
      <c r="G66" s="18" t="n">
        <f aca="false">INDEX(C_Price,A66)</f>
        <v>20.4</v>
      </c>
      <c r="H66" s="18" t="n">
        <f aca="false">INDEX(C_Acq,A66)</f>
        <v>0.6732</v>
      </c>
      <c r="I66" s="18" t="n">
        <f aca="false">INDEX(C_Fee,A66)</f>
        <v>0.17708</v>
      </c>
      <c r="J66" s="18" t="n">
        <f aca="false">INDEX(C_Loan,A66)</f>
        <v>4</v>
      </c>
      <c r="K66" s="21" t="n">
        <f aca="false">G66-J66+H66+I66</f>
        <v>17.25028</v>
      </c>
      <c r="L66" s="21" t="n">
        <f aca="false">G66*(1+D66)^E66</f>
        <v>22.52324838528</v>
      </c>
      <c r="M66" s="21" t="n">
        <f aca="false">L66*LOOKUP(L66,FeeLo,FeeR)*(1+VAT)</f>
        <v>0.173429012566656</v>
      </c>
      <c r="N66" s="21" t="n">
        <f aca="false">-CUMIPMT(Rm,LoanYears*12,J66,1,E66*12,0)</f>
        <v>0.76369723456074</v>
      </c>
      <c r="O66" s="21" t="n">
        <f aca="false">J66*(1+Rm)^(E66*12)-(J66*Rm/(1-(1+Rm)^(-LoanYears*12)))*((1+Rm)^(E66*12)-1)/Rm</f>
        <v>3.61790052544364</v>
      </c>
      <c r="P66" s="29" t="n">
        <f aca="false">SUMIFS(Sch_Total,Sch_Idx,A66,Sch_Scen,C66,Sch_Year,"&lt;="&amp;E66)</f>
        <v>0.282405147218611</v>
      </c>
      <c r="Q66" s="21" t="n">
        <f aca="false">H66+I66+M66</f>
        <v>1.02370901256666</v>
      </c>
      <c r="R66" s="21" t="n">
        <f aca="false">L66-G66-Q66</f>
        <v>1.09953937271334</v>
      </c>
      <c r="S66" s="21" t="n">
        <f aca="false">MAX(0,IF(F66&gt;=2,IF(L66&gt;Exempt,R66*(L66-Exempt)/L66,0),R66))</f>
        <v>0.5137236747795</v>
      </c>
      <c r="T66" s="10" t="n">
        <f aca="false">IF(F66&gt;=2,MIN(MaxDed,MIN(0.4,HoldRate*E66)+MIN(0.4,LiveRate*F66)),IF(E66&gt;=3,MIN(0.3,0.02*E66),0))</f>
        <v>0.4</v>
      </c>
      <c r="U66" s="21" t="n">
        <f aca="false">S66*(1-T66)</f>
        <v>0.3082342048677</v>
      </c>
      <c r="V66" s="21" t="n">
        <f aca="false">MAX(0,U66-InitDed)</f>
        <v>0.2832342048677</v>
      </c>
      <c r="W66" s="29" t="n">
        <f aca="false">SUMPRODUCT((V66&gt;CLo)*(V66-CLo)*CD)*(1+LocalTax)</f>
        <v>0.0328736438031705</v>
      </c>
      <c r="X66" s="21" t="n">
        <f aca="false">H66+P66+W66</f>
        <v>0.988478791021782</v>
      </c>
      <c r="Y66" s="29" t="n">
        <f aca="false">(L66-G66)-H66-I66-M66-N66-P66-W66</f>
        <v>0.0205633471308224</v>
      </c>
      <c r="Z66" s="10" t="n">
        <f aca="false">Y66/K66</f>
        <v>0.00119205874518109</v>
      </c>
      <c r="AA66" s="10" t="n">
        <f aca="false">IF(1+Z66&gt;0,(1+Z66)^(1/E66)-1,-1)</f>
        <v>0.000238298149952465</v>
      </c>
      <c r="AB66" s="21" t="n">
        <f aca="false">L66-O66-M66-W66</f>
        <v>18.6990452034665</v>
      </c>
      <c r="AC66" s="24" t="n">
        <f aca="false">AB66/K66</f>
        <v>1.08398502537156</v>
      </c>
      <c r="AD66" s="21" t="n">
        <f aca="false">K66*((1+DepRate*(1-DepTax))^E66-1)</f>
        <v>2.30303335603218</v>
      </c>
      <c r="AE66" s="21" t="n">
        <f aca="false">Y66-AD66</f>
        <v>-2.28247000890136</v>
      </c>
    </row>
    <row r="67" customFormat="false" ht="15" hidden="false" customHeight="false" outlineLevel="0" collapsed="false">
      <c r="A67" s="20" t="n">
        <v>6</v>
      </c>
      <c r="B67" s="18" t="str">
        <f aca="false">INDEX(C_Name,A67)</f>
        <v>신길 보라매SK뷰 84.98㎡</v>
      </c>
      <c r="C67" s="20" t="n">
        <v>1</v>
      </c>
      <c r="D67" s="10" t="n">
        <f aca="false">CHOOSE(C67,GrowLo,GrowMid,GrowHi)</f>
        <v>0.02</v>
      </c>
      <c r="E67" s="20" t="n">
        <v>7</v>
      </c>
      <c r="F67" s="20" t="n">
        <f aca="false">MAX(0,E67-NonRes)</f>
        <v>7</v>
      </c>
      <c r="G67" s="18" t="n">
        <f aca="false">INDEX(C_Price,A67)</f>
        <v>20.4</v>
      </c>
      <c r="H67" s="18" t="n">
        <f aca="false">INDEX(C_Acq,A67)</f>
        <v>0.6732</v>
      </c>
      <c r="I67" s="18" t="n">
        <f aca="false">INDEX(C_Fee,A67)</f>
        <v>0.17708</v>
      </c>
      <c r="J67" s="18" t="n">
        <f aca="false">INDEX(C_Loan,A67)</f>
        <v>4</v>
      </c>
      <c r="K67" s="21" t="n">
        <f aca="false">G67-J67+H67+I67</f>
        <v>17.25028</v>
      </c>
      <c r="L67" s="21" t="n">
        <f aca="false">G67*(1+D67)^E67</f>
        <v>23.4331876200453</v>
      </c>
      <c r="M67" s="21" t="n">
        <f aca="false">L67*LOOKUP(L67,FeeLo,FeeR)*(1+VAT)</f>
        <v>0.180435544674349</v>
      </c>
      <c r="N67" s="21" t="n">
        <f aca="false">-CUMIPMT(Rm,LoanYears*12,J67,1,E67*12,0)</f>
        <v>1.04649422888253</v>
      </c>
      <c r="O67" s="21" t="n">
        <f aca="false">J67*(1+Rm)^(E67*12)-(J67*Rm/(1-(1+Rm)^(-LoanYears*12)))*((1+Rm)^(E67*12)-1)/Rm</f>
        <v>3.4423788361186</v>
      </c>
      <c r="P67" s="29" t="n">
        <f aca="false">SUMIFS(Sch_Total,Sch_Idx,A67,Sch_Scen,C67,Sch_Year,"&lt;="&amp;E67)</f>
        <v>0.410681201566243</v>
      </c>
      <c r="Q67" s="21" t="n">
        <f aca="false">H67+I67+M67</f>
        <v>1.03071554467435</v>
      </c>
      <c r="R67" s="21" t="n">
        <f aca="false">L67-G67-Q67</f>
        <v>2.00247207537096</v>
      </c>
      <c r="S67" s="21" t="n">
        <f aca="false">MAX(0,IF(F67&gt;=2,IF(L67&gt;Exempt,R67*(L67-Exempt)/L67,0),R67))</f>
        <v>0.977017694427245</v>
      </c>
      <c r="T67" s="10" t="n">
        <f aca="false">IF(F67&gt;=2,MIN(MaxDed,MIN(0.4,HoldRate*E67)+MIN(0.4,LiveRate*F67)),IF(E67&gt;=3,MIN(0.3,0.02*E67),0))</f>
        <v>0.56</v>
      </c>
      <c r="U67" s="21" t="n">
        <f aca="false">S67*(1-T67)</f>
        <v>0.429887785547988</v>
      </c>
      <c r="V67" s="21" t="n">
        <f aca="false">MAX(0,U67-InitDed)</f>
        <v>0.404887785547988</v>
      </c>
      <c r="W67" s="29" t="n">
        <f aca="false">SUMPRODUCT((V67&gt;CLo)*(V67-CLo)*CD)*(1+LocalTax)</f>
        <v>0.052946484615418</v>
      </c>
      <c r="X67" s="21" t="n">
        <f aca="false">H67+P67+W67</f>
        <v>1.13682768618166</v>
      </c>
      <c r="Y67" s="29" t="n">
        <f aca="false">(L67-G67)-H67-I67-M67-N67-P67-W67</f>
        <v>0.492350160306771</v>
      </c>
      <c r="Z67" s="10" t="n">
        <f aca="false">Y67/K67</f>
        <v>0.0285415749951172</v>
      </c>
      <c r="AA67" s="10" t="n">
        <f aca="false">IF(1+Z67&gt;0,(1+Z67)^(1/E67)-1,-1)</f>
        <v>0.00402835670927249</v>
      </c>
      <c r="AB67" s="21" t="n">
        <f aca="false">L67-O67-M67-W67</f>
        <v>19.7574267546369</v>
      </c>
      <c r="AC67" s="24" t="n">
        <f aca="false">AB67/K67</f>
        <v>1.1453394817149</v>
      </c>
      <c r="AD67" s="21" t="n">
        <f aca="false">K67*((1+DepRate*(1-DepTax))^E67-1)</f>
        <v>3.3081546992841</v>
      </c>
      <c r="AE67" s="21" t="n">
        <f aca="false">Y67-AD67</f>
        <v>-2.81580453897733</v>
      </c>
    </row>
    <row r="68" customFormat="false" ht="15" hidden="false" customHeight="false" outlineLevel="0" collapsed="false">
      <c r="A68" s="20" t="n">
        <v>6</v>
      </c>
      <c r="B68" s="18" t="str">
        <f aca="false">INDEX(C_Name,A68)</f>
        <v>신길 보라매SK뷰 84.98㎡</v>
      </c>
      <c r="C68" s="20" t="n">
        <v>1</v>
      </c>
      <c r="D68" s="10" t="n">
        <f aca="false">CHOOSE(C68,GrowLo,GrowMid,GrowHi)</f>
        <v>0.02</v>
      </c>
      <c r="E68" s="20" t="n">
        <v>10</v>
      </c>
      <c r="F68" s="20" t="n">
        <f aca="false">MAX(0,E68-NonRes)</f>
        <v>10</v>
      </c>
      <c r="G68" s="18" t="n">
        <f aca="false">INDEX(C_Price,A68)</f>
        <v>20.4</v>
      </c>
      <c r="H68" s="18" t="n">
        <f aca="false">INDEX(C_Acq,A68)</f>
        <v>0.6732</v>
      </c>
      <c r="I68" s="18" t="n">
        <f aca="false">INDEX(C_Fee,A68)</f>
        <v>0.17708</v>
      </c>
      <c r="J68" s="18" t="n">
        <f aca="false">INDEX(C_Loan,A68)</f>
        <v>4</v>
      </c>
      <c r="K68" s="21" t="n">
        <f aca="false">G68-J68+H68+I68</f>
        <v>17.25028</v>
      </c>
      <c r="L68" s="21" t="n">
        <f aca="false">G68*(1+D68)^E68</f>
        <v>24.8674861678931</v>
      </c>
      <c r="M68" s="21" t="n">
        <f aca="false">L68*LOOKUP(L68,FeeLo,FeeR)*(1+VAT)</f>
        <v>0.191479643492777</v>
      </c>
      <c r="N68" s="21" t="n">
        <f aca="false">-CUMIPMT(Rm,LoanYears*12,J68,1,E68*12,0)</f>
        <v>1.44295178669745</v>
      </c>
      <c r="O68" s="21" t="n">
        <f aca="false">J68*(1+Rm)^(E68*12)-(J68*Rm/(1-(1+Rm)^(-LoanYears*12)))*((1+Rm)^(E68*12)-1)/Rm</f>
        <v>3.15135836846326</v>
      </c>
      <c r="P68" s="29" t="n">
        <f aca="false">SUMIFS(Sch_Total,Sch_Idx,A68,Sch_Scen,C68,Sch_Year,"&lt;="&amp;E68)</f>
        <v>0.62061895683971</v>
      </c>
      <c r="Q68" s="21" t="n">
        <f aca="false">H68+I68+M68</f>
        <v>1.04175964349278</v>
      </c>
      <c r="R68" s="21" t="n">
        <f aca="false">L68-G68-Q68</f>
        <v>3.42572652440027</v>
      </c>
      <c r="S68" s="21" t="n">
        <f aca="false">MAX(0,IF(F68&gt;=2,IF(L68&gt;Exempt,R68*(L68-Exempt)/L68,0),R68))</f>
        <v>1.77261538903028</v>
      </c>
      <c r="T68" s="10" t="n">
        <f aca="false">IF(F68&gt;=2,MIN(MaxDed,MIN(0.4,HoldRate*E68)+MIN(0.4,LiveRate*F68)),IF(E68&gt;=3,MIN(0.3,0.02*E68),0))</f>
        <v>0.8</v>
      </c>
      <c r="U68" s="21" t="n">
        <f aca="false">S68*(1-T68)</f>
        <v>0.354523077806056</v>
      </c>
      <c r="V68" s="21" t="n">
        <f aca="false">MAX(0,U68-InitDed)</f>
        <v>0.329523077806056</v>
      </c>
      <c r="W68" s="29" t="n">
        <f aca="false">SUMPRODUCT((V68&gt;CLo)*(V68-CLo)*CD)*(1+LocalTax)</f>
        <v>0.0405113078379992</v>
      </c>
      <c r="X68" s="21" t="n">
        <f aca="false">H68+P68+W68</f>
        <v>1.33433026467771</v>
      </c>
      <c r="Y68" s="29" t="n">
        <f aca="false">(L68-G68)-H68-I68-M68-N68-P68-W68</f>
        <v>1.32164447302511</v>
      </c>
      <c r="Z68" s="10" t="n">
        <f aca="false">Y68/K68</f>
        <v>0.0766158272807812</v>
      </c>
      <c r="AA68" s="10" t="n">
        <f aca="false">IF(1+Z68&gt;0,(1+Z68)^(1/E68)-1,-1)</f>
        <v>0.00740957889973681</v>
      </c>
      <c r="AB68" s="21" t="n">
        <f aca="false">L68-O68-M68-W68</f>
        <v>21.484136848099</v>
      </c>
      <c r="AC68" s="24" t="n">
        <f aca="false">AB68/K68</f>
        <v>1.24543699279658</v>
      </c>
      <c r="AD68" s="21" t="n">
        <f aca="false">K68*((1+DepRate*(1-DepTax))^E68-1)</f>
        <v>4.91353781624335</v>
      </c>
      <c r="AE68" s="21" t="n">
        <f aca="false">Y68-AD68</f>
        <v>-3.59189334321824</v>
      </c>
    </row>
    <row r="69" customFormat="false" ht="15" hidden="false" customHeight="false" outlineLevel="0" collapsed="false">
      <c r="A69" s="20" t="n">
        <v>6</v>
      </c>
      <c r="B69" s="18" t="str">
        <f aca="false">INDEX(C_Name,A69)</f>
        <v>신길 보라매SK뷰 84.98㎡</v>
      </c>
      <c r="C69" s="20" t="n">
        <v>2</v>
      </c>
      <c r="D69" s="10" t="n">
        <f aca="false">CHOOSE(C69,GrowLo,GrowMid,GrowHi)</f>
        <v>0.04</v>
      </c>
      <c r="E69" s="20" t="n">
        <v>3</v>
      </c>
      <c r="F69" s="20" t="n">
        <f aca="false">MAX(0,E69-NonRes)</f>
        <v>3</v>
      </c>
      <c r="G69" s="18" t="n">
        <f aca="false">INDEX(C_Price,A69)</f>
        <v>20.4</v>
      </c>
      <c r="H69" s="18" t="n">
        <f aca="false">INDEX(C_Acq,A69)</f>
        <v>0.6732</v>
      </c>
      <c r="I69" s="18" t="n">
        <f aca="false">INDEX(C_Fee,A69)</f>
        <v>0.17708</v>
      </c>
      <c r="J69" s="18" t="n">
        <f aca="false">INDEX(C_Loan,A69)</f>
        <v>4</v>
      </c>
      <c r="K69" s="21" t="n">
        <f aca="false">G69-J69+H69+I69</f>
        <v>17.25028</v>
      </c>
      <c r="L69" s="21" t="n">
        <f aca="false">G69*(1+D69)^E69</f>
        <v>22.9472256</v>
      </c>
      <c r="M69" s="21" t="n">
        <f aca="false">L69*LOOKUP(L69,FeeLo,FeeR)*(1+VAT)</f>
        <v>0.17669363712</v>
      </c>
      <c r="N69" s="21" t="n">
        <f aca="false">-CUMIPMT(Rm,LoanYears*12,J69,1,E69*12,0)</f>
        <v>0.467427048612969</v>
      </c>
      <c r="O69" s="21" t="n">
        <f aca="false">J69*(1+Rm)^(E69*12)-(J69*Rm/(1-(1+Rm)^(-LoanYears*12)))*((1+Rm)^(E69*12)-1)/Rm</f>
        <v>3.77994902314271</v>
      </c>
      <c r="P69" s="29" t="n">
        <f aca="false">SUMIFS(Sch_Total,Sch_Idx,A69,Sch_Scen,C69,Sch_Year,"&lt;="&amp;E69)</f>
        <v>0.169358176512</v>
      </c>
      <c r="Q69" s="21" t="n">
        <f aca="false">H69+I69+M69</f>
        <v>1.02697363712</v>
      </c>
      <c r="R69" s="21" t="n">
        <f aca="false">L69-G69-Q69</f>
        <v>1.52025196288</v>
      </c>
      <c r="S69" s="21" t="n">
        <f aca="false">MAX(0,IF(F69&gt;=2,IF(L69&gt;Exempt,R69*(L69-Exempt)/L69,0),R69))</f>
        <v>0.7252528691961</v>
      </c>
      <c r="T69" s="10" t="n">
        <f aca="false">IF(F69&gt;=2,MIN(MaxDed,MIN(0.4,HoldRate*E69)+MIN(0.4,LiveRate*F69)),IF(E69&gt;=3,MIN(0.3,0.02*E69),0))</f>
        <v>0.24</v>
      </c>
      <c r="U69" s="21" t="n">
        <f aca="false">S69*(1-T69)</f>
        <v>0.551192180589036</v>
      </c>
      <c r="V69" s="21" t="n">
        <f aca="false">MAX(0,U69-InitDed)</f>
        <v>0.526192180589036</v>
      </c>
      <c r="W69" s="29" t="n">
        <f aca="false">SUMPRODUCT((V69&gt;CLo)*(V69-CLo)*CD)*(1+LocalTax)</f>
        <v>0.0755547356755055</v>
      </c>
      <c r="X69" s="21" t="n">
        <f aca="false">H69+P69+W69</f>
        <v>0.918112912187506</v>
      </c>
      <c r="Y69" s="29" t="n">
        <f aca="false">(L69-G69)-H69-I69-M69-N69-P69-W69</f>
        <v>0.807912002079527</v>
      </c>
      <c r="Z69" s="10" t="n">
        <f aca="false">Y69/K69</f>
        <v>0.0468347181657067</v>
      </c>
      <c r="AA69" s="10" t="n">
        <f aca="false">IF(1+Z69&gt;0,(1+Z69)^(1/E69)-1,-1)</f>
        <v>0.0153740015328305</v>
      </c>
      <c r="AB69" s="21" t="n">
        <f aca="false">L69-O69-M69-W69</f>
        <v>18.9150282040618</v>
      </c>
      <c r="AC69" s="24" t="n">
        <f aca="false">AB69/K69</f>
        <v>1.09650557579713</v>
      </c>
      <c r="AD69" s="21" t="n">
        <f aca="false">K69*((1+DepRate*(1-DepTax))^E69-1)</f>
        <v>1.34705334719788</v>
      </c>
      <c r="AE69" s="21" t="n">
        <f aca="false">Y69-AD69</f>
        <v>-0.539141345118357</v>
      </c>
    </row>
    <row r="70" customFormat="false" ht="15" hidden="false" customHeight="false" outlineLevel="0" collapsed="false">
      <c r="A70" s="20" t="n">
        <v>6</v>
      </c>
      <c r="B70" s="18" t="str">
        <f aca="false">INDEX(C_Name,A70)</f>
        <v>신길 보라매SK뷰 84.98㎡</v>
      </c>
      <c r="C70" s="20" t="n">
        <v>2</v>
      </c>
      <c r="D70" s="10" t="n">
        <f aca="false">CHOOSE(C70,GrowLo,GrowMid,GrowHi)</f>
        <v>0.04</v>
      </c>
      <c r="E70" s="20" t="n">
        <v>5</v>
      </c>
      <c r="F70" s="20" t="n">
        <f aca="false">MAX(0,E70-NonRes)</f>
        <v>5</v>
      </c>
      <c r="G70" s="18" t="n">
        <f aca="false">INDEX(C_Price,A70)</f>
        <v>20.4</v>
      </c>
      <c r="H70" s="18" t="n">
        <f aca="false">INDEX(C_Acq,A70)</f>
        <v>0.6732</v>
      </c>
      <c r="I70" s="18" t="n">
        <f aca="false">INDEX(C_Fee,A70)</f>
        <v>0.17708</v>
      </c>
      <c r="J70" s="18" t="n">
        <f aca="false">INDEX(C_Loan,A70)</f>
        <v>4</v>
      </c>
      <c r="K70" s="21" t="n">
        <f aca="false">G70-J70+H70+I70</f>
        <v>17.25028</v>
      </c>
      <c r="L70" s="21" t="n">
        <f aca="false">G70*(1+D70)^E70</f>
        <v>24.81971920896</v>
      </c>
      <c r="M70" s="21" t="n">
        <f aca="false">L70*LOOKUP(L70,FeeLo,FeeR)*(1+VAT)</f>
        <v>0.191111837908992</v>
      </c>
      <c r="N70" s="21" t="n">
        <f aca="false">-CUMIPMT(Rm,LoanYears*12,J70,1,E70*12,0)</f>
        <v>0.76369723456074</v>
      </c>
      <c r="O70" s="21" t="n">
        <f aca="false">J70*(1+Rm)^(E70*12)-(J70*Rm/(1-(1+Rm)^(-LoanYears*12)))*((1+Rm)^(E70*12)-1)/Rm</f>
        <v>3.61790052544364</v>
      </c>
      <c r="P70" s="29" t="n">
        <f aca="false">SUMIFS(Sch_Total,Sch_Idx,A70,Sch_Scen,C70,Sch_Year,"&lt;="&amp;E70)</f>
        <v>0.304277944515379</v>
      </c>
      <c r="Q70" s="21" t="n">
        <f aca="false">H70+I70+M70</f>
        <v>1.04139183790899</v>
      </c>
      <c r="R70" s="21" t="n">
        <f aca="false">L70-G70-Q70</f>
        <v>3.37832737105101</v>
      </c>
      <c r="S70" s="21" t="n">
        <f aca="false">MAX(0,IF(F70&gt;=2,IF(L70&gt;Exempt,R70*(L70-Exempt)/L70,0),R70))</f>
        <v>1.74495158177226</v>
      </c>
      <c r="T70" s="10" t="n">
        <f aca="false">IF(F70&gt;=2,MIN(MaxDed,MIN(0.4,HoldRate*E70)+MIN(0.4,LiveRate*F70)),IF(E70&gt;=3,MIN(0.3,0.02*E70),0))</f>
        <v>0.4</v>
      </c>
      <c r="U70" s="21" t="n">
        <f aca="false">S70*(1-T70)</f>
        <v>1.04697094906335</v>
      </c>
      <c r="V70" s="21" t="n">
        <f aca="false">MAX(0,U70-InitDed)</f>
        <v>1.02197094906335</v>
      </c>
      <c r="W70" s="29" t="n">
        <f aca="false">SUMPRODUCT((V70&gt;CLo)*(V70-CLo)*CD)*(1+LocalTax)</f>
        <v>0.223618815389391</v>
      </c>
      <c r="X70" s="21" t="n">
        <f aca="false">H70+P70+W70</f>
        <v>1.20109675990477</v>
      </c>
      <c r="Y70" s="29" t="n">
        <f aca="false">(L70-G70)-H70-I70-M70-N70-P70-W70</f>
        <v>2.0867333765855</v>
      </c>
      <c r="Z70" s="10" t="n">
        <f aca="false">Y70/K70</f>
        <v>0.120968087276583</v>
      </c>
      <c r="AA70" s="10" t="n">
        <f aca="false">IF(1+Z70&gt;0,(1+Z70)^(1/E70)-1,-1)</f>
        <v>0.0231013312761621</v>
      </c>
      <c r="AB70" s="21" t="n">
        <f aca="false">L70-O70-M70-W70</f>
        <v>20.787088030218</v>
      </c>
      <c r="AC70" s="24" t="n">
        <f aca="false">AB70/K70</f>
        <v>1.20502902157055</v>
      </c>
      <c r="AD70" s="21" t="n">
        <f aca="false">K70*((1+DepRate*(1-DepTax))^E70-1)</f>
        <v>2.30303335603218</v>
      </c>
      <c r="AE70" s="21" t="n">
        <f aca="false">Y70-AD70</f>
        <v>-0.216299979446677</v>
      </c>
    </row>
    <row r="71" customFormat="false" ht="15" hidden="false" customHeight="false" outlineLevel="0" collapsed="false">
      <c r="A71" s="20" t="n">
        <v>6</v>
      </c>
      <c r="B71" s="18" t="str">
        <f aca="false">INDEX(C_Name,A71)</f>
        <v>신길 보라매SK뷰 84.98㎡</v>
      </c>
      <c r="C71" s="20" t="n">
        <v>2</v>
      </c>
      <c r="D71" s="10" t="n">
        <f aca="false">CHOOSE(C71,GrowLo,GrowMid,GrowHi)</f>
        <v>0.04</v>
      </c>
      <c r="E71" s="20" t="n">
        <v>7</v>
      </c>
      <c r="F71" s="20" t="n">
        <f aca="false">MAX(0,E71-NonRes)</f>
        <v>7</v>
      </c>
      <c r="G71" s="18" t="n">
        <f aca="false">INDEX(C_Price,A71)</f>
        <v>20.4</v>
      </c>
      <c r="H71" s="18" t="n">
        <f aca="false">INDEX(C_Acq,A71)</f>
        <v>0.6732</v>
      </c>
      <c r="I71" s="18" t="n">
        <f aca="false">INDEX(C_Fee,A71)</f>
        <v>0.17708</v>
      </c>
      <c r="J71" s="18" t="n">
        <f aca="false">INDEX(C_Loan,A71)</f>
        <v>4</v>
      </c>
      <c r="K71" s="21" t="n">
        <f aca="false">G71-J71+H71+I71</f>
        <v>17.25028</v>
      </c>
      <c r="L71" s="21" t="n">
        <f aca="false">G71*(1+D71)^E71</f>
        <v>26.8450082964111</v>
      </c>
      <c r="M71" s="21" t="n">
        <f aca="false">L71*LOOKUP(L71,FeeLo,FeeR)*(1+VAT)</f>
        <v>0.206706563882366</v>
      </c>
      <c r="N71" s="21" t="n">
        <f aca="false">-CUMIPMT(Rm,LoanYears*12,J71,1,E71*12,0)</f>
        <v>1.04649422888253</v>
      </c>
      <c r="O71" s="21" t="n">
        <f aca="false">J71*(1+Rm)^(E71*12)-(J71*Rm/(1-(1+Rm)^(-LoanYears*12)))*((1+Rm)^(E71*12)-1)/Rm</f>
        <v>3.4423788361186</v>
      </c>
      <c r="P71" s="29" t="n">
        <f aca="false">SUMIFS(Sch_Total,Sch_Idx,A71,Sch_Scen,C71,Sch_Year,"&lt;="&amp;E71)</f>
        <v>0.45983937852012</v>
      </c>
      <c r="Q71" s="21" t="n">
        <f aca="false">H71+I71+M71</f>
        <v>1.05698656388237</v>
      </c>
      <c r="R71" s="21" t="n">
        <f aca="false">L71-G71-Q71</f>
        <v>5.38802173252878</v>
      </c>
      <c r="S71" s="21" t="n">
        <f aca="false">MAX(0,IF(F71&gt;=2,IF(L71&gt;Exempt,R71*(L71-Exempt)/L71,0),R71))</f>
        <v>2.97951956048851</v>
      </c>
      <c r="T71" s="10" t="n">
        <f aca="false">IF(F71&gt;=2,MIN(MaxDed,MIN(0.4,HoldRate*E71)+MIN(0.4,LiveRate*F71)),IF(E71&gt;=3,MIN(0.3,0.02*E71),0))</f>
        <v>0.56</v>
      </c>
      <c r="U71" s="21" t="n">
        <f aca="false">S71*(1-T71)</f>
        <v>1.31098860661494</v>
      </c>
      <c r="V71" s="21" t="n">
        <f aca="false">MAX(0,U71-InitDed)</f>
        <v>1.28598860661494</v>
      </c>
      <c r="W71" s="29" t="n">
        <f aca="false">SUMPRODUCT((V71&gt;CLo)*(V71-CLo)*CD)*(1+LocalTax)</f>
        <v>0.325265613546753</v>
      </c>
      <c r="X71" s="21" t="n">
        <f aca="false">H71+P71+W71</f>
        <v>1.45830499206687</v>
      </c>
      <c r="Y71" s="29" t="n">
        <f aca="false">(L71-G71)-H71-I71-M71-N71-P71-W71</f>
        <v>3.55642251157937</v>
      </c>
      <c r="Z71" s="10" t="n">
        <f aca="false">Y71/K71</f>
        <v>0.206166074497305</v>
      </c>
      <c r="AA71" s="10" t="n">
        <f aca="false">IF(1+Z71&gt;0,(1+Z71)^(1/E71)-1,-1)</f>
        <v>0.0271398691828795</v>
      </c>
      <c r="AB71" s="21" t="n">
        <f aca="false">L71-O71-M71-W71</f>
        <v>22.8706572828634</v>
      </c>
      <c r="AC71" s="24" t="n">
        <f aca="false">AB71/K71</f>
        <v>1.32581368434967</v>
      </c>
      <c r="AD71" s="21" t="n">
        <f aca="false">K71*((1+DepRate*(1-DepTax))^E71-1)</f>
        <v>3.3081546992841</v>
      </c>
      <c r="AE71" s="21" t="n">
        <f aca="false">Y71-AD71</f>
        <v>0.248267812295271</v>
      </c>
    </row>
    <row r="72" customFormat="false" ht="15" hidden="false" customHeight="false" outlineLevel="0" collapsed="false">
      <c r="A72" s="20" t="n">
        <v>6</v>
      </c>
      <c r="B72" s="18" t="str">
        <f aca="false">INDEX(C_Name,A72)</f>
        <v>신길 보라매SK뷰 84.98㎡</v>
      </c>
      <c r="C72" s="20" t="n">
        <v>2</v>
      </c>
      <c r="D72" s="10" t="n">
        <f aca="false">CHOOSE(C72,GrowLo,GrowMid,GrowHi)</f>
        <v>0.04</v>
      </c>
      <c r="E72" s="20" t="n">
        <v>10</v>
      </c>
      <c r="F72" s="20" t="n">
        <f aca="false">MAX(0,E72-NonRes)</f>
        <v>10</v>
      </c>
      <c r="G72" s="18" t="n">
        <f aca="false">INDEX(C_Price,A72)</f>
        <v>20.4</v>
      </c>
      <c r="H72" s="18" t="n">
        <f aca="false">INDEX(C_Acq,A72)</f>
        <v>0.6732</v>
      </c>
      <c r="I72" s="18" t="n">
        <f aca="false">INDEX(C_Fee,A72)</f>
        <v>0.17708</v>
      </c>
      <c r="J72" s="18" t="n">
        <f aca="false">INDEX(C_Loan,A72)</f>
        <v>4</v>
      </c>
      <c r="K72" s="21" t="n">
        <f aca="false">G72-J72+H72+I72</f>
        <v>17.25028</v>
      </c>
      <c r="L72" s="21" t="n">
        <f aca="false">G72*(1+D72)^E72</f>
        <v>30.1969834123342</v>
      </c>
      <c r="M72" s="21" t="n">
        <f aca="false">L72*LOOKUP(L72,FeeLo,FeeR)*(1+VAT)</f>
        <v>0.232516772274974</v>
      </c>
      <c r="N72" s="21" t="n">
        <f aca="false">-CUMIPMT(Rm,LoanYears*12,J72,1,E72*12,0)</f>
        <v>1.44295178669745</v>
      </c>
      <c r="O72" s="21" t="n">
        <f aca="false">J72*(1+Rm)^(E72*12)-(J72*Rm/(1-(1+Rm)^(-LoanYears*12)))*((1+Rm)^(E72*12)-1)/Rm</f>
        <v>3.15135836846326</v>
      </c>
      <c r="P72" s="29" t="n">
        <f aca="false">SUMIFS(Sch_Total,Sch_Idx,A72,Sch_Scen,C72,Sch_Year,"&lt;="&amp;E72)</f>
        <v>0.740636338287257</v>
      </c>
      <c r="Q72" s="21" t="n">
        <f aca="false">H72+I72+M72</f>
        <v>1.08279677227497</v>
      </c>
      <c r="R72" s="21" t="n">
        <f aca="false">L72-G72-Q72</f>
        <v>8.71418664005925</v>
      </c>
      <c r="S72" s="21" t="n">
        <f aca="false">MAX(0,IF(F72&gt;=2,IF(L72&gt;Exempt,R72*(L72-Exempt)/L72,0),R72))</f>
        <v>5.25125001977425</v>
      </c>
      <c r="T72" s="10" t="n">
        <f aca="false">IF(F72&gt;=2,MIN(MaxDed,MIN(0.4,HoldRate*E72)+MIN(0.4,LiveRate*F72)),IF(E72&gt;=3,MIN(0.3,0.02*E72),0))</f>
        <v>0.8</v>
      </c>
      <c r="U72" s="21" t="n">
        <f aca="false">S72*(1-T72)</f>
        <v>1.05025000395485</v>
      </c>
      <c r="V72" s="21" t="n">
        <f aca="false">MAX(0,U72-InitDed)</f>
        <v>1.02525000395485</v>
      </c>
      <c r="W72" s="29" t="n">
        <f aca="false">SUMPRODUCT((V72&gt;CLo)*(V72-CLo)*CD)*(1+LocalTax)</f>
        <v>0.224881251522617</v>
      </c>
      <c r="X72" s="21" t="n">
        <f aca="false">H72+P72+W72</f>
        <v>1.63871758980987</v>
      </c>
      <c r="Y72" s="29" t="n">
        <f aca="false">(L72-G72)-H72-I72-M72-N72-P72-W72</f>
        <v>6.30571726355193</v>
      </c>
      <c r="Z72" s="10" t="n">
        <f aca="false">Y72/K72</f>
        <v>0.365542893422711</v>
      </c>
      <c r="AA72" s="10" t="n">
        <f aca="false">IF(1+Z72&gt;0,(1+Z72)^(1/E72)-1,-1)</f>
        <v>0.0316456104617504</v>
      </c>
      <c r="AB72" s="21" t="n">
        <f aca="false">L72-O72-M72-W72</f>
        <v>26.5882270200734</v>
      </c>
      <c r="AC72" s="24" t="n">
        <f aca="false">AB72/K72</f>
        <v>1.54132147536581</v>
      </c>
      <c r="AD72" s="21" t="n">
        <f aca="false">K72*((1+DepRate*(1-DepTax))^E72-1)</f>
        <v>4.91353781624335</v>
      </c>
      <c r="AE72" s="21" t="n">
        <f aca="false">Y72-AD72</f>
        <v>1.39217944730858</v>
      </c>
    </row>
    <row r="73" customFormat="false" ht="15" hidden="false" customHeight="false" outlineLevel="0" collapsed="false">
      <c r="A73" s="20" t="n">
        <v>6</v>
      </c>
      <c r="B73" s="18" t="str">
        <f aca="false">INDEX(C_Name,A73)</f>
        <v>신길 보라매SK뷰 84.98㎡</v>
      </c>
      <c r="C73" s="20" t="n">
        <v>3</v>
      </c>
      <c r="D73" s="10" t="n">
        <f aca="false">CHOOSE(C73,GrowLo,GrowMid,GrowHi)</f>
        <v>0.06</v>
      </c>
      <c r="E73" s="20" t="n">
        <v>3</v>
      </c>
      <c r="F73" s="20" t="n">
        <f aca="false">MAX(0,E73-NonRes)</f>
        <v>3</v>
      </c>
      <c r="G73" s="18" t="n">
        <f aca="false">INDEX(C_Price,A73)</f>
        <v>20.4</v>
      </c>
      <c r="H73" s="18" t="n">
        <f aca="false">INDEX(C_Acq,A73)</f>
        <v>0.6732</v>
      </c>
      <c r="I73" s="18" t="n">
        <f aca="false">INDEX(C_Fee,A73)</f>
        <v>0.17708</v>
      </c>
      <c r="J73" s="18" t="n">
        <f aca="false">INDEX(C_Loan,A73)</f>
        <v>4</v>
      </c>
      <c r="K73" s="21" t="n">
        <f aca="false">G73-J73+H73+I73</f>
        <v>17.25028</v>
      </c>
      <c r="L73" s="21" t="n">
        <f aca="false">G73*(1+D73)^E73</f>
        <v>24.2967264</v>
      </c>
      <c r="M73" s="21" t="n">
        <f aca="false">L73*LOOKUP(L73,FeeLo,FeeR)*(1+VAT)</f>
        <v>0.18708479328</v>
      </c>
      <c r="N73" s="21" t="n">
        <f aca="false">-CUMIPMT(Rm,LoanYears*12,J73,1,E73*12,0)</f>
        <v>0.467427048612969</v>
      </c>
      <c r="O73" s="21" t="n">
        <f aca="false">J73*(1+Rm)^(E73*12)-(J73*Rm/(1-(1+Rm)^(-LoanYears*12)))*((1+Rm)^(E73*12)-1)/Rm</f>
        <v>3.77994902314271</v>
      </c>
      <c r="P73" s="29" t="n">
        <f aca="false">SUMIFS(Sch_Total,Sch_Idx,A73,Sch_Scen,C73,Sch_Year,"&lt;="&amp;E73)</f>
        <v>0.175746428352</v>
      </c>
      <c r="Q73" s="21" t="n">
        <f aca="false">H73+I73+M73</f>
        <v>1.03736479328</v>
      </c>
      <c r="R73" s="21" t="n">
        <f aca="false">L73-G73-Q73</f>
        <v>2.85936160672</v>
      </c>
      <c r="S73" s="21" t="n">
        <f aca="false">MAX(0,IF(F73&gt;=2,IF(L73&gt;Exempt,R73*(L73-Exempt)/L73,0),R73))</f>
        <v>1.44714093485863</v>
      </c>
      <c r="T73" s="10" t="n">
        <f aca="false">IF(F73&gt;=2,MIN(MaxDed,MIN(0.4,HoldRate*E73)+MIN(0.4,LiveRate*F73)),IF(E73&gt;=3,MIN(0.3,0.02*E73),0))</f>
        <v>0.24</v>
      </c>
      <c r="U73" s="21" t="n">
        <f aca="false">S73*(1-T73)</f>
        <v>1.09982711049256</v>
      </c>
      <c r="V73" s="21" t="n">
        <f aca="false">MAX(0,U73-InitDed)</f>
        <v>1.07482711049256</v>
      </c>
      <c r="W73" s="29" t="n">
        <f aca="false">SUMPRODUCT((V73&gt;CLo)*(V73-CLo)*CD)*(1+LocalTax)</f>
        <v>0.243968437539634</v>
      </c>
      <c r="X73" s="21" t="n">
        <f aca="false">H73+P73+W73</f>
        <v>1.09291486589163</v>
      </c>
      <c r="Y73" s="29" t="n">
        <f aca="false">(L73-G73)-H73-I73-M73-N73-P73-W73</f>
        <v>1.9722196922154</v>
      </c>
      <c r="Z73" s="10" t="n">
        <f aca="false">Y73/K73</f>
        <v>0.114329720573544</v>
      </c>
      <c r="AA73" s="10" t="n">
        <f aca="false">IF(1+Z73&gt;0,(1+Z73)^(1/E73)-1,-1)</f>
        <v>0.0367433013206213</v>
      </c>
      <c r="AB73" s="21" t="n">
        <f aca="false">L73-O73-M73-W73</f>
        <v>20.0857241460377</v>
      </c>
      <c r="AC73" s="24" t="n">
        <f aca="false">AB73/K73</f>
        <v>1.16437090563386</v>
      </c>
      <c r="AD73" s="21" t="n">
        <f aca="false">K73*((1+DepRate*(1-DepTax))^E73-1)</f>
        <v>1.34705334719788</v>
      </c>
      <c r="AE73" s="21" t="n">
        <f aca="false">Y73-AD73</f>
        <v>0.625166345017516</v>
      </c>
    </row>
    <row r="74" customFormat="false" ht="15" hidden="false" customHeight="false" outlineLevel="0" collapsed="false">
      <c r="A74" s="20" t="n">
        <v>6</v>
      </c>
      <c r="B74" s="18" t="str">
        <f aca="false">INDEX(C_Name,A74)</f>
        <v>신길 보라매SK뷰 84.98㎡</v>
      </c>
      <c r="C74" s="20" t="n">
        <v>3</v>
      </c>
      <c r="D74" s="10" t="n">
        <f aca="false">CHOOSE(C74,GrowLo,GrowMid,GrowHi)</f>
        <v>0.06</v>
      </c>
      <c r="E74" s="20" t="n">
        <v>5</v>
      </c>
      <c r="F74" s="20" t="n">
        <f aca="false">MAX(0,E74-NonRes)</f>
        <v>5</v>
      </c>
      <c r="G74" s="18" t="n">
        <f aca="false">INDEX(C_Price,A74)</f>
        <v>20.4</v>
      </c>
      <c r="H74" s="18" t="n">
        <f aca="false">INDEX(C_Acq,A74)</f>
        <v>0.6732</v>
      </c>
      <c r="I74" s="18" t="n">
        <f aca="false">INDEX(C_Fee,A74)</f>
        <v>0.17708</v>
      </c>
      <c r="J74" s="18" t="n">
        <f aca="false">INDEX(C_Loan,A74)</f>
        <v>4</v>
      </c>
      <c r="K74" s="21" t="n">
        <f aca="false">G74-J74+H74+I74</f>
        <v>17.25028</v>
      </c>
      <c r="L74" s="21" t="n">
        <f aca="false">G74*(1+D74)^E74</f>
        <v>27.29980178304</v>
      </c>
      <c r="M74" s="21" t="n">
        <f aca="false">L74*LOOKUP(L74,FeeLo,FeeR)*(1+VAT)</f>
        <v>0.210208473729408</v>
      </c>
      <c r="N74" s="21" t="n">
        <f aca="false">-CUMIPMT(Rm,LoanYears*12,J74,1,E74*12,0)</f>
        <v>0.76369723456074</v>
      </c>
      <c r="O74" s="21" t="n">
        <f aca="false">J74*(1+Rm)^(E74*12)-(J74*Rm/(1-(1+Rm)^(-LoanYears*12)))*((1+Rm)^(E74*12)-1)/Rm</f>
        <v>3.61790052544364</v>
      </c>
      <c r="P74" s="29" t="n">
        <f aca="false">SUMIFS(Sch_Total,Sch_Idx,A74,Sch_Scen,C74,Sch_Year,"&lt;="&amp;E74)</f>
        <v>0.32813501508841</v>
      </c>
      <c r="Q74" s="21" t="n">
        <f aca="false">H74+I74+M74</f>
        <v>1.06048847372941</v>
      </c>
      <c r="R74" s="21" t="n">
        <f aca="false">L74-G74-Q74</f>
        <v>5.8393133093106</v>
      </c>
      <c r="S74" s="21" t="n">
        <f aca="false">MAX(0,IF(F74&gt;=2,IF(L74&gt;Exempt,R74*(L74-Exempt)/L74,0),R74))</f>
        <v>3.27256354795302</v>
      </c>
      <c r="T74" s="10" t="n">
        <f aca="false">IF(F74&gt;=2,MIN(MaxDed,MIN(0.4,HoldRate*E74)+MIN(0.4,LiveRate*F74)),IF(E74&gt;=3,MIN(0.3,0.02*E74),0))</f>
        <v>0.4</v>
      </c>
      <c r="U74" s="21" t="n">
        <f aca="false">S74*(1-T74)</f>
        <v>1.96353812877181</v>
      </c>
      <c r="V74" s="21" t="n">
        <f aca="false">MAX(0,U74-InitDed)</f>
        <v>1.93853812877181</v>
      </c>
      <c r="W74" s="29" t="n">
        <f aca="false">SUMPRODUCT((V74&gt;CLo)*(V74-CLo)*CD)*(1+LocalTax)</f>
        <v>0.590968937826617</v>
      </c>
      <c r="X74" s="21" t="n">
        <f aca="false">H74+P74+W74</f>
        <v>1.59230395291503</v>
      </c>
      <c r="Y74" s="29" t="n">
        <f aca="false">(L74-G74)-H74-I74-M74-N74-P74-W74</f>
        <v>4.15651212183483</v>
      </c>
      <c r="Z74" s="10" t="n">
        <f aca="false">Y74/K74</f>
        <v>0.240953313327948</v>
      </c>
      <c r="AA74" s="10" t="n">
        <f aca="false">IF(1+Z74&gt;0,(1+Z74)^(1/E74)-1,-1)</f>
        <v>0.0441216201398598</v>
      </c>
      <c r="AB74" s="21" t="n">
        <f aca="false">L74-O74-M74-W74</f>
        <v>22.8807238460403</v>
      </c>
      <c r="AC74" s="24" t="n">
        <f aca="false">AB74/K74</f>
        <v>1.32639724375722</v>
      </c>
      <c r="AD74" s="21" t="n">
        <f aca="false">K74*((1+DepRate*(1-DepTax))^E74-1)</f>
        <v>2.30303335603218</v>
      </c>
      <c r="AE74" s="21" t="n">
        <f aca="false">Y74-AD74</f>
        <v>1.85347876580265</v>
      </c>
    </row>
    <row r="75" customFormat="false" ht="15" hidden="false" customHeight="false" outlineLevel="0" collapsed="false">
      <c r="A75" s="20" t="n">
        <v>6</v>
      </c>
      <c r="B75" s="18" t="str">
        <f aca="false">INDEX(C_Name,A75)</f>
        <v>신길 보라매SK뷰 84.98㎡</v>
      </c>
      <c r="C75" s="20" t="n">
        <v>3</v>
      </c>
      <c r="D75" s="10" t="n">
        <f aca="false">CHOOSE(C75,GrowLo,GrowMid,GrowHi)</f>
        <v>0.06</v>
      </c>
      <c r="E75" s="20" t="n">
        <v>7</v>
      </c>
      <c r="F75" s="20" t="n">
        <f aca="false">MAX(0,E75-NonRes)</f>
        <v>7</v>
      </c>
      <c r="G75" s="18" t="n">
        <f aca="false">INDEX(C_Price,A75)</f>
        <v>20.4</v>
      </c>
      <c r="H75" s="18" t="n">
        <f aca="false">INDEX(C_Acq,A75)</f>
        <v>0.6732</v>
      </c>
      <c r="I75" s="18" t="n">
        <f aca="false">INDEX(C_Fee,A75)</f>
        <v>0.17708</v>
      </c>
      <c r="J75" s="18" t="n">
        <f aca="false">INDEX(C_Loan,A75)</f>
        <v>4</v>
      </c>
      <c r="K75" s="21" t="n">
        <f aca="false">G75-J75+H75+I75</f>
        <v>17.25028</v>
      </c>
      <c r="L75" s="21" t="n">
        <f aca="false">G75*(1+D75)^E75</f>
        <v>30.6740572834238</v>
      </c>
      <c r="M75" s="21" t="n">
        <f aca="false">L75*LOOKUP(L75,FeeLo,FeeR)*(1+VAT)</f>
        <v>0.236190241082363</v>
      </c>
      <c r="N75" s="21" t="n">
        <f aca="false">-CUMIPMT(Rm,LoanYears*12,J75,1,E75*12,0)</f>
        <v>1.04649422888253</v>
      </c>
      <c r="O75" s="21" t="n">
        <f aca="false">J75*(1+Rm)^(E75*12)-(J75*Rm/(1-(1+Rm)^(-LoanYears*12)))*((1+Rm)^(E75*12)-1)/Rm</f>
        <v>3.4423788361186</v>
      </c>
      <c r="P75" s="29" t="n">
        <f aca="false">SUMIFS(Sch_Total,Sch_Idx,A75,Sch_Scen,C75,Sch_Year,"&lt;="&amp;E75)</f>
        <v>0.517577514197068</v>
      </c>
      <c r="Q75" s="21" t="n">
        <f aca="false">H75+I75+M75</f>
        <v>1.08647024108236</v>
      </c>
      <c r="R75" s="21" t="n">
        <f aca="false">L75-G75-Q75</f>
        <v>9.18758704234139</v>
      </c>
      <c r="S75" s="21" t="n">
        <f aca="false">MAX(0,IF(F75&gt;=2,IF(L75&gt;Exempt,R75*(L75-Exempt)/L75,0),R75))</f>
        <v>5.59331050143931</v>
      </c>
      <c r="T75" s="10" t="n">
        <f aca="false">IF(F75&gt;=2,MIN(MaxDed,MIN(0.4,HoldRate*E75)+MIN(0.4,LiveRate*F75)),IF(E75&gt;=3,MIN(0.3,0.02*E75),0))</f>
        <v>0.56</v>
      </c>
      <c r="U75" s="21" t="n">
        <f aca="false">S75*(1-T75)</f>
        <v>2.4610566206333</v>
      </c>
      <c r="V75" s="21" t="n">
        <f aca="false">MAX(0,U75-InitDed)</f>
        <v>2.4360566206333</v>
      </c>
      <c r="W75" s="29" t="n">
        <f aca="false">SUMPRODUCT((V75&gt;CLo)*(V75-CLo)*CD)*(1+LocalTax)</f>
        <v>0.798931667424717</v>
      </c>
      <c r="X75" s="21" t="n">
        <f aca="false">H75+P75+W75</f>
        <v>1.98970918162179</v>
      </c>
      <c r="Y75" s="29" t="n">
        <f aca="false">(L75-G75)-H75-I75-M75-N75-P75-W75</f>
        <v>6.82458363183708</v>
      </c>
      <c r="Z75" s="10" t="n">
        <f aca="false">Y75/K75</f>
        <v>0.395621614944052</v>
      </c>
      <c r="AA75" s="10" t="n">
        <f aca="false">IF(1+Z75&gt;0,(1+Z75)^(1/E75)-1,-1)</f>
        <v>0.0487720339502293</v>
      </c>
      <c r="AB75" s="21" t="n">
        <f aca="false">L75-O75-M75-W75</f>
        <v>26.1965565387981</v>
      </c>
      <c r="AC75" s="24" t="n">
        <f aca="false">AB75/K75</f>
        <v>1.51861630876705</v>
      </c>
      <c r="AD75" s="21" t="n">
        <f aca="false">K75*((1+DepRate*(1-DepTax))^E75-1)</f>
        <v>3.3081546992841</v>
      </c>
      <c r="AE75" s="21" t="n">
        <f aca="false">Y75-AD75</f>
        <v>3.51642893255297</v>
      </c>
    </row>
    <row r="76" customFormat="false" ht="15" hidden="false" customHeight="false" outlineLevel="0" collapsed="false">
      <c r="A76" s="20" t="n">
        <v>6</v>
      </c>
      <c r="B76" s="18" t="str">
        <f aca="false">INDEX(C_Name,A76)</f>
        <v>신길 보라매SK뷰 84.98㎡</v>
      </c>
      <c r="C76" s="20" t="n">
        <v>3</v>
      </c>
      <c r="D76" s="10" t="n">
        <f aca="false">CHOOSE(C76,GrowLo,GrowMid,GrowHi)</f>
        <v>0.06</v>
      </c>
      <c r="E76" s="20" t="n">
        <v>10</v>
      </c>
      <c r="F76" s="20" t="n">
        <f aca="false">MAX(0,E76-NonRes)</f>
        <v>10</v>
      </c>
      <c r="G76" s="18" t="n">
        <f aca="false">INDEX(C_Price,A76)</f>
        <v>20.4</v>
      </c>
      <c r="H76" s="18" t="n">
        <f aca="false">INDEX(C_Acq,A76)</f>
        <v>0.6732</v>
      </c>
      <c r="I76" s="18" t="n">
        <f aca="false">INDEX(C_Fee,A76)</f>
        <v>0.17708</v>
      </c>
      <c r="J76" s="18" t="n">
        <f aca="false">INDEX(C_Loan,A76)</f>
        <v>4</v>
      </c>
      <c r="K76" s="21" t="n">
        <f aca="false">G76-J76+H76+I76</f>
        <v>17.25028</v>
      </c>
      <c r="L76" s="21" t="n">
        <f aca="false">G76*(1+D76)^E76</f>
        <v>36.5332930094742</v>
      </c>
      <c r="M76" s="21" t="n">
        <f aca="false">L76*LOOKUP(L76,FeeLo,FeeR)*(1+VAT)</f>
        <v>0.281306356172952</v>
      </c>
      <c r="N76" s="21" t="n">
        <f aca="false">-CUMIPMT(Rm,LoanYears*12,J76,1,E76*12,0)</f>
        <v>1.44295178669745</v>
      </c>
      <c r="O76" s="21" t="n">
        <f aca="false">J76*(1+Rm)^(E76*12)-(J76*Rm/(1-(1+Rm)^(-LoanYears*12)))*((1+Rm)^(E76*12)-1)/Rm</f>
        <v>3.15135836846326</v>
      </c>
      <c r="P76" s="29" t="n">
        <f aca="false">SUMIFS(Sch_Total,Sch_Idx,A76,Sch_Scen,C76,Sch_Year,"&lt;="&amp;E76)</f>
        <v>0.886903721699272</v>
      </c>
      <c r="Q76" s="21" t="n">
        <f aca="false">H76+I76+M76</f>
        <v>1.13158635617295</v>
      </c>
      <c r="R76" s="21" t="n">
        <f aca="false">L76-G76-Q76</f>
        <v>15.0017066533013</v>
      </c>
      <c r="S76" s="21" t="n">
        <f aca="false">MAX(0,IF(F76&gt;=2,IF(L76&gt;Exempt,R76*(L76-Exempt)/L76,0),R76))</f>
        <v>10.0741333356447</v>
      </c>
      <c r="T76" s="10" t="n">
        <f aca="false">IF(F76&gt;=2,MIN(MaxDed,MIN(0.4,HoldRate*E76)+MIN(0.4,LiveRate*F76)),IF(E76&gt;=3,MIN(0.3,0.02*E76),0))</f>
        <v>0.8</v>
      </c>
      <c r="U76" s="21" t="n">
        <f aca="false">S76*(1-T76)</f>
        <v>2.01482666712894</v>
      </c>
      <c r="V76" s="21" t="n">
        <f aca="false">MAX(0,U76-InitDed)</f>
        <v>1.98982666712894</v>
      </c>
      <c r="W76" s="29" t="n">
        <f aca="false">SUMPRODUCT((V76&gt;CLo)*(V76-CLo)*CD)*(1+LocalTax)</f>
        <v>0.612407546859896</v>
      </c>
      <c r="X76" s="21" t="n">
        <f aca="false">H76+P76+W76</f>
        <v>2.17251126855917</v>
      </c>
      <c r="Y76" s="29" t="n">
        <f aca="false">(L76-G76)-H76-I76-M76-N76-P76-W76</f>
        <v>12.0594435980447</v>
      </c>
      <c r="Z76" s="10" t="n">
        <f aca="false">Y76/K76</f>
        <v>0.699086832100387</v>
      </c>
      <c r="AA76" s="10" t="n">
        <f aca="false">IF(1+Z76&gt;0,(1+Z76)^(1/E76)-1,-1)</f>
        <v>0.0544392351113141</v>
      </c>
      <c r="AB76" s="21" t="n">
        <f aca="false">L76-O76-M76-W76</f>
        <v>32.4882207379781</v>
      </c>
      <c r="AC76" s="24" t="n">
        <f aca="false">AB76/K76</f>
        <v>1.88334454501481</v>
      </c>
      <c r="AD76" s="21" t="n">
        <f aca="false">K76*((1+DepRate*(1-DepTax))^E76-1)</f>
        <v>4.91353781624335</v>
      </c>
      <c r="AE76" s="21" t="n">
        <f aca="false">Y76-AD76</f>
        <v>7.14590578180131</v>
      </c>
    </row>
    <row r="77" customFormat="false" ht="15" hidden="false" customHeight="false" outlineLevel="0" collapsed="false">
      <c r="A77" s="20" t="n">
        <v>7</v>
      </c>
      <c r="B77" s="18" t="str">
        <f aca="false">INDEX(C_Name,A77)</f>
        <v>노량진동 쌍용예가 85㎡</v>
      </c>
      <c r="C77" s="20" t="n">
        <v>1</v>
      </c>
      <c r="D77" s="10" t="n">
        <f aca="false">CHOOSE(C77,GrowLo,GrowMid,GrowHi)</f>
        <v>0.02</v>
      </c>
      <c r="E77" s="20" t="n">
        <v>3</v>
      </c>
      <c r="F77" s="20" t="n">
        <f aca="false">MAX(0,E77-NonRes)</f>
        <v>3</v>
      </c>
      <c r="G77" s="18" t="n">
        <f aca="false">INDEX(C_Price,A77)</f>
        <v>14.5</v>
      </c>
      <c r="H77" s="18" t="n">
        <f aca="false">INDEX(C_Acq,A77)</f>
        <v>0.4785</v>
      </c>
      <c r="I77" s="18" t="n">
        <f aca="false">INDEX(C_Fee,A77)</f>
        <v>0.1157</v>
      </c>
      <c r="J77" s="18" t="n">
        <f aca="false">INDEX(C_Loan,A77)</f>
        <v>5.8</v>
      </c>
      <c r="K77" s="21" t="n">
        <f aca="false">G77-J77+H77+I77</f>
        <v>9.2942</v>
      </c>
      <c r="L77" s="21" t="n">
        <f aca="false">G77*(1+D77)^E77</f>
        <v>15.387516</v>
      </c>
      <c r="M77" s="21" t="n">
        <f aca="false">L77*LOOKUP(L77,FeeLo,FeeR)*(1+VAT)</f>
        <v>0.1184838732</v>
      </c>
      <c r="N77" s="21" t="n">
        <f aca="false">-CUMIPMT(Rm,LoanYears*12,J77,1,E77*12,0)</f>
        <v>0.677769220488804</v>
      </c>
      <c r="O77" s="21" t="n">
        <f aca="false">J77*(1+Rm)^(E77*12)-(J77*Rm/(1-(1+Rm)^(-LoanYears*12)))*((1+Rm)^(E77*12)-1)/Rm</f>
        <v>5.48092608355693</v>
      </c>
      <c r="P77" s="29" t="n">
        <f aca="false">SUMIFS(Sch_Total,Sch_Idx,A77,Sch_Scen,C77,Sch_Year,"&lt;="&amp;E77)</f>
        <v>0.09122380344</v>
      </c>
      <c r="Q77" s="21" t="n">
        <f aca="false">H77+I77+M77</f>
        <v>0.7126838732</v>
      </c>
      <c r="R77" s="21" t="n">
        <f aca="false">L77-G77-Q77</f>
        <v>0.174832126800001</v>
      </c>
      <c r="S77" s="21" t="n">
        <f aca="false">MAX(0,IF(F77&gt;=2,IF(L77&gt;Exempt,R77*(L77-Exempt)/L77,0),R77))</f>
        <v>0.0384887740717237</v>
      </c>
      <c r="T77" s="10" t="n">
        <f aca="false">IF(F77&gt;=2,MIN(MaxDed,MIN(0.4,HoldRate*E77)+MIN(0.4,LiveRate*F77)),IF(E77&gt;=3,MIN(0.3,0.02*E77),0))</f>
        <v>0.24</v>
      </c>
      <c r="U77" s="21" t="n">
        <f aca="false">S77*(1-T77)</f>
        <v>0.02925146829451</v>
      </c>
      <c r="V77" s="21" t="n">
        <f aca="false">MAX(0,U77-InitDed)</f>
        <v>0.00425146829451003</v>
      </c>
      <c r="W77" s="29" t="n">
        <f aca="false">SUMPRODUCT((V77&gt;CLo)*(V77-CLo)*CD)*(1+LocalTax)</f>
        <v>0.000280596907437662</v>
      </c>
      <c r="X77" s="21" t="n">
        <f aca="false">H77+P77+W77</f>
        <v>0.570004400347438</v>
      </c>
      <c r="Y77" s="29" t="n">
        <f aca="false">(L77-G77)-H77-I77-M77-N77-P77-W77</f>
        <v>-0.594441494036241</v>
      </c>
      <c r="Z77" s="10" t="n">
        <f aca="false">Y77/K77</f>
        <v>-0.0639583282085861</v>
      </c>
      <c r="AA77" s="10" t="n">
        <f aca="false">IF(1+Z77&gt;0,(1+Z77)^(1/E77)-1,-1)</f>
        <v>-0.0217908341318462</v>
      </c>
      <c r="AB77" s="21" t="n">
        <f aca="false">L77-O77-M77-W77</f>
        <v>9.78782544633563</v>
      </c>
      <c r="AC77" s="24" t="n">
        <f aca="false">AB77/K77</f>
        <v>1.05311112805143</v>
      </c>
      <c r="AD77" s="21" t="n">
        <f aca="false">K77*((1+DepRate*(1-DepTax))^E77-1)</f>
        <v>0.725772753806116</v>
      </c>
      <c r="AE77" s="21" t="n">
        <f aca="false">Y77-AD77</f>
        <v>-1.32021424784236</v>
      </c>
    </row>
    <row r="78" customFormat="false" ht="15" hidden="false" customHeight="false" outlineLevel="0" collapsed="false">
      <c r="A78" s="20" t="n">
        <v>7</v>
      </c>
      <c r="B78" s="18" t="str">
        <f aca="false">INDEX(C_Name,A78)</f>
        <v>노량진동 쌍용예가 85㎡</v>
      </c>
      <c r="C78" s="20" t="n">
        <v>1</v>
      </c>
      <c r="D78" s="10" t="n">
        <f aca="false">CHOOSE(C78,GrowLo,GrowMid,GrowHi)</f>
        <v>0.02</v>
      </c>
      <c r="E78" s="20" t="n">
        <v>5</v>
      </c>
      <c r="F78" s="20" t="n">
        <f aca="false">MAX(0,E78-NonRes)</f>
        <v>5</v>
      </c>
      <c r="G78" s="18" t="n">
        <f aca="false">INDEX(C_Price,A78)</f>
        <v>14.5</v>
      </c>
      <c r="H78" s="18" t="n">
        <f aca="false">INDEX(C_Acq,A78)</f>
        <v>0.4785</v>
      </c>
      <c r="I78" s="18" t="n">
        <f aca="false">INDEX(C_Fee,A78)</f>
        <v>0.1157</v>
      </c>
      <c r="J78" s="18" t="n">
        <f aca="false">INDEX(C_Loan,A78)</f>
        <v>5.8</v>
      </c>
      <c r="K78" s="21" t="n">
        <f aca="false">G78-J78+H78+I78</f>
        <v>9.2942</v>
      </c>
      <c r="L78" s="21" t="n">
        <f aca="false">G78*(1+D78)^E78</f>
        <v>16.0091716464</v>
      </c>
      <c r="M78" s="21" t="n">
        <f aca="false">L78*LOOKUP(L78,FeeLo,FeeR)*(1+VAT)</f>
        <v>0.12327062167728</v>
      </c>
      <c r="N78" s="21" t="n">
        <f aca="false">-CUMIPMT(Rm,LoanYears*12,J78,1,E78*12,0)</f>
        <v>1.10736099011307</v>
      </c>
      <c r="O78" s="21" t="n">
        <f aca="false">J78*(1+Rm)^(E78*12)-(J78*Rm/(1-(1+Rm)^(-LoanYears*12)))*((1+Rm)^(E78*12)-1)/Rm</f>
        <v>5.24595576189328</v>
      </c>
      <c r="P78" s="29" t="n">
        <f aca="false">SUMIFS(Sch_Total,Sch_Idx,A78,Sch_Scen,C78,Sch_Year,"&lt;="&amp;E78)</f>
        <v>0.155887089098976</v>
      </c>
      <c r="Q78" s="21" t="n">
        <f aca="false">H78+I78+M78</f>
        <v>0.71747062167728</v>
      </c>
      <c r="R78" s="21" t="n">
        <f aca="false">L78-G78-Q78</f>
        <v>0.791701024722719</v>
      </c>
      <c r="S78" s="21" t="n">
        <f aca="false">MAX(0,IF(F78&gt;=2,IF(L78&gt;Exempt,R78*(L78-Exempt)/L78,0),R78))</f>
        <v>0.198265430020416</v>
      </c>
      <c r="T78" s="10" t="n">
        <f aca="false">IF(F78&gt;=2,MIN(MaxDed,MIN(0.4,HoldRate*E78)+MIN(0.4,LiveRate*F78)),IF(E78&gt;=3,MIN(0.3,0.02*E78),0))</f>
        <v>0.4</v>
      </c>
      <c r="U78" s="21" t="n">
        <f aca="false">S78*(1-T78)</f>
        <v>0.11895925801225</v>
      </c>
      <c r="V78" s="21" t="n">
        <f aca="false">MAX(0,U78-InitDed)</f>
        <v>0.0939592580122496</v>
      </c>
      <c r="W78" s="29" t="n">
        <f aca="false">SUMPRODUCT((V78&gt;CLo)*(V78-CLo)*CD)*(1+LocalTax)</f>
        <v>0.00620131102880848</v>
      </c>
      <c r="X78" s="21" t="n">
        <f aca="false">H78+P78+W78</f>
        <v>0.640588400127785</v>
      </c>
      <c r="Y78" s="29" t="n">
        <f aca="false">(L78-G78)-H78-I78-M78-N78-P78-W78</f>
        <v>-0.477748365518139</v>
      </c>
      <c r="Z78" s="10" t="n">
        <f aca="false">Y78/K78</f>
        <v>-0.0514028496823976</v>
      </c>
      <c r="AA78" s="10" t="n">
        <f aca="false">IF(1+Z78&gt;0,(1+Z78)^(1/E78)-1,-1)</f>
        <v>-0.0104987136369634</v>
      </c>
      <c r="AB78" s="21" t="n">
        <f aca="false">L78-O78-M78-W78</f>
        <v>10.6337439518006</v>
      </c>
      <c r="AC78" s="24" t="n">
        <f aca="false">AB78/K78</f>
        <v>1.1441268696392</v>
      </c>
      <c r="AD78" s="21" t="n">
        <f aca="false">K78*((1+DepRate*(1-DepTax))^E78-1)</f>
        <v>1.24084088012683</v>
      </c>
      <c r="AE78" s="21" t="n">
        <f aca="false">Y78-AD78</f>
        <v>-1.71858924564497</v>
      </c>
    </row>
    <row r="79" customFormat="false" ht="15" hidden="false" customHeight="false" outlineLevel="0" collapsed="false">
      <c r="A79" s="20" t="n">
        <v>7</v>
      </c>
      <c r="B79" s="18" t="str">
        <f aca="false">INDEX(C_Name,A79)</f>
        <v>노량진동 쌍용예가 85㎡</v>
      </c>
      <c r="C79" s="20" t="n">
        <v>1</v>
      </c>
      <c r="D79" s="10" t="n">
        <f aca="false">CHOOSE(C79,GrowLo,GrowMid,GrowHi)</f>
        <v>0.02</v>
      </c>
      <c r="E79" s="20" t="n">
        <v>7</v>
      </c>
      <c r="F79" s="20" t="n">
        <f aca="false">MAX(0,E79-NonRes)</f>
        <v>7</v>
      </c>
      <c r="G79" s="18" t="n">
        <f aca="false">INDEX(C_Price,A79)</f>
        <v>14.5</v>
      </c>
      <c r="H79" s="18" t="n">
        <f aca="false">INDEX(C_Acq,A79)</f>
        <v>0.4785</v>
      </c>
      <c r="I79" s="18" t="n">
        <f aca="false">INDEX(C_Fee,A79)</f>
        <v>0.1157</v>
      </c>
      <c r="J79" s="18" t="n">
        <f aca="false">INDEX(C_Loan,A79)</f>
        <v>5.8</v>
      </c>
      <c r="K79" s="21" t="n">
        <f aca="false">G79-J79+H79+I79</f>
        <v>9.2942</v>
      </c>
      <c r="L79" s="21" t="n">
        <f aca="false">G79*(1+D79)^E79</f>
        <v>16.6559421809146</v>
      </c>
      <c r="M79" s="21" t="n">
        <f aca="false">L79*LOOKUP(L79,FeeLo,FeeR)*(1+VAT)</f>
        <v>0.128250754793042</v>
      </c>
      <c r="N79" s="21" t="n">
        <f aca="false">-CUMIPMT(Rm,LoanYears*12,J79,1,E79*12,0)</f>
        <v>1.51741663187967</v>
      </c>
      <c r="O79" s="21" t="n">
        <f aca="false">J79*(1+Rm)^(E79*12)-(J79*Rm/(1-(1+Rm)^(-LoanYears*12)))*((1+Rm)^(E79*12)-1)/Rm</f>
        <v>4.99144931237196</v>
      </c>
      <c r="P79" s="29" t="n">
        <f aca="false">SUMIFS(Sch_Total,Sch_Idx,A79,Sch_Scen,C79,Sch_Year,"&lt;="&amp;E79)</f>
        <v>0.223773619498575</v>
      </c>
      <c r="Q79" s="21" t="n">
        <f aca="false">H79+I79+M79</f>
        <v>0.722450754793042</v>
      </c>
      <c r="R79" s="21" t="n">
        <f aca="false">L79-G79-Q79</f>
        <v>1.43349142612152</v>
      </c>
      <c r="S79" s="21" t="n">
        <f aca="false">MAX(0,IF(F79&gt;=2,IF(L79&gt;Exempt,R79*(L79-Exempt)/L79,0),R79))</f>
        <v>0.400713038287701</v>
      </c>
      <c r="T79" s="10" t="n">
        <f aca="false">IF(F79&gt;=2,MIN(MaxDed,MIN(0.4,HoldRate*E79)+MIN(0.4,LiveRate*F79)),IF(E79&gt;=3,MIN(0.3,0.02*E79),0))</f>
        <v>0.56</v>
      </c>
      <c r="U79" s="21" t="n">
        <f aca="false">S79*(1-T79)</f>
        <v>0.176313736846588</v>
      </c>
      <c r="V79" s="21" t="n">
        <f aca="false">MAX(0,U79-InitDed)</f>
        <v>0.151313736846588</v>
      </c>
      <c r="W79" s="29" t="n">
        <f aca="false">SUMPRODUCT((V79&gt;CLo)*(V79-CLo)*CD)*(1+LocalTax)</f>
        <v>0.0111067665796871</v>
      </c>
      <c r="X79" s="21" t="n">
        <f aca="false">H79+P79+W79</f>
        <v>0.713380386078262</v>
      </c>
      <c r="Y79" s="29" t="n">
        <f aca="false">(L79-G79)-H79-I79-M79-N79-P79-W79</f>
        <v>-0.318805591836412</v>
      </c>
      <c r="Z79" s="10" t="n">
        <f aca="false">Y79/K79</f>
        <v>-0.0343015635381648</v>
      </c>
      <c r="AA79" s="10" t="n">
        <f aca="false">IF(1+Z79&gt;0,(1+Z79)^(1/E79)-1,-1)</f>
        <v>-0.00497382807387459</v>
      </c>
      <c r="AB79" s="21" t="n">
        <f aca="false">L79-O79-M79-W79</f>
        <v>11.5251353471699</v>
      </c>
      <c r="AC79" s="24" t="n">
        <f aca="false">AB79/K79</f>
        <v>1.24003522058594</v>
      </c>
      <c r="AD79" s="21" t="n">
        <f aca="false">K79*((1+DepRate*(1-DepTax))^E79-1)</f>
        <v>1.78238564278877</v>
      </c>
      <c r="AE79" s="21" t="n">
        <f aca="false">Y79-AD79</f>
        <v>-2.10119123462518</v>
      </c>
    </row>
    <row r="80" customFormat="false" ht="15" hidden="false" customHeight="false" outlineLevel="0" collapsed="false">
      <c r="A80" s="20" t="n">
        <v>7</v>
      </c>
      <c r="B80" s="18" t="str">
        <f aca="false">INDEX(C_Name,A80)</f>
        <v>노량진동 쌍용예가 85㎡</v>
      </c>
      <c r="C80" s="20" t="n">
        <v>1</v>
      </c>
      <c r="D80" s="10" t="n">
        <f aca="false">CHOOSE(C80,GrowLo,GrowMid,GrowHi)</f>
        <v>0.02</v>
      </c>
      <c r="E80" s="20" t="n">
        <v>10</v>
      </c>
      <c r="F80" s="20" t="n">
        <f aca="false">MAX(0,E80-NonRes)</f>
        <v>10</v>
      </c>
      <c r="G80" s="18" t="n">
        <f aca="false">INDEX(C_Price,A80)</f>
        <v>14.5</v>
      </c>
      <c r="H80" s="18" t="n">
        <f aca="false">INDEX(C_Acq,A80)</f>
        <v>0.4785</v>
      </c>
      <c r="I80" s="18" t="n">
        <f aca="false">INDEX(C_Fee,A80)</f>
        <v>0.1157</v>
      </c>
      <c r="J80" s="18" t="n">
        <f aca="false">INDEX(C_Loan,A80)</f>
        <v>5.8</v>
      </c>
      <c r="K80" s="21" t="n">
        <f aca="false">G80-J80+H80+I80</f>
        <v>9.2942</v>
      </c>
      <c r="L80" s="21" t="n">
        <f aca="false">G80*(1+D80)^E80</f>
        <v>17.675419089924</v>
      </c>
      <c r="M80" s="21" t="n">
        <f aca="false">L80*LOOKUP(L80,FeeLo,FeeR)*(1+VAT)</f>
        <v>0.136100726992415</v>
      </c>
      <c r="N80" s="21" t="n">
        <f aca="false">-CUMIPMT(Rm,LoanYears*12,J80,1,E80*12,0)</f>
        <v>2.0922800907113</v>
      </c>
      <c r="O80" s="21" t="n">
        <f aca="false">J80*(1+Rm)^(E80*12)-(J80*Rm/(1-(1+Rm)^(-LoanYears*12)))*((1+Rm)^(E80*12)-1)/Rm</f>
        <v>4.56946963427173</v>
      </c>
      <c r="P80" s="29" t="n">
        <f aca="false">SUMIFS(Sch_Total,Sch_Idx,A80,Sch_Scen,C80,Sch_Year,"&lt;="&amp;E80)</f>
        <v>0.331933286000843</v>
      </c>
      <c r="Q80" s="21" t="n">
        <f aca="false">H80+I80+M80</f>
        <v>0.730300726992415</v>
      </c>
      <c r="R80" s="21" t="n">
        <f aca="false">L80-G80-Q80</f>
        <v>2.44511836293157</v>
      </c>
      <c r="S80" s="21" t="n">
        <f aca="false">MAX(0,IF(F80&gt;=2,IF(L80&gt;Exempt,R80*(L80-Exempt)/L80,0),R80))</f>
        <v>0.785105652290656</v>
      </c>
      <c r="T80" s="10" t="n">
        <f aca="false">IF(F80&gt;=2,MIN(MaxDed,MIN(0.4,HoldRate*E80)+MIN(0.4,LiveRate*F80)),IF(E80&gt;=3,MIN(0.3,0.02*E80),0))</f>
        <v>0.8</v>
      </c>
      <c r="U80" s="21" t="n">
        <f aca="false">S80*(1-T80)</f>
        <v>0.157021130458131</v>
      </c>
      <c r="V80" s="21" t="n">
        <f aca="false">MAX(0,U80-InitDed)</f>
        <v>0.132021130458131</v>
      </c>
      <c r="W80" s="29" t="n">
        <f aca="false">SUMPRODUCT((V80&gt;CLo)*(V80-CLo)*CD)*(1+LocalTax)</f>
        <v>0.00871339461023666</v>
      </c>
      <c r="X80" s="21" t="n">
        <f aca="false">H80+P80+W80</f>
        <v>0.81914668061108</v>
      </c>
      <c r="Y80" s="29" t="n">
        <f aca="false">(L80-G80)-H80-I80-M80-N80-P80-W80</f>
        <v>0.0121915916091838</v>
      </c>
      <c r="Z80" s="10" t="n">
        <f aca="false">Y80/K80</f>
        <v>0.00131174190454088</v>
      </c>
      <c r="AA80" s="10" t="n">
        <f aca="false">IF(1+Z80&gt;0,(1+Z80)^(1/E80)-1,-1)</f>
        <v>0.000131096824712351</v>
      </c>
      <c r="AB80" s="21" t="n">
        <f aca="false">L80-O80-M80-W80</f>
        <v>12.9611353340496</v>
      </c>
      <c r="AC80" s="24" t="n">
        <f aca="false">AB80/K80</f>
        <v>1.39454017925691</v>
      </c>
      <c r="AD80" s="21" t="n">
        <f aca="false">K80*((1+DepRate*(1-DepTax))^E80-1)</f>
        <v>2.64734271975463</v>
      </c>
      <c r="AE80" s="21" t="n">
        <f aca="false">Y80-AD80</f>
        <v>-2.63515112814545</v>
      </c>
    </row>
    <row r="81" customFormat="false" ht="15" hidden="false" customHeight="false" outlineLevel="0" collapsed="false">
      <c r="A81" s="20" t="n">
        <v>7</v>
      </c>
      <c r="B81" s="18" t="str">
        <f aca="false">INDEX(C_Name,A81)</f>
        <v>노량진동 쌍용예가 85㎡</v>
      </c>
      <c r="C81" s="20" t="n">
        <v>2</v>
      </c>
      <c r="D81" s="10" t="n">
        <f aca="false">CHOOSE(C81,GrowLo,GrowMid,GrowHi)</f>
        <v>0.04</v>
      </c>
      <c r="E81" s="20" t="n">
        <v>3</v>
      </c>
      <c r="F81" s="20" t="n">
        <f aca="false">MAX(0,E81-NonRes)</f>
        <v>3</v>
      </c>
      <c r="G81" s="18" t="n">
        <f aca="false">INDEX(C_Price,A81)</f>
        <v>14.5</v>
      </c>
      <c r="H81" s="18" t="n">
        <f aca="false">INDEX(C_Acq,A81)</f>
        <v>0.4785</v>
      </c>
      <c r="I81" s="18" t="n">
        <f aca="false">INDEX(C_Fee,A81)</f>
        <v>0.1157</v>
      </c>
      <c r="J81" s="18" t="n">
        <f aca="false">INDEX(C_Loan,A81)</f>
        <v>5.8</v>
      </c>
      <c r="K81" s="21" t="n">
        <f aca="false">G81-J81+H81+I81</f>
        <v>9.2942</v>
      </c>
      <c r="L81" s="21" t="n">
        <f aca="false">G81*(1+D81)^E81</f>
        <v>16.310528</v>
      </c>
      <c r="M81" s="21" t="n">
        <f aca="false">L81*LOOKUP(L81,FeeLo,FeeR)*(1+VAT)</f>
        <v>0.1255910656</v>
      </c>
      <c r="N81" s="21" t="n">
        <f aca="false">-CUMIPMT(Rm,LoanYears*12,J81,1,E81*12,0)</f>
        <v>0.677769220488804</v>
      </c>
      <c r="O81" s="21" t="n">
        <f aca="false">J81*(1+Rm)^(E81*12)-(J81*Rm/(1-(1+Rm)^(-LoanYears*12)))*((1+Rm)^(E81*12)-1)/Rm</f>
        <v>5.48092608355693</v>
      </c>
      <c r="P81" s="29" t="n">
        <f aca="false">SUMIFS(Sch_Total,Sch_Idx,A81,Sch_Scen,C81,Sch_Year,"&lt;="&amp;E81)</f>
        <v>0.09350158176</v>
      </c>
      <c r="Q81" s="21" t="n">
        <f aca="false">H81+I81+M81</f>
        <v>0.7197910656</v>
      </c>
      <c r="R81" s="21" t="n">
        <f aca="false">L81-G81-Q81</f>
        <v>1.0907369344</v>
      </c>
      <c r="S81" s="21" t="n">
        <f aca="false">MAX(0,IF(F81&gt;=2,IF(L81&gt;Exempt,R81*(L81-Exempt)/L81,0),R81))</f>
        <v>0.288258730579744</v>
      </c>
      <c r="T81" s="10" t="n">
        <f aca="false">IF(F81&gt;=2,MIN(MaxDed,MIN(0.4,HoldRate*E81)+MIN(0.4,LiveRate*F81)),IF(E81&gt;=3,MIN(0.3,0.02*E81),0))</f>
        <v>0.24</v>
      </c>
      <c r="U81" s="21" t="n">
        <f aca="false">S81*(1-T81)</f>
        <v>0.219076635240605</v>
      </c>
      <c r="V81" s="21" t="n">
        <f aca="false">MAX(0,U81-InitDed)</f>
        <v>0.194076635240605</v>
      </c>
      <c r="W81" s="29" t="n">
        <f aca="false">SUMPRODUCT((V81&gt;CLo)*(V81-CLo)*CD)*(1+LocalTax)</f>
        <v>0.0181626448146999</v>
      </c>
      <c r="X81" s="21" t="n">
        <f aca="false">H81+P81+W81</f>
        <v>0.5901642265747</v>
      </c>
      <c r="Y81" s="29" t="n">
        <f aca="false">(L81-G81)-H81-I81-M81-N81-P81-W81</f>
        <v>0.301303487336497</v>
      </c>
      <c r="Z81" s="10" t="n">
        <f aca="false">Y81/K81</f>
        <v>0.0324184423981082</v>
      </c>
      <c r="AA81" s="10" t="n">
        <f aca="false">IF(1+Z81&gt;0,(1+Z81)^(1/E81)-1,-1)</f>
        <v>0.0106914333512753</v>
      </c>
      <c r="AB81" s="21" t="n">
        <f aca="false">L81-O81-M81-W81</f>
        <v>10.6858482060284</v>
      </c>
      <c r="AC81" s="24" t="n">
        <f aca="false">AB81/K81</f>
        <v>1.14973297390075</v>
      </c>
      <c r="AD81" s="21" t="n">
        <f aca="false">K81*((1+DepRate*(1-DepTax))^E81-1)</f>
        <v>0.725772753806116</v>
      </c>
      <c r="AE81" s="21" t="n">
        <f aca="false">Y81-AD81</f>
        <v>-0.424469266469619</v>
      </c>
    </row>
    <row r="82" customFormat="false" ht="15" hidden="false" customHeight="false" outlineLevel="0" collapsed="false">
      <c r="A82" s="20" t="n">
        <v>7</v>
      </c>
      <c r="B82" s="18" t="str">
        <f aca="false">INDEX(C_Name,A82)</f>
        <v>노량진동 쌍용예가 85㎡</v>
      </c>
      <c r="C82" s="20" t="n">
        <v>2</v>
      </c>
      <c r="D82" s="10" t="n">
        <f aca="false">CHOOSE(C82,GrowLo,GrowMid,GrowHi)</f>
        <v>0.04</v>
      </c>
      <c r="E82" s="20" t="n">
        <v>5</v>
      </c>
      <c r="F82" s="20" t="n">
        <f aca="false">MAX(0,E82-NonRes)</f>
        <v>5</v>
      </c>
      <c r="G82" s="18" t="n">
        <f aca="false">INDEX(C_Price,A82)</f>
        <v>14.5</v>
      </c>
      <c r="H82" s="18" t="n">
        <f aca="false">INDEX(C_Acq,A82)</f>
        <v>0.4785</v>
      </c>
      <c r="I82" s="18" t="n">
        <f aca="false">INDEX(C_Fee,A82)</f>
        <v>0.1157</v>
      </c>
      <c r="J82" s="18" t="n">
        <f aca="false">INDEX(C_Loan,A82)</f>
        <v>5.8</v>
      </c>
      <c r="K82" s="21" t="n">
        <f aca="false">G82-J82+H82+I82</f>
        <v>9.2942</v>
      </c>
      <c r="L82" s="21" t="n">
        <f aca="false">G82*(1+D82)^E82</f>
        <v>17.6414670848</v>
      </c>
      <c r="M82" s="21" t="n">
        <f aca="false">L82*LOOKUP(L82,FeeLo,FeeR)*(1+VAT)</f>
        <v>0.13583929655296</v>
      </c>
      <c r="N82" s="21" t="n">
        <f aca="false">-CUMIPMT(Rm,LoanYears*12,J82,1,E82*12,0)</f>
        <v>1.10736099011307</v>
      </c>
      <c r="O82" s="21" t="n">
        <f aca="false">J82*(1+Rm)^(E82*12)-(J82*Rm/(1-(1+Rm)^(-LoanYears*12)))*((1+Rm)^(E82*12)-1)/Rm</f>
        <v>5.24595576189328</v>
      </c>
      <c r="P82" s="29" t="n">
        <f aca="false">SUMIFS(Sch_Total,Sch_Idx,A82,Sch_Scen,C82,Sch_Year,"&lt;="&amp;E82)</f>
        <v>0.163787942831616</v>
      </c>
      <c r="Q82" s="21" t="n">
        <f aca="false">H82+I82+M82</f>
        <v>0.73003929655296</v>
      </c>
      <c r="R82" s="21" t="n">
        <f aca="false">L82-G82-Q82</f>
        <v>2.41142778824704</v>
      </c>
      <c r="S82" s="21" t="n">
        <f aca="false">MAX(0,IF(F82&gt;=2,IF(L82&gt;Exempt,R82*(L82-Exempt)/L82,0),R82))</f>
        <v>0.771137141223875</v>
      </c>
      <c r="T82" s="10" t="n">
        <f aca="false">IF(F82&gt;=2,MIN(MaxDed,MIN(0.4,HoldRate*E82)+MIN(0.4,LiveRate*F82)),IF(E82&gt;=3,MIN(0.3,0.02*E82),0))</f>
        <v>0.4</v>
      </c>
      <c r="U82" s="21" t="n">
        <f aca="false">S82*(1-T82)</f>
        <v>0.462682284734325</v>
      </c>
      <c r="V82" s="21" t="n">
        <f aca="false">MAX(0,U82-InitDed)</f>
        <v>0.437682284734325</v>
      </c>
      <c r="W82" s="29" t="n">
        <f aca="false">SUMPRODUCT((V82&gt;CLo)*(V82-CLo)*CD)*(1+LocalTax)</f>
        <v>0.0583575769811636</v>
      </c>
      <c r="X82" s="21" t="n">
        <f aca="false">H82+P82+W82</f>
        <v>0.70064551981278</v>
      </c>
      <c r="Y82" s="29" t="n">
        <f aca="false">(L82-G82)-H82-I82-M82-N82-P82-W82</f>
        <v>1.08192127832119</v>
      </c>
      <c r="Z82" s="10" t="n">
        <f aca="false">Y82/K82</f>
        <v>0.116408219999698</v>
      </c>
      <c r="AA82" s="10" t="n">
        <f aca="false">IF(1+Z82&gt;0,(1+Z82)^(1/E82)-1,-1)</f>
        <v>0.0222676205303451</v>
      </c>
      <c r="AB82" s="21" t="n">
        <f aca="false">L82-O82-M82-W82</f>
        <v>12.2013144493726</v>
      </c>
      <c r="AC82" s="24" t="n">
        <f aca="false">AB82/K82</f>
        <v>1.31278802364621</v>
      </c>
      <c r="AD82" s="21" t="n">
        <f aca="false">K82*((1+DepRate*(1-DepTax))^E82-1)</f>
        <v>1.24084088012683</v>
      </c>
      <c r="AE82" s="21" t="n">
        <f aca="false">Y82-AD82</f>
        <v>-0.158919601805642</v>
      </c>
    </row>
    <row r="83" customFormat="false" ht="15" hidden="false" customHeight="false" outlineLevel="0" collapsed="false">
      <c r="A83" s="20" t="n">
        <v>7</v>
      </c>
      <c r="B83" s="18" t="str">
        <f aca="false">INDEX(C_Name,A83)</f>
        <v>노량진동 쌍용예가 85㎡</v>
      </c>
      <c r="C83" s="20" t="n">
        <v>2</v>
      </c>
      <c r="D83" s="10" t="n">
        <f aca="false">CHOOSE(C83,GrowLo,GrowMid,GrowHi)</f>
        <v>0.04</v>
      </c>
      <c r="E83" s="20" t="n">
        <v>7</v>
      </c>
      <c r="F83" s="20" t="n">
        <f aca="false">MAX(0,E83-NonRes)</f>
        <v>7</v>
      </c>
      <c r="G83" s="18" t="n">
        <f aca="false">INDEX(C_Price,A83)</f>
        <v>14.5</v>
      </c>
      <c r="H83" s="18" t="n">
        <f aca="false">INDEX(C_Acq,A83)</f>
        <v>0.4785</v>
      </c>
      <c r="I83" s="18" t="n">
        <f aca="false">INDEX(C_Fee,A83)</f>
        <v>0.1157</v>
      </c>
      <c r="J83" s="18" t="n">
        <f aca="false">INDEX(C_Loan,A83)</f>
        <v>5.8</v>
      </c>
      <c r="K83" s="21" t="n">
        <f aca="false">G83-J83+H83+I83</f>
        <v>9.2942</v>
      </c>
      <c r="L83" s="21" t="n">
        <f aca="false">G83*(1+D83)^E83</f>
        <v>19.0810107989197</v>
      </c>
      <c r="M83" s="21" t="n">
        <f aca="false">L83*LOOKUP(L83,FeeLo,FeeR)*(1+VAT)</f>
        <v>0.146923783151682</v>
      </c>
      <c r="N83" s="21" t="n">
        <f aca="false">-CUMIPMT(Rm,LoanYears*12,J83,1,E83*12,0)</f>
        <v>1.51741663187967</v>
      </c>
      <c r="O83" s="21" t="n">
        <f aca="false">J83*(1+Rm)^(E83*12)-(J83*Rm/(1-(1+Rm)^(-LoanYears*12)))*((1+Rm)^(E83*12)-1)/Rm</f>
        <v>4.99144931237196</v>
      </c>
      <c r="P83" s="29" t="n">
        <f aca="false">SUMIFS(Sch_Total,Sch_Idx,A83,Sch_Scen,C83,Sch_Year,"&lt;="&amp;E83)</f>
        <v>0.244039127613508</v>
      </c>
      <c r="Q83" s="21" t="n">
        <f aca="false">H83+I83+M83</f>
        <v>0.741123783151682</v>
      </c>
      <c r="R83" s="21" t="n">
        <f aca="false">L83-G83-Q83</f>
        <v>3.839887015768</v>
      </c>
      <c r="S83" s="21" t="n">
        <f aca="false">MAX(0,IF(F83&gt;=2,IF(L83&gt;Exempt,R83*(L83-Exempt)/L83,0),R83))</f>
        <v>1.424991669038</v>
      </c>
      <c r="T83" s="10" t="n">
        <f aca="false">IF(F83&gt;=2,MIN(MaxDed,MIN(0.4,HoldRate*E83)+MIN(0.4,LiveRate*F83)),IF(E83&gt;=3,MIN(0.3,0.02*E83),0))</f>
        <v>0.56</v>
      </c>
      <c r="U83" s="21" t="n">
        <f aca="false">S83*(1-T83)</f>
        <v>0.626996334376721</v>
      </c>
      <c r="V83" s="21" t="n">
        <f aca="false">MAX(0,U83-InitDed)</f>
        <v>0.601996334376721</v>
      </c>
      <c r="W83" s="29" t="n">
        <f aca="false">SUMPRODUCT((V83&gt;CLo)*(V83-CLo)*CD)*(1+LocalTax)</f>
        <v>0.0955670322754544</v>
      </c>
      <c r="X83" s="21" t="n">
        <f aca="false">H83+P83+W83</f>
        <v>0.818106159888962</v>
      </c>
      <c r="Y83" s="29" t="n">
        <f aca="false">(L83-G83)-H83-I83-M83-N83-P83-W83</f>
        <v>1.98286422399937</v>
      </c>
      <c r="Z83" s="10" t="n">
        <f aca="false">Y83/K83</f>
        <v>0.213344260291297</v>
      </c>
      <c r="AA83" s="10" t="n">
        <f aca="false">IF(1+Z83&gt;0,(1+Z83)^(1/E83)-1,-1)</f>
        <v>0.0280109011818255</v>
      </c>
      <c r="AB83" s="21" t="n">
        <f aca="false">L83-O83-M83-W83</f>
        <v>13.8470706711206</v>
      </c>
      <c r="AC83" s="24" t="n">
        <f aca="false">AB83/K83</f>
        <v>1.48986149115799</v>
      </c>
      <c r="AD83" s="21" t="n">
        <f aca="false">K83*((1+DepRate*(1-DepTax))^E83-1)</f>
        <v>1.78238564278877</v>
      </c>
      <c r="AE83" s="21" t="n">
        <f aca="false">Y83-AD83</f>
        <v>0.2004785812106</v>
      </c>
    </row>
    <row r="84" customFormat="false" ht="15" hidden="false" customHeight="false" outlineLevel="0" collapsed="false">
      <c r="A84" s="20" t="n">
        <v>7</v>
      </c>
      <c r="B84" s="18" t="str">
        <f aca="false">INDEX(C_Name,A84)</f>
        <v>노량진동 쌍용예가 85㎡</v>
      </c>
      <c r="C84" s="20" t="n">
        <v>2</v>
      </c>
      <c r="D84" s="10" t="n">
        <f aca="false">CHOOSE(C84,GrowLo,GrowMid,GrowHi)</f>
        <v>0.04</v>
      </c>
      <c r="E84" s="20" t="n">
        <v>10</v>
      </c>
      <c r="F84" s="20" t="n">
        <f aca="false">MAX(0,E84-NonRes)</f>
        <v>10</v>
      </c>
      <c r="G84" s="18" t="n">
        <f aca="false">INDEX(C_Price,A84)</f>
        <v>14.5</v>
      </c>
      <c r="H84" s="18" t="n">
        <f aca="false">INDEX(C_Acq,A84)</f>
        <v>0.4785</v>
      </c>
      <c r="I84" s="18" t="n">
        <f aca="false">INDEX(C_Fee,A84)</f>
        <v>0.1157</v>
      </c>
      <c r="J84" s="18" t="n">
        <f aca="false">INDEX(C_Loan,A84)</f>
        <v>5.8</v>
      </c>
      <c r="K84" s="21" t="n">
        <f aca="false">G84-J84+H84+I84</f>
        <v>9.2942</v>
      </c>
      <c r="L84" s="21" t="n">
        <f aca="false">G84*(1+D84)^E84</f>
        <v>21.463542131316</v>
      </c>
      <c r="M84" s="21" t="n">
        <f aca="false">L84*LOOKUP(L84,FeeLo,FeeR)*(1+VAT)</f>
        <v>0.165269274411133</v>
      </c>
      <c r="N84" s="21" t="n">
        <f aca="false">-CUMIPMT(Rm,LoanYears*12,J84,1,E84*12,0)</f>
        <v>2.0922800907113</v>
      </c>
      <c r="O84" s="21" t="n">
        <f aca="false">J84*(1+Rm)^(E84*12)-(J84*Rm/(1-(1+Rm)^(-LoanYears*12)))*((1+Rm)^(E84*12)-1)/Rm</f>
        <v>4.56946963427173</v>
      </c>
      <c r="P84" s="29" t="n">
        <f aca="false">SUMIFS(Sch_Total,Sch_Idx,A84,Sch_Scen,C84,Sch_Year,"&lt;="&amp;E84)</f>
        <v>0.39260135895519</v>
      </c>
      <c r="Q84" s="21" t="n">
        <f aca="false">H84+I84+M84</f>
        <v>0.759469274411133</v>
      </c>
      <c r="R84" s="21" t="n">
        <f aca="false">L84-G84-Q84</f>
        <v>6.20407285690486</v>
      </c>
      <c r="S84" s="21" t="n">
        <f aca="false">MAX(0,IF(F84&gt;=2,IF(L84&gt;Exempt,R84*(L84-Exempt)/L84,0),R84))</f>
        <v>2.73545272760034</v>
      </c>
      <c r="T84" s="10" t="n">
        <f aca="false">IF(F84&gt;=2,MIN(MaxDed,MIN(0.4,HoldRate*E84)+MIN(0.4,LiveRate*F84)),IF(E84&gt;=3,MIN(0.3,0.02*E84),0))</f>
        <v>0.8</v>
      </c>
      <c r="U84" s="21" t="n">
        <f aca="false">S84*(1-T84)</f>
        <v>0.547090545520068</v>
      </c>
      <c r="V84" s="21" t="n">
        <f aca="false">MAX(0,U84-InitDed)</f>
        <v>0.522090545520068</v>
      </c>
      <c r="W84" s="29" t="n">
        <f aca="false">SUMPRODUCT((V84&gt;CLo)*(V84-CLo)*CD)*(1+LocalTax)</f>
        <v>0.0744719040172979</v>
      </c>
      <c r="X84" s="21" t="n">
        <f aca="false">H84+P84+W84</f>
        <v>0.945573262972488</v>
      </c>
      <c r="Y84" s="29" t="n">
        <f aca="false">(L84-G84)-H84-I84-M84-N84-P84-W84</f>
        <v>3.64471950322107</v>
      </c>
      <c r="Z84" s="10" t="n">
        <f aca="false">Y84/K84</f>
        <v>0.392149889524765</v>
      </c>
      <c r="AA84" s="10" t="n">
        <f aca="false">IF(1+Z84&gt;0,(1+Z84)^(1/E84)-1,-1)</f>
        <v>0.0336383157360167</v>
      </c>
      <c r="AB84" s="21" t="n">
        <f aca="false">L84-O84-M84-W84</f>
        <v>16.6543313186158</v>
      </c>
      <c r="AC84" s="24" t="n">
        <f aca="false">AB84/K84</f>
        <v>1.79190584650813</v>
      </c>
      <c r="AD84" s="21" t="n">
        <f aca="false">K84*((1+DepRate*(1-DepTax))^E84-1)</f>
        <v>2.64734271975463</v>
      </c>
      <c r="AE84" s="21" t="n">
        <f aca="false">Y84-AD84</f>
        <v>0.997376783466436</v>
      </c>
    </row>
    <row r="85" customFormat="false" ht="15" hidden="false" customHeight="false" outlineLevel="0" collapsed="false">
      <c r="A85" s="20" t="n">
        <v>7</v>
      </c>
      <c r="B85" s="18" t="str">
        <f aca="false">INDEX(C_Name,A85)</f>
        <v>노량진동 쌍용예가 85㎡</v>
      </c>
      <c r="C85" s="20" t="n">
        <v>3</v>
      </c>
      <c r="D85" s="10" t="n">
        <f aca="false">CHOOSE(C85,GrowLo,GrowMid,GrowHi)</f>
        <v>0.06</v>
      </c>
      <c r="E85" s="20" t="n">
        <v>3</v>
      </c>
      <c r="F85" s="20" t="n">
        <f aca="false">MAX(0,E85-NonRes)</f>
        <v>3</v>
      </c>
      <c r="G85" s="18" t="n">
        <f aca="false">INDEX(C_Price,A85)</f>
        <v>14.5</v>
      </c>
      <c r="H85" s="18" t="n">
        <f aca="false">INDEX(C_Acq,A85)</f>
        <v>0.4785</v>
      </c>
      <c r="I85" s="18" t="n">
        <f aca="false">INDEX(C_Fee,A85)</f>
        <v>0.1157</v>
      </c>
      <c r="J85" s="18" t="n">
        <f aca="false">INDEX(C_Loan,A85)</f>
        <v>5.8</v>
      </c>
      <c r="K85" s="21" t="n">
        <f aca="false">G85-J85+H85+I85</f>
        <v>9.2942</v>
      </c>
      <c r="L85" s="21" t="n">
        <f aca="false">G85*(1+D85)^E85</f>
        <v>17.269732</v>
      </c>
      <c r="M85" s="21" t="n">
        <f aca="false">L85*LOOKUP(L85,FeeLo,FeeR)*(1+VAT)</f>
        <v>0.1329769364</v>
      </c>
      <c r="N85" s="21" t="n">
        <f aca="false">-CUMIPMT(Rm,LoanYears*12,J85,1,E85*12,0)</f>
        <v>0.677769220488804</v>
      </c>
      <c r="O85" s="21" t="n">
        <f aca="false">J85*(1+Rm)^(E85*12)-(J85*Rm/(1-(1+Rm)^(-LoanYears*12)))*((1+Rm)^(E85*12)-1)/Rm</f>
        <v>5.48092608355693</v>
      </c>
      <c r="P85" s="29" t="n">
        <f aca="false">SUMIFS(Sch_Total,Sch_Idx,A85,Sch_Scen,C85,Sch_Year,"&lt;="&amp;E85)</f>
        <v>0.09580913496</v>
      </c>
      <c r="Q85" s="21" t="n">
        <f aca="false">H85+I85+M85</f>
        <v>0.7271769364</v>
      </c>
      <c r="R85" s="21" t="n">
        <f aca="false">L85-G85-Q85</f>
        <v>2.0425550636</v>
      </c>
      <c r="S85" s="21" t="n">
        <f aca="false">MAX(0,IF(F85&gt;=2,IF(L85&gt;Exempt,R85*(L85-Exempt)/L85,0),R85))</f>
        <v>0.62327069003821</v>
      </c>
      <c r="T85" s="10" t="n">
        <f aca="false">IF(F85&gt;=2,MIN(MaxDed,MIN(0.4,HoldRate*E85)+MIN(0.4,LiveRate*F85)),IF(E85&gt;=3,MIN(0.3,0.02*E85),0))</f>
        <v>0.24</v>
      </c>
      <c r="U85" s="21" t="n">
        <f aca="false">S85*(1-T85)</f>
        <v>0.47368572442904</v>
      </c>
      <c r="V85" s="21" t="n">
        <f aca="false">MAX(0,U85-InitDed)</f>
        <v>0.44868572442904</v>
      </c>
      <c r="W85" s="29" t="n">
        <f aca="false">SUMPRODUCT((V85&gt;CLo)*(V85-CLo)*CD)*(1+LocalTax)</f>
        <v>0.0601731445307916</v>
      </c>
      <c r="X85" s="21" t="n">
        <f aca="false">H85+P85+W85</f>
        <v>0.634482279490792</v>
      </c>
      <c r="Y85" s="29" t="n">
        <f aca="false">(L85-G85)-H85-I85-M85-N85-P85-W85</f>
        <v>1.20880356362041</v>
      </c>
      <c r="Z85" s="10" t="n">
        <f aca="false">Y85/K85</f>
        <v>0.130059990490887</v>
      </c>
      <c r="AA85" s="10" t="n">
        <f aca="false">IF(1+Z85&gt;0,(1+Z85)^(1/E85)-1,-1)</f>
        <v>0.0415988691106926</v>
      </c>
      <c r="AB85" s="21" t="n">
        <f aca="false">L85-O85-M85-W85</f>
        <v>11.5956558355123</v>
      </c>
      <c r="AC85" s="24" t="n">
        <f aca="false">AB85/K85</f>
        <v>1.2476228008341</v>
      </c>
      <c r="AD85" s="21" t="n">
        <f aca="false">K85*((1+DepRate*(1-DepTax))^E85-1)</f>
        <v>0.725772753806116</v>
      </c>
      <c r="AE85" s="21" t="n">
        <f aca="false">Y85-AD85</f>
        <v>0.483030809814289</v>
      </c>
    </row>
    <row r="86" customFormat="false" ht="15" hidden="false" customHeight="false" outlineLevel="0" collapsed="false">
      <c r="A86" s="20" t="n">
        <v>7</v>
      </c>
      <c r="B86" s="18" t="str">
        <f aca="false">INDEX(C_Name,A86)</f>
        <v>노량진동 쌍용예가 85㎡</v>
      </c>
      <c r="C86" s="20" t="n">
        <v>3</v>
      </c>
      <c r="D86" s="10" t="n">
        <f aca="false">CHOOSE(C86,GrowLo,GrowMid,GrowHi)</f>
        <v>0.06</v>
      </c>
      <c r="E86" s="20" t="n">
        <v>5</v>
      </c>
      <c r="F86" s="20" t="n">
        <f aca="false">MAX(0,E86-NonRes)</f>
        <v>5</v>
      </c>
      <c r="G86" s="18" t="n">
        <f aca="false">INDEX(C_Price,A86)</f>
        <v>14.5</v>
      </c>
      <c r="H86" s="18" t="n">
        <f aca="false">INDEX(C_Acq,A86)</f>
        <v>0.4785</v>
      </c>
      <c r="I86" s="18" t="n">
        <f aca="false">INDEX(C_Fee,A86)</f>
        <v>0.1157</v>
      </c>
      <c r="J86" s="18" t="n">
        <f aca="false">INDEX(C_Loan,A86)</f>
        <v>5.8</v>
      </c>
      <c r="K86" s="21" t="n">
        <f aca="false">G86-J86+H86+I86</f>
        <v>9.2942</v>
      </c>
      <c r="L86" s="21" t="n">
        <f aca="false">G86*(1+D86)^E86</f>
        <v>19.4042708752</v>
      </c>
      <c r="M86" s="21" t="n">
        <f aca="false">L86*LOOKUP(L86,FeeLo,FeeR)*(1+VAT)</f>
        <v>0.14941288573904</v>
      </c>
      <c r="N86" s="21" t="n">
        <f aca="false">-CUMIPMT(Rm,LoanYears*12,J86,1,E86*12,0)</f>
        <v>1.10736099011307</v>
      </c>
      <c r="O86" s="21" t="n">
        <f aca="false">J86*(1+Rm)^(E86*12)-(J86*Rm/(1-(1+Rm)^(-LoanYears*12)))*((1+Rm)^(E86*12)-1)/Rm</f>
        <v>5.24595576189328</v>
      </c>
      <c r="P86" s="29" t="n">
        <f aca="false">SUMIFS(Sch_Total,Sch_Idx,A86,Sch_Scen,C86,Sch_Year,"&lt;="&amp;E86)</f>
        <v>0.174276603186336</v>
      </c>
      <c r="Q86" s="21" t="n">
        <f aca="false">H86+I86+M86</f>
        <v>0.74361288573904</v>
      </c>
      <c r="R86" s="21" t="n">
        <f aca="false">L86-G86-Q86</f>
        <v>4.16065798946097</v>
      </c>
      <c r="S86" s="21" t="n">
        <f aca="false">MAX(0,IF(F86&gt;=2,IF(L86&gt;Exempt,R86*(L86-Exempt)/L86,0),R86))</f>
        <v>1.58762155873669</v>
      </c>
      <c r="T86" s="10" t="n">
        <f aca="false">IF(F86&gt;=2,MIN(MaxDed,MIN(0.4,HoldRate*E86)+MIN(0.4,LiveRate*F86)),IF(E86&gt;=3,MIN(0.3,0.02*E86),0))</f>
        <v>0.4</v>
      </c>
      <c r="U86" s="21" t="n">
        <f aca="false">S86*(1-T86)</f>
        <v>0.952572935242015</v>
      </c>
      <c r="V86" s="21" t="n">
        <f aca="false">MAX(0,U86-InitDed)</f>
        <v>0.927572935242015</v>
      </c>
      <c r="W86" s="29" t="n">
        <f aca="false">SUMPRODUCT((V86&gt;CLo)*(V86-CLo)*CD)*(1+LocalTax)</f>
        <v>0.187275580068176</v>
      </c>
      <c r="X86" s="21" t="n">
        <f aca="false">H86+P86+W86</f>
        <v>0.840052183254512</v>
      </c>
      <c r="Y86" s="29" t="n">
        <f aca="false">(L86-G86)-H86-I86-M86-N86-P86-W86</f>
        <v>2.69174481609338</v>
      </c>
      <c r="Z86" s="10" t="n">
        <f aca="false">Y86/K86</f>
        <v>0.289615546910264</v>
      </c>
      <c r="AA86" s="10" t="n">
        <f aca="false">IF(1+Z86&gt;0,(1+Z86)^(1/E86)-1,-1)</f>
        <v>0.0521848687849342</v>
      </c>
      <c r="AB86" s="21" t="n">
        <f aca="false">L86-O86-M86-W86</f>
        <v>13.8216266474995</v>
      </c>
      <c r="AC86" s="24" t="n">
        <f aca="false">AB86/K86</f>
        <v>1.48712386730429</v>
      </c>
      <c r="AD86" s="21" t="n">
        <f aca="false">K86*((1+DepRate*(1-DepTax))^E86-1)</f>
        <v>1.24084088012683</v>
      </c>
      <c r="AE86" s="21" t="n">
        <f aca="false">Y86-AD86</f>
        <v>1.45090393596655</v>
      </c>
    </row>
    <row r="87" customFormat="false" ht="15" hidden="false" customHeight="false" outlineLevel="0" collapsed="false">
      <c r="A87" s="20" t="n">
        <v>7</v>
      </c>
      <c r="B87" s="18" t="str">
        <f aca="false">INDEX(C_Name,A87)</f>
        <v>노량진동 쌍용예가 85㎡</v>
      </c>
      <c r="C87" s="20" t="n">
        <v>3</v>
      </c>
      <c r="D87" s="10" t="n">
        <f aca="false">CHOOSE(C87,GrowLo,GrowMid,GrowHi)</f>
        <v>0.06</v>
      </c>
      <c r="E87" s="20" t="n">
        <v>7</v>
      </c>
      <c r="F87" s="20" t="n">
        <f aca="false">MAX(0,E87-NonRes)</f>
        <v>7</v>
      </c>
      <c r="G87" s="18" t="n">
        <f aca="false">INDEX(C_Price,A87)</f>
        <v>14.5</v>
      </c>
      <c r="H87" s="18" t="n">
        <f aca="false">INDEX(C_Acq,A87)</f>
        <v>0.4785</v>
      </c>
      <c r="I87" s="18" t="n">
        <f aca="false">INDEX(C_Fee,A87)</f>
        <v>0.1157</v>
      </c>
      <c r="J87" s="18" t="n">
        <f aca="false">INDEX(C_Loan,A87)</f>
        <v>5.8</v>
      </c>
      <c r="K87" s="21" t="n">
        <f aca="false">G87-J87+H87+I87</f>
        <v>9.2942</v>
      </c>
      <c r="L87" s="21" t="n">
        <f aca="false">G87*(1+D87)^E87</f>
        <v>21.8026387553747</v>
      </c>
      <c r="M87" s="21" t="n">
        <f aca="false">L87*LOOKUP(L87,FeeLo,FeeR)*(1+VAT)</f>
        <v>0.167880318416385</v>
      </c>
      <c r="N87" s="21" t="n">
        <f aca="false">-CUMIPMT(Rm,LoanYears*12,J87,1,E87*12,0)</f>
        <v>1.51741663187967</v>
      </c>
      <c r="O87" s="21" t="n">
        <f aca="false">J87*(1+Rm)^(E87*12)-(J87*Rm/(1-(1+Rm)^(-LoanYears*12)))*((1+Rm)^(E87*12)-1)/Rm</f>
        <v>4.99144931237196</v>
      </c>
      <c r="P87" s="29" t="n">
        <f aca="false">SUMIFS(Sch_Total,Sch_Idx,A87,Sch_Scen,C87,Sch_Year,"&lt;="&amp;E87)</f>
        <v>0.274651211339444</v>
      </c>
      <c r="Q87" s="21" t="n">
        <f aca="false">H87+I87+M87</f>
        <v>0.762080318416386</v>
      </c>
      <c r="R87" s="21" t="n">
        <f aca="false">L87-G87-Q87</f>
        <v>6.54055843695834</v>
      </c>
      <c r="S87" s="21" t="n">
        <f aca="false">MAX(0,IF(F87&gt;=2,IF(L87&gt;Exempt,R87*(L87-Exempt)/L87,0),R87))</f>
        <v>2.94068678270036</v>
      </c>
      <c r="T87" s="10" t="n">
        <f aca="false">IF(F87&gt;=2,MIN(MaxDed,MIN(0.4,HoldRate*E87)+MIN(0.4,LiveRate*F87)),IF(E87&gt;=3,MIN(0.3,0.02*E87),0))</f>
        <v>0.56</v>
      </c>
      <c r="U87" s="21" t="n">
        <f aca="false">S87*(1-T87)</f>
        <v>1.29390218438816</v>
      </c>
      <c r="V87" s="21" t="n">
        <f aca="false">MAX(0,U87-InitDed)</f>
        <v>1.26890218438816</v>
      </c>
      <c r="W87" s="29" t="n">
        <f aca="false">SUMPRODUCT((V87&gt;CLo)*(V87-CLo)*CD)*(1+LocalTax)</f>
        <v>0.31868734098944</v>
      </c>
      <c r="X87" s="21" t="n">
        <f aca="false">H87+P87+W87</f>
        <v>1.07183855232888</v>
      </c>
      <c r="Y87" s="29" t="n">
        <f aca="false">(L87-G87)-H87-I87-M87-N87-P87-W87</f>
        <v>4.42980325274979</v>
      </c>
      <c r="Z87" s="10" t="n">
        <f aca="false">Y87/K87</f>
        <v>0.476620177395558</v>
      </c>
      <c r="AA87" s="10" t="n">
        <f aca="false">IF(1+Z87&gt;0,(1+Z87)^(1/E87)-1,-1)</f>
        <v>0.0572586741259664</v>
      </c>
      <c r="AB87" s="21" t="n">
        <f aca="false">L87-O87-M87-W87</f>
        <v>16.3246217835969</v>
      </c>
      <c r="AC87" s="24" t="n">
        <f aca="false">AB87/K87</f>
        <v>1.7564310842888</v>
      </c>
      <c r="AD87" s="21" t="n">
        <f aca="false">K87*((1+DepRate*(1-DepTax))^E87-1)</f>
        <v>1.78238564278877</v>
      </c>
      <c r="AE87" s="21" t="n">
        <f aca="false">Y87-AD87</f>
        <v>2.64741760996102</v>
      </c>
    </row>
    <row r="88" customFormat="false" ht="15" hidden="false" customHeight="false" outlineLevel="0" collapsed="false">
      <c r="A88" s="20" t="n">
        <v>7</v>
      </c>
      <c r="B88" s="18" t="str">
        <f aca="false">INDEX(C_Name,A88)</f>
        <v>노량진동 쌍용예가 85㎡</v>
      </c>
      <c r="C88" s="20" t="n">
        <v>3</v>
      </c>
      <c r="D88" s="10" t="n">
        <f aca="false">CHOOSE(C88,GrowLo,GrowMid,GrowHi)</f>
        <v>0.06</v>
      </c>
      <c r="E88" s="20" t="n">
        <v>10</v>
      </c>
      <c r="F88" s="20" t="n">
        <f aca="false">MAX(0,E88-NonRes)</f>
        <v>10</v>
      </c>
      <c r="G88" s="18" t="n">
        <f aca="false">INDEX(C_Price,A88)</f>
        <v>14.5</v>
      </c>
      <c r="H88" s="18" t="n">
        <f aca="false">INDEX(C_Acq,A88)</f>
        <v>0.4785</v>
      </c>
      <c r="I88" s="18" t="n">
        <f aca="false">INDEX(C_Fee,A88)</f>
        <v>0.1157</v>
      </c>
      <c r="J88" s="18" t="n">
        <f aca="false">INDEX(C_Loan,A88)</f>
        <v>5.8</v>
      </c>
      <c r="K88" s="21" t="n">
        <f aca="false">G88-J88+H88+I88</f>
        <v>9.2942</v>
      </c>
      <c r="L88" s="21" t="n">
        <f aca="false">G88*(1+D88)^E88</f>
        <v>25.9672915998714</v>
      </c>
      <c r="M88" s="21" t="n">
        <f aca="false">L88*LOOKUP(L88,FeeLo,FeeR)*(1+VAT)</f>
        <v>0.19994814531901</v>
      </c>
      <c r="N88" s="21" t="n">
        <f aca="false">-CUMIPMT(Rm,LoanYears*12,J88,1,E88*12,0)</f>
        <v>2.0922800907113</v>
      </c>
      <c r="O88" s="21" t="n">
        <f aca="false">J88*(1+Rm)^(E88*12)-(J88*Rm/(1-(1+Rm)^(-LoanYears*12)))*((1+Rm)^(E88*12)-1)/Rm</f>
        <v>4.56946963427173</v>
      </c>
      <c r="P88" s="29" t="n">
        <f aca="false">SUMIFS(Sch_Total,Sch_Idx,A88,Sch_Scen,C88,Sch_Year,"&lt;="&amp;E88)</f>
        <v>0.472951687789173</v>
      </c>
      <c r="Q88" s="21" t="n">
        <f aca="false">H88+I88+M88</f>
        <v>0.79414814531901</v>
      </c>
      <c r="R88" s="21" t="n">
        <f aca="false">L88-G88-Q88</f>
        <v>10.6731434545524</v>
      </c>
      <c r="S88" s="21" t="n">
        <f aca="false">MAX(0,IF(F88&gt;=2,IF(L88&gt;Exempt,R88*(L88-Exempt)/L88,0),R88))</f>
        <v>5.74087237183142</v>
      </c>
      <c r="T88" s="10" t="n">
        <f aca="false">IF(F88&gt;=2,MIN(MaxDed,MIN(0.4,HoldRate*E88)+MIN(0.4,LiveRate*F88)),IF(E88&gt;=3,MIN(0.3,0.02*E88),0))</f>
        <v>0.8</v>
      </c>
      <c r="U88" s="21" t="n">
        <f aca="false">S88*(1-T88)</f>
        <v>1.14817447436628</v>
      </c>
      <c r="V88" s="21" t="n">
        <f aca="false">MAX(0,U88-InitDed)</f>
        <v>1.12317447436628</v>
      </c>
      <c r="W88" s="29" t="n">
        <f aca="false">SUMPRODUCT((V88&gt;CLo)*(V88-CLo)*CD)*(1+LocalTax)</f>
        <v>0.262582172631019</v>
      </c>
      <c r="X88" s="21" t="n">
        <f aca="false">H88+P88+W88</f>
        <v>1.21403386042019</v>
      </c>
      <c r="Y88" s="29" t="n">
        <f aca="false">(L88-G88)-H88-I88-M88-N88-P88-W88</f>
        <v>7.84532950342089</v>
      </c>
      <c r="Z88" s="10" t="n">
        <f aca="false">Y88/K88</f>
        <v>0.8441102519228</v>
      </c>
      <c r="AA88" s="10" t="n">
        <f aca="false">IF(1+Z88&gt;0,(1+Z88)^(1/E88)-1,-1)</f>
        <v>0.0631111870355858</v>
      </c>
      <c r="AB88" s="21" t="n">
        <f aca="false">L88-O88-M88-W88</f>
        <v>20.9352916476496</v>
      </c>
      <c r="AC88" s="24" t="n">
        <f aca="false">AB88/K88</f>
        <v>2.25251142084845</v>
      </c>
      <c r="AD88" s="21" t="n">
        <f aca="false">K88*((1+DepRate*(1-DepTax))^E88-1)</f>
        <v>2.64734271975463</v>
      </c>
      <c r="AE88" s="21" t="n">
        <f aca="false">Y88-AD88</f>
        <v>5.19798678366625</v>
      </c>
    </row>
    <row r="89" customFormat="false" ht="15" hidden="false" customHeight="false" outlineLevel="0" collapsed="false">
      <c r="A89" s="20" t="n">
        <v>8</v>
      </c>
      <c r="B89" s="18" t="str">
        <f aca="false">INDEX(C_Name,A89)</f>
        <v>본동 래미안트윈파크 (32평형)</v>
      </c>
      <c r="C89" s="20" t="n">
        <v>1</v>
      </c>
      <c r="D89" s="10" t="n">
        <f aca="false">CHOOSE(C89,GrowLo,GrowMid,GrowHi)</f>
        <v>0.02</v>
      </c>
      <c r="E89" s="20" t="n">
        <v>3</v>
      </c>
      <c r="F89" s="20" t="n">
        <f aca="false">MAX(0,E89-NonRes)</f>
        <v>3</v>
      </c>
      <c r="G89" s="18" t="n">
        <f aca="false">INDEX(C_Price,A89)</f>
        <v>24.2</v>
      </c>
      <c r="H89" s="18" t="n">
        <f aca="false">INDEX(C_Acq,A89)</f>
        <v>0.7986</v>
      </c>
      <c r="I89" s="18" t="n">
        <f aca="false">INDEX(C_Fee,A89)</f>
        <v>0.20634</v>
      </c>
      <c r="J89" s="18" t="n">
        <f aca="false">INDEX(C_Loan,A89)</f>
        <v>4</v>
      </c>
      <c r="K89" s="21" t="n">
        <f aca="false">G89-J89+H89+I89</f>
        <v>21.20494</v>
      </c>
      <c r="L89" s="21" t="n">
        <f aca="false">G89*(1+D89)^E89</f>
        <v>25.6812336</v>
      </c>
      <c r="M89" s="21" t="n">
        <f aca="false">L89*LOOKUP(L89,FeeLo,FeeR)*(1+VAT)</f>
        <v>0.19774549872</v>
      </c>
      <c r="N89" s="21" t="n">
        <f aca="false">-CUMIPMT(Rm,LoanYears*12,J89,1,E89*12,0)</f>
        <v>0.467427048612969</v>
      </c>
      <c r="O89" s="21" t="n">
        <f aca="false">J89*(1+Rm)^(E89*12)-(J89*Rm/(1-(1+Rm)^(-LoanYears*12)))*((1+Rm)^(E89*12)-1)/Rm</f>
        <v>3.77994902314271</v>
      </c>
      <c r="P89" s="29" t="n">
        <f aca="false">SUMIFS(Sch_Total,Sch_Idx,A89,Sch_Scen,C89,Sch_Year,"&lt;="&amp;E89)</f>
        <v>0.222373298592</v>
      </c>
      <c r="Q89" s="21" t="n">
        <f aca="false">H89+I89+M89</f>
        <v>1.20268549872</v>
      </c>
      <c r="R89" s="21" t="n">
        <f aca="false">L89-G89-Q89</f>
        <v>0.278548101280003</v>
      </c>
      <c r="S89" s="21" t="n">
        <f aca="false">MAX(0,IF(F89&gt;=2,IF(L89&gt;Exempt,R89*(L89-Exempt)/L89,0),R89))</f>
        <v>0.148391689503894</v>
      </c>
      <c r="T89" s="10" t="n">
        <f aca="false">IF(F89&gt;=2,MIN(MaxDed,MIN(0.4,HoldRate*E89)+MIN(0.4,LiveRate*F89)),IF(E89&gt;=3,MIN(0.3,0.02*E89),0))</f>
        <v>0.24</v>
      </c>
      <c r="U89" s="21" t="n">
        <f aca="false">S89*(1-T89)</f>
        <v>0.11277768402296</v>
      </c>
      <c r="V89" s="21" t="n">
        <f aca="false">MAX(0,U89-InitDed)</f>
        <v>0.0877776840229597</v>
      </c>
      <c r="W89" s="29" t="n">
        <f aca="false">SUMPRODUCT((V89&gt;CLo)*(V89-CLo)*CD)*(1+LocalTax)</f>
        <v>0.00579332714551534</v>
      </c>
      <c r="X89" s="21" t="n">
        <f aca="false">H89+P89+W89</f>
        <v>1.02676662573752</v>
      </c>
      <c r="Y89" s="29" t="n">
        <f aca="false">(L89-G89)-H89-I89-M89-N89-P89-W89</f>
        <v>-0.417045573070481</v>
      </c>
      <c r="Z89" s="10" t="n">
        <f aca="false">Y89/K89</f>
        <v>-0.0196673781237052</v>
      </c>
      <c r="AA89" s="10" t="n">
        <f aca="false">IF(1+Z89&gt;0,(1+Z89)^(1/E89)-1,-1)</f>
        <v>-0.00659924696926129</v>
      </c>
      <c r="AB89" s="21" t="n">
        <f aca="false">L89-O89-M89-W89</f>
        <v>21.6977457509918</v>
      </c>
      <c r="AC89" s="24" t="n">
        <f aca="false">AB89/K89</f>
        <v>1.02324013890121</v>
      </c>
      <c r="AD89" s="21" t="n">
        <f aca="false">K89*((1+DepRate*(1-DepTax))^E89-1)</f>
        <v>1.65586792818031</v>
      </c>
      <c r="AE89" s="21" t="n">
        <f aca="false">Y89-AD89</f>
        <v>-2.07291350125079</v>
      </c>
    </row>
    <row r="90" customFormat="false" ht="15" hidden="false" customHeight="false" outlineLevel="0" collapsed="false">
      <c r="A90" s="20" t="n">
        <v>8</v>
      </c>
      <c r="B90" s="18" t="str">
        <f aca="false">INDEX(C_Name,A90)</f>
        <v>본동 래미안트윈파크 (32평형)</v>
      </c>
      <c r="C90" s="20" t="n">
        <v>1</v>
      </c>
      <c r="D90" s="10" t="n">
        <f aca="false">CHOOSE(C90,GrowLo,GrowMid,GrowHi)</f>
        <v>0.02</v>
      </c>
      <c r="E90" s="20" t="n">
        <v>5</v>
      </c>
      <c r="F90" s="20" t="n">
        <f aca="false">MAX(0,E90-NonRes)</f>
        <v>5</v>
      </c>
      <c r="G90" s="18" t="n">
        <f aca="false">INDEX(C_Price,A90)</f>
        <v>24.2</v>
      </c>
      <c r="H90" s="18" t="n">
        <f aca="false">INDEX(C_Acq,A90)</f>
        <v>0.7986</v>
      </c>
      <c r="I90" s="18" t="n">
        <f aca="false">INDEX(C_Fee,A90)</f>
        <v>0.20634</v>
      </c>
      <c r="J90" s="18" t="n">
        <f aca="false">INDEX(C_Loan,A90)</f>
        <v>4</v>
      </c>
      <c r="K90" s="21" t="n">
        <f aca="false">G90-J90+H90+I90</f>
        <v>21.20494</v>
      </c>
      <c r="L90" s="21" t="n">
        <f aca="false">G90*(1+D90)^E90</f>
        <v>26.71875543744</v>
      </c>
      <c r="M90" s="21" t="n">
        <f aca="false">L90*LOOKUP(L90,FeeLo,FeeR)*(1+VAT)</f>
        <v>0.205734416868288</v>
      </c>
      <c r="N90" s="21" t="n">
        <f aca="false">-CUMIPMT(Rm,LoanYears*12,J90,1,E90*12,0)</f>
        <v>0.76369723456074</v>
      </c>
      <c r="O90" s="21" t="n">
        <f aca="false">J90*(1+Rm)^(E90*12)-(J90*Rm/(1-(1+Rm)^(-LoanYears*12)))*((1+Rm)^(E90*12)-1)/Rm</f>
        <v>3.61790052544364</v>
      </c>
      <c r="P90" s="29" t="n">
        <f aca="false">SUMIFS(Sch_Total,Sch_Idx,A90,Sch_Scen,C90,Sch_Year,"&lt;="&amp;E90)</f>
        <v>0.385453148303117</v>
      </c>
      <c r="Q90" s="21" t="n">
        <f aca="false">H90+I90+M90</f>
        <v>1.21067441686829</v>
      </c>
      <c r="R90" s="21" t="n">
        <f aca="false">L90-G90-Q90</f>
        <v>1.30808102057171</v>
      </c>
      <c r="S90" s="21" t="n">
        <f aca="false">MAX(0,IF(F90&gt;=2,IF(L90&gt;Exempt,R90*(L90-Exempt)/L90,0),R90))</f>
        <v>0.720592120363996</v>
      </c>
      <c r="T90" s="10" t="n">
        <f aca="false">IF(F90&gt;=2,MIN(MaxDed,MIN(0.4,HoldRate*E90)+MIN(0.4,LiveRate*F90)),IF(E90&gt;=3,MIN(0.3,0.02*E90),0))</f>
        <v>0.4</v>
      </c>
      <c r="U90" s="21" t="n">
        <f aca="false">S90*(1-T90)</f>
        <v>0.432355272218398</v>
      </c>
      <c r="V90" s="21" t="n">
        <f aca="false">MAX(0,U90-InitDed)</f>
        <v>0.407355272218398</v>
      </c>
      <c r="W90" s="29" t="n">
        <f aca="false">SUMPRODUCT((V90&gt;CLo)*(V90-CLo)*CD)*(1+LocalTax)</f>
        <v>0.0533536199160356</v>
      </c>
      <c r="X90" s="21" t="n">
        <f aca="false">H90+P90+W90</f>
        <v>1.23740676821915</v>
      </c>
      <c r="Y90" s="29" t="n">
        <f aca="false">(L90-G90)-H90-I90-M90-N90-P90-W90</f>
        <v>0.105577017791819</v>
      </c>
      <c r="Z90" s="10" t="n">
        <f aca="false">Y90/K90</f>
        <v>0.00497888783424141</v>
      </c>
      <c r="AA90" s="10" t="n">
        <f aca="false">IF(1+Z90&gt;0,(1+Z90)^(1/E90)-1,-1)</f>
        <v>0.000993800324669891</v>
      </c>
      <c r="AB90" s="21" t="n">
        <f aca="false">L90-O90-M90-W90</f>
        <v>22.841766875212</v>
      </c>
      <c r="AC90" s="24" t="n">
        <f aca="false">AB90/K90</f>
        <v>1.07719082794915</v>
      </c>
      <c r="AD90" s="21" t="n">
        <f aca="false">K90*((1+DepRate*(1-DepTax))^E90-1)</f>
        <v>2.83100820002116</v>
      </c>
      <c r="AE90" s="21" t="n">
        <f aca="false">Y90-AD90</f>
        <v>-2.72543118222934</v>
      </c>
    </row>
    <row r="91" customFormat="false" ht="15" hidden="false" customHeight="false" outlineLevel="0" collapsed="false">
      <c r="A91" s="20" t="n">
        <v>8</v>
      </c>
      <c r="B91" s="18" t="str">
        <f aca="false">INDEX(C_Name,A91)</f>
        <v>본동 래미안트윈파크 (32평형)</v>
      </c>
      <c r="C91" s="20" t="n">
        <v>1</v>
      </c>
      <c r="D91" s="10" t="n">
        <f aca="false">CHOOSE(C91,GrowLo,GrowMid,GrowHi)</f>
        <v>0.02</v>
      </c>
      <c r="E91" s="20" t="n">
        <v>7</v>
      </c>
      <c r="F91" s="20" t="n">
        <f aca="false">MAX(0,E91-NonRes)</f>
        <v>7</v>
      </c>
      <c r="G91" s="18" t="n">
        <f aca="false">INDEX(C_Price,A91)</f>
        <v>24.2</v>
      </c>
      <c r="H91" s="18" t="n">
        <f aca="false">INDEX(C_Acq,A91)</f>
        <v>0.7986</v>
      </c>
      <c r="I91" s="18" t="n">
        <f aca="false">INDEX(C_Fee,A91)</f>
        <v>0.20634</v>
      </c>
      <c r="J91" s="18" t="n">
        <f aca="false">INDEX(C_Loan,A91)</f>
        <v>4</v>
      </c>
      <c r="K91" s="21" t="n">
        <f aca="false">G91-J91+H91+I91</f>
        <v>21.20494</v>
      </c>
      <c r="L91" s="21" t="n">
        <f aca="false">G91*(1+D91)^E91</f>
        <v>27.7981931571126</v>
      </c>
      <c r="M91" s="21" t="n">
        <f aca="false">L91*LOOKUP(L91,FeeLo,FeeR)*(1+VAT)</f>
        <v>0.214046087309767</v>
      </c>
      <c r="N91" s="21" t="n">
        <f aca="false">-CUMIPMT(Rm,LoanYears*12,J91,1,E91*12,0)</f>
        <v>1.04649422888253</v>
      </c>
      <c r="O91" s="21" t="n">
        <f aca="false">J91*(1+Rm)^(E91*12)-(J91*Rm/(1-(1+Rm)^(-LoanYears*12)))*((1+Rm)^(E91*12)-1)/Rm</f>
        <v>3.4423788361186</v>
      </c>
      <c r="P91" s="29" t="n">
        <f aca="false">SUMIFS(Sch_Total,Sch_Idx,A91,Sch_Scen,C91,Sch_Year,"&lt;="&amp;E91)</f>
        <v>0.561200815942563</v>
      </c>
      <c r="Q91" s="21" t="n">
        <f aca="false">H91+I91+M91</f>
        <v>1.21898608730977</v>
      </c>
      <c r="R91" s="21" t="n">
        <f aca="false">L91-G91-Q91</f>
        <v>2.37920706980281</v>
      </c>
      <c r="S91" s="21" t="n">
        <f aca="false">MAX(0,IF(F91&gt;=2,IF(L91&gt;Exempt,R91*(L91-Exempt)/L91,0),R91))</f>
        <v>1.35214445906875</v>
      </c>
      <c r="T91" s="10" t="n">
        <f aca="false">IF(F91&gt;=2,MIN(MaxDed,MIN(0.4,HoldRate*E91)+MIN(0.4,LiveRate*F91)),IF(E91&gt;=3,MIN(0.3,0.02*E91),0))</f>
        <v>0.56</v>
      </c>
      <c r="U91" s="21" t="n">
        <f aca="false">S91*(1-T91)</f>
        <v>0.59494356199025</v>
      </c>
      <c r="V91" s="21" t="n">
        <f aca="false">MAX(0,U91-InitDed)</f>
        <v>0.56994356199025</v>
      </c>
      <c r="W91" s="29" t="n">
        <f aca="false">SUMPRODUCT((V91&gt;CLo)*(V91-CLo)*CD)*(1+LocalTax)</f>
        <v>0.0871051003654259</v>
      </c>
      <c r="X91" s="21" t="n">
        <f aca="false">H91+P91+W91</f>
        <v>1.44690591630799</v>
      </c>
      <c r="Y91" s="29" t="n">
        <f aca="false">(L91-G91)-H91-I91-M91-N91-P91-W91</f>
        <v>0.68440692461229</v>
      </c>
      <c r="Z91" s="10" t="n">
        <f aca="false">Y91/K91</f>
        <v>0.0322758246244644</v>
      </c>
      <c r="AA91" s="10" t="n">
        <f aca="false">IF(1+Z91&gt;0,(1+Z91)^(1/E91)-1,-1)</f>
        <v>0.00454829843399085</v>
      </c>
      <c r="AB91" s="21" t="n">
        <f aca="false">L91-O91-M91-W91</f>
        <v>24.0546631333188</v>
      </c>
      <c r="AC91" s="24" t="n">
        <f aca="false">AB91/K91</f>
        <v>1.13438958720557</v>
      </c>
      <c r="AD91" s="21" t="n">
        <f aca="false">K91*((1+DepRate*(1-DepTax))^E91-1)</f>
        <v>4.06655555208596</v>
      </c>
      <c r="AE91" s="21" t="n">
        <f aca="false">Y91-AD91</f>
        <v>-3.38214862747367</v>
      </c>
    </row>
    <row r="92" customFormat="false" ht="15" hidden="false" customHeight="false" outlineLevel="0" collapsed="false">
      <c r="A92" s="20" t="n">
        <v>8</v>
      </c>
      <c r="B92" s="18" t="str">
        <f aca="false">INDEX(C_Name,A92)</f>
        <v>본동 래미안트윈파크 (32평형)</v>
      </c>
      <c r="C92" s="20" t="n">
        <v>1</v>
      </c>
      <c r="D92" s="10" t="n">
        <f aca="false">CHOOSE(C92,GrowLo,GrowMid,GrowHi)</f>
        <v>0.02</v>
      </c>
      <c r="E92" s="20" t="n">
        <v>10</v>
      </c>
      <c r="F92" s="20" t="n">
        <f aca="false">MAX(0,E92-NonRes)</f>
        <v>10</v>
      </c>
      <c r="G92" s="18" t="n">
        <f aca="false">INDEX(C_Price,A92)</f>
        <v>24.2</v>
      </c>
      <c r="H92" s="18" t="n">
        <f aca="false">INDEX(C_Acq,A92)</f>
        <v>0.7986</v>
      </c>
      <c r="I92" s="18" t="n">
        <f aca="false">INDEX(C_Fee,A92)</f>
        <v>0.20634</v>
      </c>
      <c r="J92" s="18" t="n">
        <f aca="false">INDEX(C_Loan,A92)</f>
        <v>4</v>
      </c>
      <c r="K92" s="21" t="n">
        <f aca="false">G92-J92+H92+I92</f>
        <v>21.20494</v>
      </c>
      <c r="L92" s="21" t="n">
        <f aca="false">G92*(1+D92)^E92</f>
        <v>29.4996649638731</v>
      </c>
      <c r="M92" s="21" t="n">
        <f aca="false">L92*LOOKUP(L92,FeeLo,FeeR)*(1+VAT)</f>
        <v>0.227147420221823</v>
      </c>
      <c r="N92" s="21" t="n">
        <f aca="false">-CUMIPMT(Rm,LoanYears*12,J92,1,E92*12,0)</f>
        <v>1.44295178669745</v>
      </c>
      <c r="O92" s="21" t="n">
        <f aca="false">J92*(1+Rm)^(E92*12)-(J92*Rm/(1-(1+Rm)^(-LoanYears*12)))*((1+Rm)^(E92*12)-1)/Rm</f>
        <v>3.15135836846326</v>
      </c>
      <c r="P92" s="29" t="n">
        <f aca="false">SUMIFS(Sch_Total,Sch_Idx,A92,Sch_Scen,C92,Sch_Year,"&lt;="&amp;E92)</f>
        <v>0.849699625381735</v>
      </c>
      <c r="Q92" s="21" t="n">
        <f aca="false">H92+I92+M92</f>
        <v>1.23208742022182</v>
      </c>
      <c r="R92" s="21" t="n">
        <f aca="false">L92-G92-Q92</f>
        <v>4.0675775436513</v>
      </c>
      <c r="S92" s="21" t="n">
        <f aca="false">MAX(0,IF(F92&gt;=2,IF(L92&gt;Exempt,R92*(L92-Exempt)/L92,0),R92))</f>
        <v>2.41295093743079</v>
      </c>
      <c r="T92" s="10" t="n">
        <f aca="false">IF(F92&gt;=2,MIN(MaxDed,MIN(0.4,HoldRate*E92)+MIN(0.4,LiveRate*F92)),IF(E92&gt;=3,MIN(0.3,0.02*E92),0))</f>
        <v>0.8</v>
      </c>
      <c r="U92" s="21" t="n">
        <f aca="false">S92*(1-T92)</f>
        <v>0.482590187486157</v>
      </c>
      <c r="V92" s="21" t="n">
        <f aca="false">MAX(0,U92-InitDed)</f>
        <v>0.457590187486157</v>
      </c>
      <c r="W92" s="29" t="n">
        <f aca="false">SUMPRODUCT((V92&gt;CLo)*(V92-CLo)*CD)*(1+LocalTax)</f>
        <v>0.061642380935216</v>
      </c>
      <c r="X92" s="21" t="n">
        <f aca="false">H92+P92+W92</f>
        <v>1.70994200631695</v>
      </c>
      <c r="Y92" s="29" t="n">
        <f aca="false">(L92-G92)-H92-I92-M92-N92-P92-W92</f>
        <v>1.7132837506369</v>
      </c>
      <c r="Z92" s="10" t="n">
        <f aca="false">Y92/K92</f>
        <v>0.0807964441605071</v>
      </c>
      <c r="AA92" s="10" t="n">
        <f aca="false">IF(1+Z92&gt;0,(1+Z92)^(1/E92)-1,-1)</f>
        <v>0.00780008515989983</v>
      </c>
      <c r="AB92" s="21" t="n">
        <f aca="false">L92-O92-M92-W92</f>
        <v>26.0595167942528</v>
      </c>
      <c r="AC92" s="24" t="n">
        <f aca="false">AB92/K92</f>
        <v>1.22893612499035</v>
      </c>
      <c r="AD92" s="21" t="n">
        <f aca="false">K92*((1+DepRate*(1-DepTax))^E92-1)</f>
        <v>6.03997584857586</v>
      </c>
      <c r="AE92" s="21" t="n">
        <f aca="false">Y92-AD92</f>
        <v>-4.32669209793896</v>
      </c>
    </row>
    <row r="93" customFormat="false" ht="15" hidden="false" customHeight="false" outlineLevel="0" collapsed="false">
      <c r="A93" s="20" t="n">
        <v>8</v>
      </c>
      <c r="B93" s="18" t="str">
        <f aca="false">INDEX(C_Name,A93)</f>
        <v>본동 래미안트윈파크 (32평형)</v>
      </c>
      <c r="C93" s="20" t="n">
        <v>2</v>
      </c>
      <c r="D93" s="10" t="n">
        <f aca="false">CHOOSE(C93,GrowLo,GrowMid,GrowHi)</f>
        <v>0.04</v>
      </c>
      <c r="E93" s="20" t="n">
        <v>3</v>
      </c>
      <c r="F93" s="20" t="n">
        <f aca="false">MAX(0,E93-NonRes)</f>
        <v>3</v>
      </c>
      <c r="G93" s="18" t="n">
        <f aca="false">INDEX(C_Price,A93)</f>
        <v>24.2</v>
      </c>
      <c r="H93" s="18" t="n">
        <f aca="false">INDEX(C_Acq,A93)</f>
        <v>0.7986</v>
      </c>
      <c r="I93" s="18" t="n">
        <f aca="false">INDEX(C_Fee,A93)</f>
        <v>0.20634</v>
      </c>
      <c r="J93" s="18" t="n">
        <f aca="false">INDEX(C_Loan,A93)</f>
        <v>4</v>
      </c>
      <c r="K93" s="21" t="n">
        <f aca="false">G93-J93+H93+I93</f>
        <v>21.20494</v>
      </c>
      <c r="L93" s="21" t="n">
        <f aca="false">G93*(1+D93)^E93</f>
        <v>27.2217088</v>
      </c>
      <c r="M93" s="21" t="n">
        <f aca="false">L93*LOOKUP(L93,FeeLo,FeeR)*(1+VAT)</f>
        <v>0.20960715776</v>
      </c>
      <c r="N93" s="21" t="n">
        <f aca="false">-CUMIPMT(Rm,LoanYears*12,J93,1,E93*12,0)</f>
        <v>0.467427048612969</v>
      </c>
      <c r="O93" s="21" t="n">
        <f aca="false">J93*(1+Rm)^(E93*12)-(J93*Rm/(1-(1+Rm)^(-LoanYears*12)))*((1+Rm)^(E93*12)-1)/Rm</f>
        <v>3.77994902314271</v>
      </c>
      <c r="P93" s="29" t="n">
        <f aca="false">SUMIFS(Sch_Total,Sch_Idx,A93,Sch_Scen,C93,Sch_Year,"&lt;="&amp;E93)</f>
        <v>0.231325296768</v>
      </c>
      <c r="Q93" s="21" t="n">
        <f aca="false">H93+I93+M93</f>
        <v>1.21454715776</v>
      </c>
      <c r="R93" s="21" t="n">
        <f aca="false">L93-G93-Q93</f>
        <v>1.80716164224</v>
      </c>
      <c r="S93" s="21" t="n">
        <f aca="false">MAX(0,IF(F93&gt;=2,IF(L93&gt;Exempt,R93*(L93-Exempt)/L93,0),R93))</f>
        <v>1.01052026067912</v>
      </c>
      <c r="T93" s="10" t="n">
        <f aca="false">IF(F93&gt;=2,MIN(MaxDed,MIN(0.4,HoldRate*E93)+MIN(0.4,LiveRate*F93)),IF(E93&gt;=3,MIN(0.3,0.02*E93),0))</f>
        <v>0.24</v>
      </c>
      <c r="U93" s="21" t="n">
        <f aca="false">S93*(1-T93)</f>
        <v>0.767995398116131</v>
      </c>
      <c r="V93" s="21" t="n">
        <f aca="false">MAX(0,U93-InitDed)</f>
        <v>0.742995398116131</v>
      </c>
      <c r="W93" s="29" t="n">
        <f aca="false">SUMPRODUCT((V93&gt;CLo)*(V93-CLo)*CD)*(1+LocalTax)</f>
        <v>0.132790785102659</v>
      </c>
      <c r="X93" s="21" t="n">
        <f aca="false">H93+P93+W93</f>
        <v>1.16271608187066</v>
      </c>
      <c r="Y93" s="29" t="n">
        <f aca="false">(L93-G93)-H93-I93-M93-N93-P93-W93</f>
        <v>0.975618511756375</v>
      </c>
      <c r="Z93" s="10" t="n">
        <f aca="false">Y93/K93</f>
        <v>0.0460090201507939</v>
      </c>
      <c r="AA93" s="10" t="n">
        <f aca="false">IF(1+Z93&gt;0,(1+Z93)^(1/E93)-1,-1)</f>
        <v>0.0151069702594877</v>
      </c>
      <c r="AB93" s="21" t="n">
        <f aca="false">L93-O93-M93-W93</f>
        <v>23.0993618339946</v>
      </c>
      <c r="AC93" s="24" t="n">
        <f aca="false">AB93/K93</f>
        <v>1.08933870286804</v>
      </c>
      <c r="AD93" s="21" t="n">
        <f aca="false">K93*((1+DepRate*(1-DepTax))^E93-1)</f>
        <v>1.65586792818031</v>
      </c>
      <c r="AE93" s="21" t="n">
        <f aca="false">Y93-AD93</f>
        <v>-0.680249416423938</v>
      </c>
    </row>
    <row r="94" customFormat="false" ht="15" hidden="false" customHeight="false" outlineLevel="0" collapsed="false">
      <c r="A94" s="20" t="n">
        <v>8</v>
      </c>
      <c r="B94" s="18" t="str">
        <f aca="false">INDEX(C_Name,A94)</f>
        <v>본동 래미안트윈파크 (32평형)</v>
      </c>
      <c r="C94" s="20" t="n">
        <v>2</v>
      </c>
      <c r="D94" s="10" t="n">
        <f aca="false">CHOOSE(C94,GrowLo,GrowMid,GrowHi)</f>
        <v>0.04</v>
      </c>
      <c r="E94" s="20" t="n">
        <v>5</v>
      </c>
      <c r="F94" s="20" t="n">
        <f aca="false">MAX(0,E94-NonRes)</f>
        <v>5</v>
      </c>
      <c r="G94" s="18" t="n">
        <f aca="false">INDEX(C_Price,A94)</f>
        <v>24.2</v>
      </c>
      <c r="H94" s="18" t="n">
        <f aca="false">INDEX(C_Acq,A94)</f>
        <v>0.7986</v>
      </c>
      <c r="I94" s="18" t="n">
        <f aca="false">INDEX(C_Fee,A94)</f>
        <v>0.20634</v>
      </c>
      <c r="J94" s="18" t="n">
        <f aca="false">INDEX(C_Loan,A94)</f>
        <v>4</v>
      </c>
      <c r="K94" s="21" t="n">
        <f aca="false">G94-J94+H94+I94</f>
        <v>21.20494</v>
      </c>
      <c r="L94" s="21" t="n">
        <f aca="false">G94*(1+D94)^E94</f>
        <v>29.44300023808</v>
      </c>
      <c r="M94" s="21" t="n">
        <f aca="false">L94*LOOKUP(L94,FeeLo,FeeR)*(1+VAT)</f>
        <v>0.226711101833216</v>
      </c>
      <c r="N94" s="21" t="n">
        <f aca="false">-CUMIPMT(Rm,LoanYears*12,J94,1,E94*12,0)</f>
        <v>0.76369723456074</v>
      </c>
      <c r="O94" s="21" t="n">
        <f aca="false">J94*(1+Rm)^(E94*12)-(J94*Rm/(1-(1+Rm)^(-LoanYears*12)))*((1+Rm)^(E94*12)-1)/Rm</f>
        <v>3.61790052544364</v>
      </c>
      <c r="P94" s="29" t="n">
        <f aca="false">SUMIFS(Sch_Total,Sch_Idx,A94,Sch_Scen,C94,Sch_Year,"&lt;="&amp;E94)</f>
        <v>0.416504645976269</v>
      </c>
      <c r="Q94" s="21" t="n">
        <f aca="false">H94+I94+M94</f>
        <v>1.23165110183322</v>
      </c>
      <c r="R94" s="21" t="n">
        <f aca="false">L94-G94-Q94</f>
        <v>4.01134913624679</v>
      </c>
      <c r="S94" s="21" t="n">
        <f aca="false">MAX(0,IF(F94&gt;=2,IF(L94&gt;Exempt,R94*(L94-Exempt)/L94,0),R94))</f>
        <v>2.37645495950781</v>
      </c>
      <c r="T94" s="10" t="n">
        <f aca="false">IF(F94&gt;=2,MIN(MaxDed,MIN(0.4,HoldRate*E94)+MIN(0.4,LiveRate*F94)),IF(E94&gt;=3,MIN(0.3,0.02*E94),0))</f>
        <v>0.4</v>
      </c>
      <c r="U94" s="21" t="n">
        <f aca="false">S94*(1-T94)</f>
        <v>1.42587297570468</v>
      </c>
      <c r="V94" s="21" t="n">
        <f aca="false">MAX(0,U94-InitDed)</f>
        <v>1.40087297570468</v>
      </c>
      <c r="W94" s="29" t="n">
        <f aca="false">SUMPRODUCT((V94&gt;CLo)*(V94-CLo)*CD)*(1+LocalTax)</f>
        <v>0.369496095646303</v>
      </c>
      <c r="X94" s="21" t="n">
        <f aca="false">H94+P94+W94</f>
        <v>1.58460074162257</v>
      </c>
      <c r="Y94" s="29" t="n">
        <f aca="false">(L94-G94)-H94-I94-M94-N94-P94-W94</f>
        <v>2.46165116006348</v>
      </c>
      <c r="Z94" s="10" t="n">
        <f aca="false">Y94/K94</f>
        <v>0.116088569930567</v>
      </c>
      <c r="AA94" s="10" t="n">
        <f aca="false">IF(1+Z94&gt;0,(1+Z94)^(1/E94)-1,-1)</f>
        <v>0.0222090746794221</v>
      </c>
      <c r="AB94" s="21" t="n">
        <f aca="false">L94-O94-M94-W94</f>
        <v>25.2288925151568</v>
      </c>
      <c r="AC94" s="24" t="n">
        <f aca="false">AB94/K94</f>
        <v>1.18976486211028</v>
      </c>
      <c r="AD94" s="21" t="n">
        <f aca="false">K94*((1+DepRate*(1-DepTax))^E94-1)</f>
        <v>2.83100820002116</v>
      </c>
      <c r="AE94" s="21" t="n">
        <f aca="false">Y94-AD94</f>
        <v>-0.369357039957682</v>
      </c>
    </row>
    <row r="95" customFormat="false" ht="15" hidden="false" customHeight="false" outlineLevel="0" collapsed="false">
      <c r="A95" s="20" t="n">
        <v>8</v>
      </c>
      <c r="B95" s="18" t="str">
        <f aca="false">INDEX(C_Name,A95)</f>
        <v>본동 래미안트윈파크 (32평형)</v>
      </c>
      <c r="C95" s="20" t="n">
        <v>2</v>
      </c>
      <c r="D95" s="10" t="n">
        <f aca="false">CHOOSE(C95,GrowLo,GrowMid,GrowHi)</f>
        <v>0.04</v>
      </c>
      <c r="E95" s="20" t="n">
        <v>7</v>
      </c>
      <c r="F95" s="20" t="n">
        <f aca="false">MAX(0,E95-NonRes)</f>
        <v>7</v>
      </c>
      <c r="G95" s="18" t="n">
        <f aca="false">INDEX(C_Price,A95)</f>
        <v>24.2</v>
      </c>
      <c r="H95" s="18" t="n">
        <f aca="false">INDEX(C_Acq,A95)</f>
        <v>0.7986</v>
      </c>
      <c r="I95" s="18" t="n">
        <f aca="false">INDEX(C_Fee,A95)</f>
        <v>0.20634</v>
      </c>
      <c r="J95" s="18" t="n">
        <f aca="false">INDEX(C_Loan,A95)</f>
        <v>4</v>
      </c>
      <c r="K95" s="21" t="n">
        <f aca="false">G95-J95+H95+I95</f>
        <v>21.20494</v>
      </c>
      <c r="L95" s="21" t="n">
        <f aca="false">G95*(1+D95)^E95</f>
        <v>31.8455490575073</v>
      </c>
      <c r="M95" s="21" t="n">
        <f aca="false">L95*LOOKUP(L95,FeeLo,FeeR)*(1+VAT)</f>
        <v>0.245210727742806</v>
      </c>
      <c r="N95" s="21" t="n">
        <f aca="false">-CUMIPMT(Rm,LoanYears*12,J95,1,E95*12,0)</f>
        <v>1.04649422888253</v>
      </c>
      <c r="O95" s="21" t="n">
        <f aca="false">J95*(1+Rm)^(E95*12)-(J95*Rm/(1-(1+Rm)^(-LoanYears*12)))*((1+Rm)^(E95*12)-1)/Rm</f>
        <v>3.4423788361186</v>
      </c>
      <c r="P95" s="29" t="n">
        <f aca="false">SUMIFS(Sch_Total,Sch_Idx,A95,Sch_Scen,C95,Sch_Year,"&lt;="&amp;E95)</f>
        <v>0.629073798079932</v>
      </c>
      <c r="Q95" s="21" t="n">
        <f aca="false">H95+I95+M95</f>
        <v>1.25015072774281</v>
      </c>
      <c r="R95" s="21" t="n">
        <f aca="false">L95-G95-Q95</f>
        <v>6.39539832976453</v>
      </c>
      <c r="S95" s="21" t="n">
        <f aca="false">MAX(0,IF(F95&gt;=2,IF(L95&gt;Exempt,R95*(L95-Exempt)/L95,0),R95))</f>
        <v>3.98549232316414</v>
      </c>
      <c r="T95" s="10" t="n">
        <f aca="false">IF(F95&gt;=2,MIN(MaxDed,MIN(0.4,HoldRate*E95)+MIN(0.4,LiveRate*F95)),IF(E95&gt;=3,MIN(0.3,0.02*E95),0))</f>
        <v>0.56</v>
      </c>
      <c r="U95" s="21" t="n">
        <f aca="false">S95*(1-T95)</f>
        <v>1.75361662219222</v>
      </c>
      <c r="V95" s="21" t="n">
        <f aca="false">MAX(0,U95-InitDed)</f>
        <v>1.72861662219222</v>
      </c>
      <c r="W95" s="29" t="n">
        <f aca="false">SUMPRODUCT((V95&gt;CLo)*(V95-CLo)*CD)*(1+LocalTax)</f>
        <v>0.503221748076348</v>
      </c>
      <c r="X95" s="21" t="n">
        <f aca="false">H95+P95+W95</f>
        <v>1.93089554615628</v>
      </c>
      <c r="Y95" s="29" t="n">
        <f aca="false">(L95-G95)-H95-I95-M95-N95-P95-W95</f>
        <v>4.21660855472572</v>
      </c>
      <c r="Z95" s="10" t="n">
        <f aca="false">Y95/K95</f>
        <v>0.198850294069482</v>
      </c>
      <c r="AA95" s="10" t="n">
        <f aca="false">IF(1+Z95&gt;0,(1+Z95)^(1/E95)-1,-1)</f>
        <v>0.0262475570539384</v>
      </c>
      <c r="AB95" s="21" t="n">
        <f aca="false">L95-O95-M95-W95</f>
        <v>27.6547377455696</v>
      </c>
      <c r="AC95" s="24" t="n">
        <f aca="false">AB95/K95</f>
        <v>1.30416486656268</v>
      </c>
      <c r="AD95" s="21" t="n">
        <f aca="false">K95*((1+DepRate*(1-DepTax))^E95-1)</f>
        <v>4.06655555208596</v>
      </c>
      <c r="AE95" s="21" t="n">
        <f aca="false">Y95-AD95</f>
        <v>0.150053002639755</v>
      </c>
    </row>
    <row r="96" customFormat="false" ht="15" hidden="false" customHeight="false" outlineLevel="0" collapsed="false">
      <c r="A96" s="20" t="n">
        <v>8</v>
      </c>
      <c r="B96" s="18" t="str">
        <f aca="false">INDEX(C_Name,A96)</f>
        <v>본동 래미안트윈파크 (32평형)</v>
      </c>
      <c r="C96" s="20" t="n">
        <v>2</v>
      </c>
      <c r="D96" s="10" t="n">
        <f aca="false">CHOOSE(C96,GrowLo,GrowMid,GrowHi)</f>
        <v>0.04</v>
      </c>
      <c r="E96" s="20" t="n">
        <v>10</v>
      </c>
      <c r="F96" s="20" t="n">
        <f aca="false">MAX(0,E96-NonRes)</f>
        <v>10</v>
      </c>
      <c r="G96" s="18" t="n">
        <f aca="false">INDEX(C_Price,A96)</f>
        <v>24.2</v>
      </c>
      <c r="H96" s="18" t="n">
        <f aca="false">INDEX(C_Acq,A96)</f>
        <v>0.7986</v>
      </c>
      <c r="I96" s="18" t="n">
        <f aca="false">INDEX(C_Fee,A96)</f>
        <v>0.20634</v>
      </c>
      <c r="J96" s="18" t="n">
        <f aca="false">INDEX(C_Loan,A96)</f>
        <v>4</v>
      </c>
      <c r="K96" s="21" t="n">
        <f aca="false">G96-J96+H96+I96</f>
        <v>21.20494</v>
      </c>
      <c r="L96" s="21" t="n">
        <f aca="false">G96*(1+D96)^E96</f>
        <v>35.8219116950239</v>
      </c>
      <c r="M96" s="21" t="n">
        <f aca="false">L96*LOOKUP(L96,FeeLo,FeeR)*(1+VAT)</f>
        <v>0.275828720051684</v>
      </c>
      <c r="N96" s="21" t="n">
        <f aca="false">-CUMIPMT(Rm,LoanYears*12,J96,1,E96*12,0)</f>
        <v>1.44295178669745</v>
      </c>
      <c r="O96" s="21" t="n">
        <f aca="false">J96*(1+Rm)^(E96*12)-(J96*Rm/(1-(1+Rm)^(-LoanYears*12)))*((1+Rm)^(E96*12)-1)/Rm</f>
        <v>3.15135836846326</v>
      </c>
      <c r="P96" s="29" t="n">
        <f aca="false">SUMIFS(Sch_Total,Sch_Idx,A96,Sch_Scen,C96,Sch_Year,"&lt;="&amp;E96)</f>
        <v>1.00987862179362</v>
      </c>
      <c r="Q96" s="21" t="n">
        <f aca="false">H96+I96+M96</f>
        <v>1.28076872005168</v>
      </c>
      <c r="R96" s="21" t="n">
        <f aca="false">L96-G96-Q96</f>
        <v>10.3411429749723</v>
      </c>
      <c r="S96" s="21" t="n">
        <f aca="false">MAX(0,IF(F96&gt;=2,IF(L96&gt;Exempt,R96*(L96-Exempt)/L96,0),R96))</f>
        <v>6.87695835087512</v>
      </c>
      <c r="T96" s="10" t="n">
        <f aca="false">IF(F96&gt;=2,MIN(MaxDed,MIN(0.4,HoldRate*E96)+MIN(0.4,LiveRate*F96)),IF(E96&gt;=3,MIN(0.3,0.02*E96),0))</f>
        <v>0.8</v>
      </c>
      <c r="U96" s="21" t="n">
        <f aca="false">S96*(1-T96)</f>
        <v>1.37539167017502</v>
      </c>
      <c r="V96" s="21" t="n">
        <f aca="false">MAX(0,U96-InitDed)</f>
        <v>1.35039167017502</v>
      </c>
      <c r="W96" s="29" t="n">
        <f aca="false">SUMPRODUCT((V96&gt;CLo)*(V96-CLo)*CD)*(1+LocalTax)</f>
        <v>0.350060793017384</v>
      </c>
      <c r="X96" s="21" t="n">
        <f aca="false">H96+P96+W96</f>
        <v>2.15853941481101</v>
      </c>
      <c r="Y96" s="29" t="n">
        <f aca="false">(L96-G96)-H96-I96-M96-N96-P96-W96</f>
        <v>7.53825177346379</v>
      </c>
      <c r="Z96" s="10" t="n">
        <f aca="false">Y96/K96</f>
        <v>0.355495076782287</v>
      </c>
      <c r="AA96" s="10" t="n">
        <f aca="false">IF(1+Z96&gt;0,(1+Z96)^(1/E96)-1,-1)</f>
        <v>0.0308839888780128</v>
      </c>
      <c r="AB96" s="21" t="n">
        <f aca="false">L96-O96-M96-W96</f>
        <v>32.0446638134916</v>
      </c>
      <c r="AC96" s="24" t="n">
        <f aca="false">AB96/K96</f>
        <v>1.51118861046019</v>
      </c>
      <c r="AD96" s="21" t="n">
        <f aca="false">K96*((1+DepRate*(1-DepTax))^E96-1)</f>
        <v>6.03997584857586</v>
      </c>
      <c r="AE96" s="21" t="n">
        <f aca="false">Y96-AD96</f>
        <v>1.49827592488793</v>
      </c>
    </row>
    <row r="97" customFormat="false" ht="15" hidden="false" customHeight="false" outlineLevel="0" collapsed="false">
      <c r="A97" s="20" t="n">
        <v>8</v>
      </c>
      <c r="B97" s="18" t="str">
        <f aca="false">INDEX(C_Name,A97)</f>
        <v>본동 래미안트윈파크 (32평형)</v>
      </c>
      <c r="C97" s="20" t="n">
        <v>3</v>
      </c>
      <c r="D97" s="10" t="n">
        <f aca="false">CHOOSE(C97,GrowLo,GrowMid,GrowHi)</f>
        <v>0.06</v>
      </c>
      <c r="E97" s="20" t="n">
        <v>3</v>
      </c>
      <c r="F97" s="20" t="n">
        <f aca="false">MAX(0,E97-NonRes)</f>
        <v>3</v>
      </c>
      <c r="G97" s="18" t="n">
        <f aca="false">INDEX(C_Price,A97)</f>
        <v>24.2</v>
      </c>
      <c r="H97" s="18" t="n">
        <f aca="false">INDEX(C_Acq,A97)</f>
        <v>0.7986</v>
      </c>
      <c r="I97" s="18" t="n">
        <f aca="false">INDEX(C_Fee,A97)</f>
        <v>0.20634</v>
      </c>
      <c r="J97" s="18" t="n">
        <f aca="false">INDEX(C_Loan,A97)</f>
        <v>4</v>
      </c>
      <c r="K97" s="21" t="n">
        <f aca="false">G97-J97+H97+I97</f>
        <v>21.20494</v>
      </c>
      <c r="L97" s="21" t="n">
        <f aca="false">G97*(1+D97)^E97</f>
        <v>28.8225872</v>
      </c>
      <c r="M97" s="21" t="n">
        <f aca="false">L97*LOOKUP(L97,FeeLo,FeeR)*(1+VAT)</f>
        <v>0.22193392144</v>
      </c>
      <c r="N97" s="21" t="n">
        <f aca="false">-CUMIPMT(Rm,LoanYears*12,J97,1,E97*12,0)</f>
        <v>0.467427048612969</v>
      </c>
      <c r="O97" s="21" t="n">
        <f aca="false">J97*(1+Rm)^(E97*12)-(J97*Rm/(1-(1+Rm)^(-LoanYears*12)))*((1+Rm)^(E97*12)-1)/Rm</f>
        <v>3.77994902314271</v>
      </c>
      <c r="P97" s="29" t="n">
        <f aca="false">SUMIFS(Sch_Total,Sch_Idx,A97,Sch_Scen,C97,Sch_Year,"&lt;="&amp;E97)</f>
        <v>0.240394314528</v>
      </c>
      <c r="Q97" s="21" t="n">
        <f aca="false">H97+I97+M97</f>
        <v>1.22687392144</v>
      </c>
      <c r="R97" s="21" t="n">
        <f aca="false">L97-G97-Q97</f>
        <v>3.39571327856</v>
      </c>
      <c r="S97" s="21" t="n">
        <f aca="false">MAX(0,IF(F97&gt;=2,IF(L97&gt;Exempt,R97*(L97-Exempt)/L97,0),R97))</f>
        <v>1.98194153558753</v>
      </c>
      <c r="T97" s="10" t="n">
        <f aca="false">IF(F97&gt;=2,MIN(MaxDed,MIN(0.4,HoldRate*E97)+MIN(0.4,LiveRate*F97)),IF(E97&gt;=3,MIN(0.3,0.02*E97),0))</f>
        <v>0.24</v>
      </c>
      <c r="U97" s="21" t="n">
        <f aca="false">S97*(1-T97)</f>
        <v>1.50627556704652</v>
      </c>
      <c r="V97" s="21" t="n">
        <f aca="false">MAX(0,U97-InitDed)</f>
        <v>1.48127556704652</v>
      </c>
      <c r="W97" s="29" t="n">
        <f aca="false">SUMPRODUCT((V97&gt;CLo)*(V97-CLo)*CD)*(1+LocalTax)</f>
        <v>0.400451093312912</v>
      </c>
      <c r="X97" s="21" t="n">
        <f aca="false">H97+P97+W97</f>
        <v>1.43944540784091</v>
      </c>
      <c r="Y97" s="29" t="n">
        <f aca="false">(L97-G97)-H97-I97-M97-N97-P97-W97</f>
        <v>2.28744082210612</v>
      </c>
      <c r="Z97" s="10" t="n">
        <f aca="false">Y97/K97</f>
        <v>0.107873015538177</v>
      </c>
      <c r="AA97" s="10" t="n">
        <f aca="false">IF(1+Z97&gt;0,(1+Z97)^(1/E97)-1,-1)</f>
        <v>0.034737038079085</v>
      </c>
      <c r="AB97" s="21" t="n">
        <f aca="false">L97-O97-M97-W97</f>
        <v>24.4202531621044</v>
      </c>
      <c r="AC97" s="24" t="n">
        <f aca="false">AB97/K97</f>
        <v>1.15163038245354</v>
      </c>
      <c r="AD97" s="21" t="n">
        <f aca="false">K97*((1+DepRate*(1-DepTax))^E97-1)</f>
        <v>1.65586792818031</v>
      </c>
      <c r="AE97" s="21" t="n">
        <f aca="false">Y97-AD97</f>
        <v>0.631572893925809</v>
      </c>
    </row>
    <row r="98" customFormat="false" ht="15" hidden="false" customHeight="false" outlineLevel="0" collapsed="false">
      <c r="A98" s="20" t="n">
        <v>8</v>
      </c>
      <c r="B98" s="18" t="str">
        <f aca="false">INDEX(C_Name,A98)</f>
        <v>본동 래미안트윈파크 (32평형)</v>
      </c>
      <c r="C98" s="20" t="n">
        <v>3</v>
      </c>
      <c r="D98" s="10" t="n">
        <f aca="false">CHOOSE(C98,GrowLo,GrowMid,GrowHi)</f>
        <v>0.06</v>
      </c>
      <c r="E98" s="20" t="n">
        <v>5</v>
      </c>
      <c r="F98" s="20" t="n">
        <f aca="false">MAX(0,E98-NonRes)</f>
        <v>5</v>
      </c>
      <c r="G98" s="18" t="n">
        <f aca="false">INDEX(C_Price,A98)</f>
        <v>24.2</v>
      </c>
      <c r="H98" s="18" t="n">
        <f aca="false">INDEX(C_Acq,A98)</f>
        <v>0.7986</v>
      </c>
      <c r="I98" s="18" t="n">
        <f aca="false">INDEX(C_Fee,A98)</f>
        <v>0.20634</v>
      </c>
      <c r="J98" s="18" t="n">
        <f aca="false">INDEX(C_Loan,A98)</f>
        <v>4</v>
      </c>
      <c r="K98" s="21" t="n">
        <f aca="false">G98-J98+H98+I98</f>
        <v>21.20494</v>
      </c>
      <c r="L98" s="21" t="n">
        <f aca="false">G98*(1+D98)^E98</f>
        <v>32.38505897792</v>
      </c>
      <c r="M98" s="21" t="n">
        <f aca="false">L98*LOOKUP(L98,FeeLo,FeeR)*(1+VAT)</f>
        <v>0.249364954129984</v>
      </c>
      <c r="N98" s="21" t="n">
        <f aca="false">-CUMIPMT(Rm,LoanYears*12,J98,1,E98*12,0)</f>
        <v>0.76369723456074</v>
      </c>
      <c r="O98" s="21" t="n">
        <f aca="false">J98*(1+Rm)^(E98*12)-(J98*Rm/(1-(1+Rm)^(-LoanYears*12)))*((1+Rm)^(E98*12)-1)/Rm</f>
        <v>3.61790052544364</v>
      </c>
      <c r="P98" s="29" t="n">
        <f aca="false">SUMIFS(Sch_Total,Sch_Idx,A98,Sch_Scen,C98,Sch_Year,"&lt;="&amp;E98)</f>
        <v>0.448797721435661</v>
      </c>
      <c r="Q98" s="21" t="n">
        <f aca="false">H98+I98+M98</f>
        <v>1.25430495412998</v>
      </c>
      <c r="R98" s="21" t="n">
        <f aca="false">L98-G98-Q98</f>
        <v>6.93075402379002</v>
      </c>
      <c r="S98" s="21" t="n">
        <f aca="false">MAX(0,IF(F98&gt;=2,IF(L98&gt;Exempt,R98*(L98-Exempt)/L98,0),R98))</f>
        <v>4.36262381466536</v>
      </c>
      <c r="T98" s="10" t="n">
        <f aca="false">IF(F98&gt;=2,MIN(MaxDed,MIN(0.4,HoldRate*E98)+MIN(0.4,LiveRate*F98)),IF(E98&gt;=3,MIN(0.3,0.02*E98),0))</f>
        <v>0.4</v>
      </c>
      <c r="U98" s="21" t="n">
        <f aca="false">S98*(1-T98)</f>
        <v>2.61757428879921</v>
      </c>
      <c r="V98" s="21" t="n">
        <f aca="false">MAX(0,U98-InitDed)</f>
        <v>2.59257428879921</v>
      </c>
      <c r="W98" s="29" t="n">
        <f aca="false">SUMPRODUCT((V98&gt;CLo)*(V98-CLo)*CD)*(1+LocalTax)</f>
        <v>0.864356052718072</v>
      </c>
      <c r="X98" s="21" t="n">
        <f aca="false">H98+P98+W98</f>
        <v>2.11175377415373</v>
      </c>
      <c r="Y98" s="29" t="n">
        <f aca="false">(L98-G98)-H98-I98-M98-N98-P98-W98</f>
        <v>4.85390301507555</v>
      </c>
      <c r="Z98" s="10" t="n">
        <f aca="false">Y98/K98</f>
        <v>0.228904350357773</v>
      </c>
      <c r="AA98" s="10" t="n">
        <f aca="false">IF(1+Z98&gt;0,(1+Z98)^(1/E98)-1,-1)</f>
        <v>0.0420861318803041</v>
      </c>
      <c r="AB98" s="21" t="n">
        <f aca="false">L98-O98-M98-W98</f>
        <v>27.6534374456283</v>
      </c>
      <c r="AC98" s="24" t="n">
        <f aca="false">AB98/K98</f>
        <v>1.30410354594865</v>
      </c>
      <c r="AD98" s="21" t="n">
        <f aca="false">K98*((1+DepRate*(1-DepTax))^E98-1)</f>
        <v>2.83100820002116</v>
      </c>
      <c r="AE98" s="21" t="n">
        <f aca="false">Y98-AD98</f>
        <v>2.02289481505439</v>
      </c>
    </row>
    <row r="99" customFormat="false" ht="15" hidden="false" customHeight="false" outlineLevel="0" collapsed="false">
      <c r="A99" s="20" t="n">
        <v>8</v>
      </c>
      <c r="B99" s="18" t="str">
        <f aca="false">INDEX(C_Name,A99)</f>
        <v>본동 래미안트윈파크 (32평형)</v>
      </c>
      <c r="C99" s="20" t="n">
        <v>3</v>
      </c>
      <c r="D99" s="10" t="n">
        <f aca="false">CHOOSE(C99,GrowLo,GrowMid,GrowHi)</f>
        <v>0.06</v>
      </c>
      <c r="E99" s="20" t="n">
        <v>7</v>
      </c>
      <c r="F99" s="20" t="n">
        <f aca="false">MAX(0,E99-NonRes)</f>
        <v>7</v>
      </c>
      <c r="G99" s="18" t="n">
        <f aca="false">INDEX(C_Price,A99)</f>
        <v>24.2</v>
      </c>
      <c r="H99" s="18" t="n">
        <f aca="false">INDEX(C_Acq,A99)</f>
        <v>0.7986</v>
      </c>
      <c r="I99" s="18" t="n">
        <f aca="false">INDEX(C_Fee,A99)</f>
        <v>0.20634</v>
      </c>
      <c r="J99" s="18" t="n">
        <f aca="false">INDEX(C_Loan,A99)</f>
        <v>4</v>
      </c>
      <c r="K99" s="21" t="n">
        <f aca="false">G99-J99+H99+I99</f>
        <v>21.20494</v>
      </c>
      <c r="L99" s="21" t="n">
        <f aca="false">G99*(1+D99)^E99</f>
        <v>36.3878522675909</v>
      </c>
      <c r="M99" s="21" t="n">
        <f aca="false">L99*LOOKUP(L99,FeeLo,FeeR)*(1+VAT)</f>
        <v>0.28018646246045</v>
      </c>
      <c r="N99" s="21" t="n">
        <f aca="false">-CUMIPMT(Rm,LoanYears*12,J99,1,E99*12,0)</f>
        <v>1.04649422888253</v>
      </c>
      <c r="O99" s="21" t="n">
        <f aca="false">J99*(1+Rm)^(E99*12)-(J99*Rm/(1-(1+Rm)^(-LoanYears*12)))*((1+Rm)^(E99*12)-1)/Rm</f>
        <v>3.4423788361186</v>
      </c>
      <c r="P99" s="29" t="n">
        <f aca="false">SUMIFS(Sch_Total,Sch_Idx,A99,Sch_Scen,C99,Sch_Year,"&lt;="&amp;E99)</f>
        <v>0.705948502752534</v>
      </c>
      <c r="Q99" s="21" t="n">
        <f aca="false">H99+I99+M99</f>
        <v>1.28512646246045</v>
      </c>
      <c r="R99" s="21" t="n">
        <f aca="false">L99-G99-Q99</f>
        <v>10.9027258051305</v>
      </c>
      <c r="S99" s="21" t="n">
        <f aca="false">MAX(0,IF(F99&gt;=2,IF(L99&gt;Exempt,R99*(L99-Exempt)/L99,0),R99))</f>
        <v>7.30722067063006</v>
      </c>
      <c r="T99" s="10" t="n">
        <f aca="false">IF(F99&gt;=2,MIN(MaxDed,MIN(0.4,HoldRate*E99)+MIN(0.4,LiveRate*F99)),IF(E99&gt;=3,MIN(0.3,0.02*E99),0))</f>
        <v>0.56</v>
      </c>
      <c r="U99" s="21" t="n">
        <f aca="false">S99*(1-T99)</f>
        <v>3.21517709507723</v>
      </c>
      <c r="V99" s="21" t="n">
        <f aca="false">MAX(0,U99-InitDed)</f>
        <v>3.19017709507723</v>
      </c>
      <c r="W99" s="29" t="n">
        <f aca="false">SUMPRODUCT((V99&gt;CLo)*(V99-CLo)*CD)*(1+LocalTax)</f>
        <v>1.11833792183398</v>
      </c>
      <c r="X99" s="21" t="n">
        <f aca="false">H99+P99+W99</f>
        <v>2.62288642458651</v>
      </c>
      <c r="Y99" s="29" t="n">
        <f aca="false">(L99-G99)-H99-I99-M99-N99-P99-W99</f>
        <v>8.03194515166143</v>
      </c>
      <c r="Z99" s="10" t="n">
        <f aca="false">Y99/K99</f>
        <v>0.378777075137276</v>
      </c>
      <c r="AA99" s="10" t="n">
        <f aca="false">IF(1+Z99&gt;0,(1+Z99)^(1/E99)-1,-1)</f>
        <v>0.0469542928106594</v>
      </c>
      <c r="AB99" s="21" t="n">
        <f aca="false">L99-O99-M99-W99</f>
        <v>31.5469490471779</v>
      </c>
      <c r="AC99" s="24" t="n">
        <f aca="false">AB99/K99</f>
        <v>1.48771696817713</v>
      </c>
      <c r="AD99" s="21" t="n">
        <f aca="false">K99*((1+DepRate*(1-DepTax))^E99-1)</f>
        <v>4.06655555208596</v>
      </c>
      <c r="AE99" s="21" t="n">
        <f aca="false">Y99-AD99</f>
        <v>3.96538959957547</v>
      </c>
    </row>
    <row r="100" customFormat="false" ht="15" hidden="false" customHeight="false" outlineLevel="0" collapsed="false">
      <c r="A100" s="20" t="n">
        <v>8</v>
      </c>
      <c r="B100" s="18" t="str">
        <f aca="false">INDEX(C_Name,A100)</f>
        <v>본동 래미안트윈파크 (32평형)</v>
      </c>
      <c r="C100" s="20" t="n">
        <v>3</v>
      </c>
      <c r="D100" s="10" t="n">
        <f aca="false">CHOOSE(C100,GrowLo,GrowMid,GrowHi)</f>
        <v>0.06</v>
      </c>
      <c r="E100" s="20" t="n">
        <v>10</v>
      </c>
      <c r="F100" s="20" t="n">
        <f aca="false">MAX(0,E100-NonRes)</f>
        <v>10</v>
      </c>
      <c r="G100" s="18" t="n">
        <f aca="false">INDEX(C_Price,A100)</f>
        <v>24.2</v>
      </c>
      <c r="H100" s="18" t="n">
        <f aca="false">INDEX(C_Acq,A100)</f>
        <v>0.7986</v>
      </c>
      <c r="I100" s="18" t="n">
        <f aca="false">INDEX(C_Fee,A100)</f>
        <v>0.20634</v>
      </c>
      <c r="J100" s="18" t="n">
        <f aca="false">INDEX(C_Loan,A100)</f>
        <v>4</v>
      </c>
      <c r="K100" s="21" t="n">
        <f aca="false">G100-J100+H100+I100</f>
        <v>21.20494</v>
      </c>
      <c r="L100" s="21" t="n">
        <f aca="false">G100*(1+D100)^E100</f>
        <v>43.3385142563371</v>
      </c>
      <c r="M100" s="21" t="n">
        <f aca="false">L100*LOOKUP(L100,FeeLo,FeeR)*(1+VAT)</f>
        <v>0.333706559773796</v>
      </c>
      <c r="N100" s="21" t="n">
        <f aca="false">-CUMIPMT(Rm,LoanYears*12,J100,1,E100*12,0)</f>
        <v>1.44295178669745</v>
      </c>
      <c r="O100" s="21" t="n">
        <f aca="false">J100*(1+Rm)^(E100*12)-(J100*Rm/(1-(1+Rm)^(-LoanYears*12)))*((1+Rm)^(E100*12)-1)/Rm</f>
        <v>3.15135836846326</v>
      </c>
      <c r="P100" s="29" t="n">
        <f aca="false">SUMIFS(Sch_Total,Sch_Idx,A100,Sch_Scen,C100,Sch_Year,"&lt;="&amp;E100)</f>
        <v>1.21053263529928</v>
      </c>
      <c r="Q100" s="21" t="n">
        <f aca="false">H100+I100+M100</f>
        <v>1.3386465597738</v>
      </c>
      <c r="R100" s="21" t="n">
        <f aca="false">L100-G100-Q100</f>
        <v>17.7998676965633</v>
      </c>
      <c r="S100" s="21" t="n">
        <f aca="false">MAX(0,IF(F100&gt;=2,IF(L100&gt;Exempt,R100*(L100-Exempt)/L100,0),R100))</f>
        <v>12.8712628280305</v>
      </c>
      <c r="T100" s="10" t="n">
        <f aca="false">IF(F100&gt;=2,MIN(MaxDed,MIN(0.4,HoldRate*E100)+MIN(0.4,LiveRate*F100)),IF(E100&gt;=3,MIN(0.3,0.02*E100),0))</f>
        <v>0.8</v>
      </c>
      <c r="U100" s="21" t="n">
        <f aca="false">S100*(1-T100)</f>
        <v>2.5742525656061</v>
      </c>
      <c r="V100" s="21" t="n">
        <f aca="false">MAX(0,U100-InitDed)</f>
        <v>2.5492525656061</v>
      </c>
      <c r="W100" s="29" t="n">
        <f aca="false">SUMPRODUCT((V100&gt;CLo)*(V100-CLo)*CD)*(1+LocalTax)</f>
        <v>0.846247572423352</v>
      </c>
      <c r="X100" s="21" t="n">
        <f aca="false">H100+P100+W100</f>
        <v>2.85538020772263</v>
      </c>
      <c r="Y100" s="29" t="n">
        <f aca="false">(L100-G100)-H100-I100-M100-N100-P100-W100</f>
        <v>14.3001357021432</v>
      </c>
      <c r="Z100" s="10" t="n">
        <f aca="false">Y100/K100</f>
        <v>0.674377560235644</v>
      </c>
      <c r="AA100" s="10" t="n">
        <f aca="false">IF(1+Z100&gt;0,(1+Z100)^(1/E100)-1,-1)</f>
        <v>0.0528956695974834</v>
      </c>
      <c r="AB100" s="21" t="n">
        <f aca="false">L100-O100-M100-W100</f>
        <v>39.0072017556767</v>
      </c>
      <c r="AC100" s="24" t="n">
        <f aca="false">AB100/K100</f>
        <v>1.83953370090539</v>
      </c>
      <c r="AD100" s="21" t="n">
        <f aca="false">K100*((1+DepRate*(1-DepTax))^E100-1)</f>
        <v>6.03997584857586</v>
      </c>
      <c r="AE100" s="21" t="n">
        <f aca="false">Y100-AD100</f>
        <v>8.26015985356735</v>
      </c>
    </row>
    <row r="101" customFormat="false" ht="15" hidden="false" customHeight="false" outlineLevel="0" collapsed="false">
      <c r="A101" s="20" t="n">
        <v>9</v>
      </c>
      <c r="B101" s="18" t="str">
        <f aca="false">INDEX(C_Name,A101)</f>
        <v>흑석한강푸르지오 84.98㎡</v>
      </c>
      <c r="C101" s="20" t="n">
        <v>1</v>
      </c>
      <c r="D101" s="10" t="n">
        <f aca="false">CHOOSE(C101,GrowLo,GrowMid,GrowHi)</f>
        <v>0.02</v>
      </c>
      <c r="E101" s="20" t="n">
        <v>3</v>
      </c>
      <c r="F101" s="20" t="n">
        <f aca="false">MAX(0,E101-NonRes)</f>
        <v>3</v>
      </c>
      <c r="G101" s="18" t="n">
        <f aca="false">INDEX(C_Price,A101)</f>
        <v>20</v>
      </c>
      <c r="H101" s="18" t="n">
        <f aca="false">INDEX(C_Acq,A101)</f>
        <v>0.66</v>
      </c>
      <c r="I101" s="18" t="n">
        <f aca="false">INDEX(C_Fee,A101)</f>
        <v>0.174</v>
      </c>
      <c r="J101" s="18" t="n">
        <f aca="false">INDEX(C_Loan,A101)</f>
        <v>4</v>
      </c>
      <c r="K101" s="21" t="n">
        <f aca="false">G101-J101+H101+I101</f>
        <v>16.834</v>
      </c>
      <c r="L101" s="21" t="n">
        <f aca="false">G101*(1+D101)^E101</f>
        <v>21.22416</v>
      </c>
      <c r="M101" s="21" t="n">
        <f aca="false">L101*LOOKUP(L101,FeeLo,FeeR)*(1+VAT)</f>
        <v>0.163426032</v>
      </c>
      <c r="N101" s="21" t="n">
        <f aca="false">-CUMIPMT(Rm,LoanYears*12,J101,1,E101*12,0)</f>
        <v>0.467427048612969</v>
      </c>
      <c r="O101" s="21" t="n">
        <f aca="false">J101*(1+Rm)^(E101*12)-(J101*Rm/(1-(1+Rm)^(-LoanYears*12)))*((1+Rm)^(E101*12)-1)/Rm</f>
        <v>3.77994902314271</v>
      </c>
      <c r="P101" s="29" t="n">
        <f aca="false">SUMIFS(Sch_Total,Sch_Idx,A101,Sch_Scen,C101,Sch_Year,"&lt;="&amp;E101)</f>
        <v>0.1568693664</v>
      </c>
      <c r="Q101" s="21" t="n">
        <f aca="false">H101+I101+M101</f>
        <v>0.997426032</v>
      </c>
      <c r="R101" s="21" t="n">
        <f aca="false">L101-G101-Q101</f>
        <v>0.226733968000005</v>
      </c>
      <c r="S101" s="21" t="n">
        <f aca="false">MAX(0,IF(F101&gt;=2,IF(L101&gt;Exempt,R101*(L101-Exempt)/L101,0),R101))</f>
        <v>0.0985400787718771</v>
      </c>
      <c r="T101" s="10" t="n">
        <f aca="false">IF(F101&gt;=2,MIN(MaxDed,MIN(0.4,HoldRate*E101)+MIN(0.4,LiveRate*F101)),IF(E101&gt;=3,MIN(0.3,0.02*E101),0))</f>
        <v>0.24</v>
      </c>
      <c r="U101" s="21" t="n">
        <f aca="false">S101*(1-T101)</f>
        <v>0.0748904598666266</v>
      </c>
      <c r="V101" s="21" t="n">
        <f aca="false">MAX(0,U101-InitDed)</f>
        <v>0.0498904598666266</v>
      </c>
      <c r="W101" s="29" t="n">
        <f aca="false">SUMPRODUCT((V101&gt;CLo)*(V101-CLo)*CD)*(1+LocalTax)</f>
        <v>0.00329277035119736</v>
      </c>
      <c r="X101" s="21" t="n">
        <f aca="false">H101+P101+W101</f>
        <v>0.820162136751197</v>
      </c>
      <c r="Y101" s="29" t="n">
        <f aca="false">(L101-G101)-H101-I101-M101-N101-P101-W101</f>
        <v>-0.400855217364161</v>
      </c>
      <c r="Z101" s="10" t="n">
        <f aca="false">Y101/K101</f>
        <v>-0.0238122381706167</v>
      </c>
      <c r="AA101" s="10" t="n">
        <f aca="false">IF(1+Z101&gt;0,(1+Z101)^(1/E101)-1,-1)</f>
        <v>-0.00800126217243247</v>
      </c>
      <c r="AB101" s="21" t="n">
        <f aca="false">L101-O101-M101-W101</f>
        <v>17.2774921745061</v>
      </c>
      <c r="AC101" s="24" t="n">
        <f aca="false">AB101/K101</f>
        <v>1.02634502640526</v>
      </c>
      <c r="AD101" s="21" t="n">
        <f aca="false">K101*((1+DepRate*(1-DepTax))^E101-1)</f>
        <v>1.31454654919973</v>
      </c>
      <c r="AE101" s="21" t="n">
        <f aca="false">Y101-AD101</f>
        <v>-1.71540176656389</v>
      </c>
    </row>
    <row r="102" customFormat="false" ht="15" hidden="false" customHeight="false" outlineLevel="0" collapsed="false">
      <c r="A102" s="20" t="n">
        <v>9</v>
      </c>
      <c r="B102" s="18" t="str">
        <f aca="false">INDEX(C_Name,A102)</f>
        <v>흑석한강푸르지오 84.98㎡</v>
      </c>
      <c r="C102" s="20" t="n">
        <v>1</v>
      </c>
      <c r="D102" s="10" t="n">
        <f aca="false">CHOOSE(C102,GrowLo,GrowMid,GrowHi)</f>
        <v>0.02</v>
      </c>
      <c r="E102" s="20" t="n">
        <v>5</v>
      </c>
      <c r="F102" s="20" t="n">
        <f aca="false">MAX(0,E102-NonRes)</f>
        <v>5</v>
      </c>
      <c r="G102" s="18" t="n">
        <f aca="false">INDEX(C_Price,A102)</f>
        <v>20</v>
      </c>
      <c r="H102" s="18" t="n">
        <f aca="false">INDEX(C_Acq,A102)</f>
        <v>0.66</v>
      </c>
      <c r="I102" s="18" t="n">
        <f aca="false">INDEX(C_Fee,A102)</f>
        <v>0.174</v>
      </c>
      <c r="J102" s="18" t="n">
        <f aca="false">INDEX(C_Loan,A102)</f>
        <v>4</v>
      </c>
      <c r="K102" s="21" t="n">
        <f aca="false">G102-J102+H102+I102</f>
        <v>16.834</v>
      </c>
      <c r="L102" s="21" t="n">
        <f aca="false">G102*(1+D102)^E102</f>
        <v>22.081616064</v>
      </c>
      <c r="M102" s="21" t="n">
        <f aca="false">L102*LOOKUP(L102,FeeLo,FeeR)*(1+VAT)</f>
        <v>0.1700284436928</v>
      </c>
      <c r="N102" s="21" t="n">
        <f aca="false">-CUMIPMT(Rm,LoanYears*12,J102,1,E102*12,0)</f>
        <v>0.76369723456074</v>
      </c>
      <c r="O102" s="21" t="n">
        <f aca="false">J102*(1+Rm)^(E102*12)-(J102*Rm/(1-(1+Rm)^(-LoanYears*12)))*((1+Rm)^(E102*12)-1)/Rm</f>
        <v>3.61790052544364</v>
      </c>
      <c r="P102" s="29" t="n">
        <f aca="false">SUMIFS(Sch_Total,Sch_Idx,A102,Sch_Scen,C102,Sch_Year,"&lt;="&amp;E102)</f>
        <v>0.27189132080256</v>
      </c>
      <c r="Q102" s="21" t="n">
        <f aca="false">H102+I102+M102</f>
        <v>1.0040284436928</v>
      </c>
      <c r="R102" s="21" t="n">
        <f aca="false">L102-G102-Q102</f>
        <v>1.0775876203072</v>
      </c>
      <c r="S102" s="21" t="n">
        <f aca="false">MAX(0,IF(F102&gt;=2,IF(L102&gt;Exempt,R102*(L102-Exempt)/L102,0),R102))</f>
        <v>0.491985035505082</v>
      </c>
      <c r="T102" s="10" t="n">
        <f aca="false">IF(F102&gt;=2,MIN(MaxDed,MIN(0.4,HoldRate*E102)+MIN(0.4,LiveRate*F102)),IF(E102&gt;=3,MIN(0.3,0.02*E102),0))</f>
        <v>0.4</v>
      </c>
      <c r="U102" s="21" t="n">
        <f aca="false">S102*(1-T102)</f>
        <v>0.295191021303049</v>
      </c>
      <c r="V102" s="21" t="n">
        <f aca="false">MAX(0,U102-InitDed)</f>
        <v>0.270191021303049</v>
      </c>
      <c r="W102" s="29" t="n">
        <f aca="false">SUMPRODUCT((V102&gt;CLo)*(V102-CLo)*CD)*(1+LocalTax)</f>
        <v>0.0307215185150031</v>
      </c>
      <c r="X102" s="21" t="n">
        <f aca="false">H102+P102+W102</f>
        <v>0.962612839317563</v>
      </c>
      <c r="Y102" s="29" t="n">
        <f aca="false">(L102-G102)-H102-I102-M102-N102-P102-W102</f>
        <v>0.0112775464288986</v>
      </c>
      <c r="Z102" s="10" t="n">
        <f aca="false">Y102/K102</f>
        <v>0.000669926721450555</v>
      </c>
      <c r="AA102" s="10" t="n">
        <f aca="false">IF(1+Z102&gt;0,(1+Z102)^(1/E102)-1,-1)</f>
        <v>0.000133949454570237</v>
      </c>
      <c r="AB102" s="21" t="n">
        <f aca="false">L102-O102-M102-W102</f>
        <v>18.2629655763486</v>
      </c>
      <c r="AC102" s="24" t="n">
        <f aca="false">AB102/K102</f>
        <v>1.08488568233032</v>
      </c>
      <c r="AD102" s="21" t="n">
        <f aca="false">K102*((1+DepRate*(1-DepTax))^E102-1)</f>
        <v>2.24745705666492</v>
      </c>
      <c r="AE102" s="21" t="n">
        <f aca="false">Y102-AD102</f>
        <v>-2.23617951023602</v>
      </c>
    </row>
    <row r="103" customFormat="false" ht="15" hidden="false" customHeight="false" outlineLevel="0" collapsed="false">
      <c r="A103" s="20" t="n">
        <v>9</v>
      </c>
      <c r="B103" s="18" t="str">
        <f aca="false">INDEX(C_Name,A103)</f>
        <v>흑석한강푸르지오 84.98㎡</v>
      </c>
      <c r="C103" s="20" t="n">
        <v>1</v>
      </c>
      <c r="D103" s="10" t="n">
        <f aca="false">CHOOSE(C103,GrowLo,GrowMid,GrowHi)</f>
        <v>0.02</v>
      </c>
      <c r="E103" s="20" t="n">
        <v>7</v>
      </c>
      <c r="F103" s="20" t="n">
        <f aca="false">MAX(0,E103-NonRes)</f>
        <v>7</v>
      </c>
      <c r="G103" s="18" t="n">
        <f aca="false">INDEX(C_Price,A103)</f>
        <v>20</v>
      </c>
      <c r="H103" s="18" t="n">
        <f aca="false">INDEX(C_Acq,A103)</f>
        <v>0.66</v>
      </c>
      <c r="I103" s="18" t="n">
        <f aca="false">INDEX(C_Fee,A103)</f>
        <v>0.174</v>
      </c>
      <c r="J103" s="18" t="n">
        <f aca="false">INDEX(C_Loan,A103)</f>
        <v>4</v>
      </c>
      <c r="K103" s="21" t="n">
        <f aca="false">G103-J103+H103+I103</f>
        <v>16.834</v>
      </c>
      <c r="L103" s="21" t="n">
        <f aca="false">G103*(1+D103)^E103</f>
        <v>22.9737133529856</v>
      </c>
      <c r="M103" s="21" t="n">
        <f aca="false">L103*LOOKUP(L103,FeeLo,FeeR)*(1+VAT)</f>
        <v>0.176897592817989</v>
      </c>
      <c r="N103" s="21" t="n">
        <f aca="false">-CUMIPMT(Rm,LoanYears*12,J103,1,E103*12,0)</f>
        <v>1.04649422888253</v>
      </c>
      <c r="O103" s="21" t="n">
        <f aca="false">J103*(1+Rm)^(E103*12)-(J103*Rm/(1-(1+Rm)^(-LoanYears*12)))*((1+Rm)^(E103*12)-1)/Rm</f>
        <v>3.4423788361186</v>
      </c>
      <c r="P103" s="29" t="n">
        <f aca="false">SUMIFS(Sch_Total,Sch_Idx,A103,Sch_Scen,C103,Sch_Year,"&lt;="&amp;E103)</f>
        <v>0.395661570162983</v>
      </c>
      <c r="Q103" s="21" t="n">
        <f aca="false">H103+I103+M103</f>
        <v>1.01089759281799</v>
      </c>
      <c r="R103" s="21" t="n">
        <f aca="false">L103-G103-Q103</f>
        <v>1.96281576016761</v>
      </c>
      <c r="S103" s="21" t="n">
        <f aca="false">MAX(0,IF(F103&gt;=2,IF(L103&gt;Exempt,R103*(L103-Exempt)/L103,0),R103))</f>
        <v>0.93756621691298</v>
      </c>
      <c r="T103" s="10" t="n">
        <f aca="false">IF(F103&gt;=2,MIN(MaxDed,MIN(0.4,HoldRate*E103)+MIN(0.4,LiveRate*F103)),IF(E103&gt;=3,MIN(0.3,0.02*E103),0))</f>
        <v>0.56</v>
      </c>
      <c r="U103" s="21" t="n">
        <f aca="false">S103*(1-T103)</f>
        <v>0.412529135441711</v>
      </c>
      <c r="V103" s="21" t="n">
        <f aca="false">MAX(0,U103-InitDed)</f>
        <v>0.387529135441711</v>
      </c>
      <c r="W103" s="29" t="n">
        <f aca="false">SUMPRODUCT((V103&gt;CLo)*(V103-CLo)*CD)*(1+LocalTax)</f>
        <v>0.0500823073478823</v>
      </c>
      <c r="X103" s="21" t="n">
        <f aca="false">H103+P103+W103</f>
        <v>1.10574387751087</v>
      </c>
      <c r="Y103" s="29" t="n">
        <f aca="false">(L103-G103)-H103-I103-M103-N103-P103-W103</f>
        <v>0.470577653774216</v>
      </c>
      <c r="Z103" s="10" t="n">
        <f aca="false">Y103/K103</f>
        <v>0.0279540010558522</v>
      </c>
      <c r="AA103" s="10" t="n">
        <f aca="false">IF(1+Z103&gt;0,(1+Z103)^(1/E103)-1,-1)</f>
        <v>0.003946398027316</v>
      </c>
      <c r="AB103" s="21" t="n">
        <f aca="false">L103-O103-M103-W103</f>
        <v>19.3043546167011</v>
      </c>
      <c r="AC103" s="24" t="n">
        <f aca="false">AB103/K103</f>
        <v>1.14674792780689</v>
      </c>
      <c r="AD103" s="21" t="n">
        <f aca="false">K103*((1+DepRate*(1-DepTax))^E103-1)</f>
        <v>3.22832303056812</v>
      </c>
      <c r="AE103" s="21" t="n">
        <f aca="false">Y103-AD103</f>
        <v>-2.7577453767939</v>
      </c>
    </row>
    <row r="104" customFormat="false" ht="15" hidden="false" customHeight="false" outlineLevel="0" collapsed="false">
      <c r="A104" s="20" t="n">
        <v>9</v>
      </c>
      <c r="B104" s="18" t="str">
        <f aca="false">INDEX(C_Name,A104)</f>
        <v>흑석한강푸르지오 84.98㎡</v>
      </c>
      <c r="C104" s="20" t="n">
        <v>1</v>
      </c>
      <c r="D104" s="10" t="n">
        <f aca="false">CHOOSE(C104,GrowLo,GrowMid,GrowHi)</f>
        <v>0.02</v>
      </c>
      <c r="E104" s="20" t="n">
        <v>10</v>
      </c>
      <c r="F104" s="20" t="n">
        <f aca="false">MAX(0,E104-NonRes)</f>
        <v>10</v>
      </c>
      <c r="G104" s="18" t="n">
        <f aca="false">INDEX(C_Price,A104)</f>
        <v>20</v>
      </c>
      <c r="H104" s="18" t="n">
        <f aca="false">INDEX(C_Acq,A104)</f>
        <v>0.66</v>
      </c>
      <c r="I104" s="18" t="n">
        <f aca="false">INDEX(C_Fee,A104)</f>
        <v>0.174</v>
      </c>
      <c r="J104" s="18" t="n">
        <f aca="false">INDEX(C_Loan,A104)</f>
        <v>4</v>
      </c>
      <c r="K104" s="21" t="n">
        <f aca="false">G104-J104+H104+I104</f>
        <v>16.834</v>
      </c>
      <c r="L104" s="21" t="n">
        <f aca="false">G104*(1+D104)^E104</f>
        <v>24.3798883998951</v>
      </c>
      <c r="M104" s="21" t="n">
        <f aca="false">L104*LOOKUP(L104,FeeLo,FeeR)*(1+VAT)</f>
        <v>0.187725140679193</v>
      </c>
      <c r="N104" s="21" t="n">
        <f aca="false">-CUMIPMT(Rm,LoanYears*12,J104,1,E104*12,0)</f>
        <v>1.44295178669745</v>
      </c>
      <c r="O104" s="21" t="n">
        <f aca="false">J104*(1+Rm)^(E104*12)-(J104*Rm/(1-(1+Rm)^(-LoanYears*12)))*((1+Rm)^(E104*12)-1)/Rm</f>
        <v>3.15135836846326</v>
      </c>
      <c r="P104" s="29" t="n">
        <f aca="false">SUMIFS(Sch_Total,Sch_Idx,A104,Sch_Scen,C104,Sch_Year,"&lt;="&amp;E104)</f>
        <v>0.598497016509519</v>
      </c>
      <c r="Q104" s="21" t="n">
        <f aca="false">H104+I104+M104</f>
        <v>1.02172514067919</v>
      </c>
      <c r="R104" s="21" t="n">
        <f aca="false">L104-G104-Q104</f>
        <v>3.35816325921595</v>
      </c>
      <c r="S104" s="21" t="n">
        <f aca="false">MAX(0,IF(F104&gt;=2,IF(L104&gt;Exempt,R104*(L104-Exempt)/L104,0),R104))</f>
        <v>1.70524514697534</v>
      </c>
      <c r="T104" s="10" t="n">
        <f aca="false">IF(F104&gt;=2,MIN(MaxDed,MIN(0.4,HoldRate*E104)+MIN(0.4,LiveRate*F104)),IF(E104&gt;=3,MIN(0.3,0.02*E104),0))</f>
        <v>0.8</v>
      </c>
      <c r="U104" s="21" t="n">
        <f aca="false">S104*(1-T104)</f>
        <v>0.341049029395069</v>
      </c>
      <c r="V104" s="21" t="n">
        <f aca="false">MAX(0,U104-InitDed)</f>
        <v>0.316049029395069</v>
      </c>
      <c r="W104" s="29" t="n">
        <f aca="false">SUMPRODUCT((V104&gt;CLo)*(V104-CLo)*CD)*(1+LocalTax)</f>
        <v>0.0382880898501863</v>
      </c>
      <c r="X104" s="21" t="n">
        <f aca="false">H104+P104+W104</f>
        <v>1.29678510635971</v>
      </c>
      <c r="Y104" s="29" t="n">
        <f aca="false">(L104-G104)-H104-I104-M104-N104-P104-W104</f>
        <v>1.2784263661588</v>
      </c>
      <c r="Z104" s="10" t="n">
        <f aca="false">Y104/K104</f>
        <v>0.0759431131138647</v>
      </c>
      <c r="AA104" s="10" t="n">
        <f aca="false">IF(1+Z104&gt;0,(1+Z104)^(1/E104)-1,-1)</f>
        <v>0.00734661406973181</v>
      </c>
      <c r="AB104" s="21" t="n">
        <f aca="false">L104-O104-M104-W104</f>
        <v>21.0025168009025</v>
      </c>
      <c r="AC104" s="24" t="n">
        <f aca="false">AB104/K104</f>
        <v>1.24762485451482</v>
      </c>
      <c r="AD104" s="21" t="n">
        <f aca="false">K104*((1+DepRate*(1-DepTax))^E104-1)</f>
        <v>4.79496539178729</v>
      </c>
      <c r="AE104" s="21" t="n">
        <f aca="false">Y104-AD104</f>
        <v>-3.5165390256285</v>
      </c>
    </row>
    <row r="105" customFormat="false" ht="15" hidden="false" customHeight="false" outlineLevel="0" collapsed="false">
      <c r="A105" s="20" t="n">
        <v>9</v>
      </c>
      <c r="B105" s="18" t="str">
        <f aca="false">INDEX(C_Name,A105)</f>
        <v>흑석한강푸르지오 84.98㎡</v>
      </c>
      <c r="C105" s="20" t="n">
        <v>2</v>
      </c>
      <c r="D105" s="10" t="n">
        <f aca="false">CHOOSE(C105,GrowLo,GrowMid,GrowHi)</f>
        <v>0.04</v>
      </c>
      <c r="E105" s="20" t="n">
        <v>3</v>
      </c>
      <c r="F105" s="20" t="n">
        <f aca="false">MAX(0,E105-NonRes)</f>
        <v>3</v>
      </c>
      <c r="G105" s="18" t="n">
        <f aca="false">INDEX(C_Price,A105)</f>
        <v>20</v>
      </c>
      <c r="H105" s="18" t="n">
        <f aca="false">INDEX(C_Acq,A105)</f>
        <v>0.66</v>
      </c>
      <c r="I105" s="18" t="n">
        <f aca="false">INDEX(C_Fee,A105)</f>
        <v>0.174</v>
      </c>
      <c r="J105" s="18" t="n">
        <f aca="false">INDEX(C_Loan,A105)</f>
        <v>4</v>
      </c>
      <c r="K105" s="21" t="n">
        <f aca="false">G105-J105+H105+I105</f>
        <v>16.834</v>
      </c>
      <c r="L105" s="21" t="n">
        <f aca="false">G105*(1+D105)^E105</f>
        <v>22.49728</v>
      </c>
      <c r="M105" s="21" t="n">
        <f aca="false">L105*LOOKUP(L105,FeeLo,FeeR)*(1+VAT)</f>
        <v>0.173229056</v>
      </c>
      <c r="N105" s="21" t="n">
        <f aca="false">-CUMIPMT(Rm,LoanYears*12,J105,1,E105*12,0)</f>
        <v>0.467427048612969</v>
      </c>
      <c r="O105" s="21" t="n">
        <f aca="false">J105*(1+Rm)^(E105*12)-(J105*Rm/(1-(1+Rm)^(-LoanYears*12)))*((1+Rm)^(E105*12)-1)/Rm</f>
        <v>3.77994902314271</v>
      </c>
      <c r="P105" s="29" t="n">
        <f aca="false">SUMIFS(Sch_Total,Sch_Idx,A105,Sch_Scen,C105,Sch_Year,"&lt;="&amp;E105)</f>
        <v>0.1630515456</v>
      </c>
      <c r="Q105" s="21" t="n">
        <f aca="false">H105+I105+M105</f>
        <v>1.007229056</v>
      </c>
      <c r="R105" s="21" t="n">
        <f aca="false">L105-G105-Q105</f>
        <v>1.490050944</v>
      </c>
      <c r="S105" s="21" t="n">
        <f aca="false">MAX(0,IF(F105&gt;=2,IF(L105&gt;Exempt,R105*(L105-Exempt)/L105,0),R105))</f>
        <v>0.695261025929906</v>
      </c>
      <c r="T105" s="10" t="n">
        <f aca="false">IF(F105&gt;=2,MIN(MaxDed,MIN(0.4,HoldRate*E105)+MIN(0.4,LiveRate*F105)),IF(E105&gt;=3,MIN(0.3,0.02*E105),0))</f>
        <v>0.24</v>
      </c>
      <c r="U105" s="21" t="n">
        <f aca="false">S105*(1-T105)</f>
        <v>0.528398379706729</v>
      </c>
      <c r="V105" s="21" t="n">
        <f aca="false">MAX(0,U105-InitDed)</f>
        <v>0.503398379706729</v>
      </c>
      <c r="W105" s="29" t="n">
        <f aca="false">SUMPRODUCT((V105&gt;CLo)*(V105-CLo)*CD)*(1+LocalTax)</f>
        <v>0.0695371722425764</v>
      </c>
      <c r="X105" s="21" t="n">
        <f aca="false">H105+P105+W105</f>
        <v>0.892588717842576</v>
      </c>
      <c r="Y105" s="29" t="n">
        <f aca="false">(L105-G105)-H105-I105-M105-N105-P105-W105</f>
        <v>0.790035177544458</v>
      </c>
      <c r="Z105" s="10" t="n">
        <f aca="false">Y105/K105</f>
        <v>0.0469309241739609</v>
      </c>
      <c r="AA105" s="10" t="n">
        <f aca="false">IF(1+Z105&gt;0,(1+Z105)^(1/E105)-1,-1)</f>
        <v>0.0154051054838018</v>
      </c>
      <c r="AB105" s="21" t="n">
        <f aca="false">L105-O105-M105-W105</f>
        <v>18.4745647486147</v>
      </c>
      <c r="AC105" s="24" t="n">
        <f aca="false">AB105/K105</f>
        <v>1.09745543237583</v>
      </c>
      <c r="AD105" s="21" t="n">
        <f aca="false">K105*((1+DepRate*(1-DepTax))^E105-1)</f>
        <v>1.31454654919973</v>
      </c>
      <c r="AE105" s="21" t="n">
        <f aca="false">Y105-AD105</f>
        <v>-0.524511371655275</v>
      </c>
    </row>
    <row r="106" customFormat="false" ht="15" hidden="false" customHeight="false" outlineLevel="0" collapsed="false">
      <c r="A106" s="20" t="n">
        <v>9</v>
      </c>
      <c r="B106" s="18" t="str">
        <f aca="false">INDEX(C_Name,A106)</f>
        <v>흑석한강푸르지오 84.98㎡</v>
      </c>
      <c r="C106" s="20" t="n">
        <v>2</v>
      </c>
      <c r="D106" s="10" t="n">
        <f aca="false">CHOOSE(C106,GrowLo,GrowMid,GrowHi)</f>
        <v>0.04</v>
      </c>
      <c r="E106" s="20" t="n">
        <v>5</v>
      </c>
      <c r="F106" s="20" t="n">
        <f aca="false">MAX(0,E106-NonRes)</f>
        <v>5</v>
      </c>
      <c r="G106" s="18" t="n">
        <f aca="false">INDEX(C_Price,A106)</f>
        <v>20</v>
      </c>
      <c r="H106" s="18" t="n">
        <f aca="false">INDEX(C_Acq,A106)</f>
        <v>0.66</v>
      </c>
      <c r="I106" s="18" t="n">
        <f aca="false">INDEX(C_Fee,A106)</f>
        <v>0.174</v>
      </c>
      <c r="J106" s="18" t="n">
        <f aca="false">INDEX(C_Loan,A106)</f>
        <v>4</v>
      </c>
      <c r="K106" s="21" t="n">
        <f aca="false">G106-J106+H106+I106</f>
        <v>16.834</v>
      </c>
      <c r="L106" s="21" t="n">
        <f aca="false">G106*(1+D106)^E106</f>
        <v>24.333058048</v>
      </c>
      <c r="M106" s="21" t="n">
        <f aca="false">L106*LOOKUP(L106,FeeLo,FeeR)*(1+VAT)</f>
        <v>0.1873645469696</v>
      </c>
      <c r="N106" s="21" t="n">
        <f aca="false">-CUMIPMT(Rm,LoanYears*12,J106,1,E106*12,0)</f>
        <v>0.76369723456074</v>
      </c>
      <c r="O106" s="21" t="n">
        <f aca="false">J106*(1+Rm)^(E106*12)-(J106*Rm/(1-(1+Rm)^(-LoanYears*12)))*((1+Rm)^(E106*12)-1)/Rm</f>
        <v>3.61790052544364</v>
      </c>
      <c r="P106" s="29" t="n">
        <f aca="false">SUMIFS(Sch_Total,Sch_Idx,A106,Sch_Scen,C106,Sch_Year,"&lt;="&amp;E106)</f>
        <v>0.29333523972096</v>
      </c>
      <c r="Q106" s="21" t="n">
        <f aca="false">H106+I106+M106</f>
        <v>1.0213645469696</v>
      </c>
      <c r="R106" s="21" t="n">
        <f aca="false">L106-G106-Q106</f>
        <v>3.3116935010304</v>
      </c>
      <c r="S106" s="21" t="n">
        <f aca="false">MAX(0,IF(F106&gt;=2,IF(L106&gt;Exempt,R106*(L106-Exempt)/L106,0),R106))</f>
        <v>1.678511106365</v>
      </c>
      <c r="T106" s="10" t="n">
        <f aca="false">IF(F106&gt;=2,MIN(MaxDed,MIN(0.4,HoldRate*E106)+MIN(0.4,LiveRate*F106)),IF(E106&gt;=3,MIN(0.3,0.02*E106),0))</f>
        <v>0.4</v>
      </c>
      <c r="U106" s="21" t="n">
        <f aca="false">S106*(1-T106)</f>
        <v>1.007106663819</v>
      </c>
      <c r="V106" s="21" t="n">
        <f aca="false">MAX(0,U106-InitDed)</f>
        <v>0.982106663819001</v>
      </c>
      <c r="W106" s="29" t="n">
        <f aca="false">SUMPRODUCT((V106&gt;CLo)*(V106-CLo)*CD)*(1+LocalTax)</f>
        <v>0.208271065570315</v>
      </c>
      <c r="X106" s="21" t="n">
        <f aca="false">H106+P106+W106</f>
        <v>1.16160630529128</v>
      </c>
      <c r="Y106" s="29" t="n">
        <f aca="false">(L106-G106)-H106-I106-M106-N106-P106-W106</f>
        <v>2.04638996117839</v>
      </c>
      <c r="Z106" s="10" t="n">
        <f aca="false">Y106/K106</f>
        <v>0.121562906093524</v>
      </c>
      <c r="AA106" s="10" t="n">
        <f aca="false">IF(1+Z106&gt;0,(1+Z106)^(1/E106)-1,-1)</f>
        <v>0.0232098858021184</v>
      </c>
      <c r="AB106" s="21" t="n">
        <f aca="false">L106-O106-M106-W106</f>
        <v>20.3195219100164</v>
      </c>
      <c r="AC106" s="24" t="n">
        <f aca="false">AB106/K106</f>
        <v>1.20705250742643</v>
      </c>
      <c r="AD106" s="21" t="n">
        <f aca="false">K106*((1+DepRate*(1-DepTax))^E106-1)</f>
        <v>2.24745705666492</v>
      </c>
      <c r="AE106" s="21" t="n">
        <f aca="false">Y106-AD106</f>
        <v>-0.201067095486531</v>
      </c>
    </row>
    <row r="107" customFormat="false" ht="15" hidden="false" customHeight="false" outlineLevel="0" collapsed="false">
      <c r="A107" s="20" t="n">
        <v>9</v>
      </c>
      <c r="B107" s="18" t="str">
        <f aca="false">INDEX(C_Name,A107)</f>
        <v>흑석한강푸르지오 84.98㎡</v>
      </c>
      <c r="C107" s="20" t="n">
        <v>2</v>
      </c>
      <c r="D107" s="10" t="n">
        <f aca="false">CHOOSE(C107,GrowLo,GrowMid,GrowHi)</f>
        <v>0.04</v>
      </c>
      <c r="E107" s="20" t="n">
        <v>7</v>
      </c>
      <c r="F107" s="20" t="n">
        <f aca="false">MAX(0,E107-NonRes)</f>
        <v>7</v>
      </c>
      <c r="G107" s="18" t="n">
        <f aca="false">INDEX(C_Price,A107)</f>
        <v>20</v>
      </c>
      <c r="H107" s="18" t="n">
        <f aca="false">INDEX(C_Acq,A107)</f>
        <v>0.66</v>
      </c>
      <c r="I107" s="18" t="n">
        <f aca="false">INDEX(C_Fee,A107)</f>
        <v>0.174</v>
      </c>
      <c r="J107" s="18" t="n">
        <f aca="false">INDEX(C_Loan,A107)</f>
        <v>4</v>
      </c>
      <c r="K107" s="21" t="n">
        <f aca="false">G107-J107+H107+I107</f>
        <v>16.834</v>
      </c>
      <c r="L107" s="21" t="n">
        <f aca="false">G107*(1+D107)^E107</f>
        <v>26.3186355847168</v>
      </c>
      <c r="M107" s="21" t="n">
        <f aca="false">L107*LOOKUP(L107,FeeLo,FeeR)*(1+VAT)</f>
        <v>0.202653494002319</v>
      </c>
      <c r="N107" s="21" t="n">
        <f aca="false">-CUMIPMT(Rm,LoanYears*12,J107,1,E107*12,0)</f>
        <v>1.04649422888253</v>
      </c>
      <c r="O107" s="21" t="n">
        <f aca="false">J107*(1+Rm)^(E107*12)-(J107*Rm/(1-(1+Rm)^(-LoanYears*12)))*((1+Rm)^(E107*12)-1)/Rm</f>
        <v>3.4423788361186</v>
      </c>
      <c r="P107" s="29" t="n">
        <f aca="false">SUMIFS(Sch_Total,Sch_Idx,A107,Sch_Scen,C107,Sch_Year,"&lt;="&amp;E107)</f>
        <v>0.443198534817743</v>
      </c>
      <c r="Q107" s="21" t="n">
        <f aca="false">H107+I107+M107</f>
        <v>1.03665349400232</v>
      </c>
      <c r="R107" s="21" t="n">
        <f aca="false">L107-G107-Q107</f>
        <v>5.28198209071449</v>
      </c>
      <c r="S107" s="21" t="n">
        <f aca="false">MAX(0,IF(F107&gt;=2,IF(L107&gt;Exempt,R107*(L107-Exempt)/L107,0),R107))</f>
        <v>2.87365872286556</v>
      </c>
      <c r="T107" s="10" t="n">
        <f aca="false">IF(F107&gt;=2,MIN(MaxDed,MIN(0.4,HoldRate*E107)+MIN(0.4,LiveRate*F107)),IF(E107&gt;=3,MIN(0.3,0.02*E107),0))</f>
        <v>0.56</v>
      </c>
      <c r="U107" s="21" t="n">
        <f aca="false">S107*(1-T107)</f>
        <v>1.26440983806084</v>
      </c>
      <c r="V107" s="21" t="n">
        <f aca="false">MAX(0,U107-InitDed)</f>
        <v>1.23940983806085</v>
      </c>
      <c r="W107" s="29" t="n">
        <f aca="false">SUMPRODUCT((V107&gt;CLo)*(V107-CLo)*CD)*(1+LocalTax)</f>
        <v>0.307332787653425</v>
      </c>
      <c r="X107" s="21" t="n">
        <f aca="false">H107+P107+W107</f>
        <v>1.41053132247117</v>
      </c>
      <c r="Y107" s="29" t="n">
        <f aca="false">(L107-G107)-H107-I107-M107-N107-P107-W107</f>
        <v>3.48495653936079</v>
      </c>
      <c r="Z107" s="10" t="n">
        <f aca="false">Y107/K107</f>
        <v>0.207018922380943</v>
      </c>
      <c r="AA107" s="10" t="n">
        <f aca="false">IF(1+Z107&gt;0,(1+Z107)^(1/E107)-1,-1)</f>
        <v>0.0272435896458931</v>
      </c>
      <c r="AB107" s="21" t="n">
        <f aca="false">L107-O107-M107-W107</f>
        <v>22.3662704669425</v>
      </c>
      <c r="AC107" s="24" t="n">
        <f aca="false">AB107/K107</f>
        <v>1.32863671539399</v>
      </c>
      <c r="AD107" s="21" t="n">
        <f aca="false">K107*((1+DepRate*(1-DepTax))^E107-1)</f>
        <v>3.22832303056812</v>
      </c>
      <c r="AE107" s="21" t="n">
        <f aca="false">Y107-AD107</f>
        <v>0.25663350879267</v>
      </c>
    </row>
    <row r="108" customFormat="false" ht="15" hidden="false" customHeight="false" outlineLevel="0" collapsed="false">
      <c r="A108" s="20" t="n">
        <v>9</v>
      </c>
      <c r="B108" s="18" t="str">
        <f aca="false">INDEX(C_Name,A108)</f>
        <v>흑석한강푸르지오 84.98㎡</v>
      </c>
      <c r="C108" s="20" t="n">
        <v>2</v>
      </c>
      <c r="D108" s="10" t="n">
        <f aca="false">CHOOSE(C108,GrowLo,GrowMid,GrowHi)</f>
        <v>0.04</v>
      </c>
      <c r="E108" s="20" t="n">
        <v>10</v>
      </c>
      <c r="F108" s="20" t="n">
        <f aca="false">MAX(0,E108-NonRes)</f>
        <v>10</v>
      </c>
      <c r="G108" s="18" t="n">
        <f aca="false">INDEX(C_Price,A108)</f>
        <v>20</v>
      </c>
      <c r="H108" s="18" t="n">
        <f aca="false">INDEX(C_Acq,A108)</f>
        <v>0.66</v>
      </c>
      <c r="I108" s="18" t="n">
        <f aca="false">INDEX(C_Fee,A108)</f>
        <v>0.174</v>
      </c>
      <c r="J108" s="18" t="n">
        <f aca="false">INDEX(C_Loan,A108)</f>
        <v>4</v>
      </c>
      <c r="K108" s="21" t="n">
        <f aca="false">G108-J108+H108+I108</f>
        <v>16.834</v>
      </c>
      <c r="L108" s="21" t="n">
        <f aca="false">G108*(1+D108)^E108</f>
        <v>29.6048856983669</v>
      </c>
      <c r="M108" s="21" t="n">
        <f aca="false">L108*LOOKUP(L108,FeeLo,FeeR)*(1+VAT)</f>
        <v>0.227957619877425</v>
      </c>
      <c r="N108" s="21" t="n">
        <f aca="false">-CUMIPMT(Rm,LoanYears*12,J108,1,E108*12,0)</f>
        <v>1.44295178669745</v>
      </c>
      <c r="O108" s="21" t="n">
        <f aca="false">J108*(1+Rm)^(E108*12)-(J108*Rm/(1-(1+Rm)^(-LoanYears*12)))*((1+Rm)^(E108*12)-1)/Rm</f>
        <v>3.15135836846326</v>
      </c>
      <c r="P108" s="29" t="n">
        <f aca="false">SUMIFS(Sch_Total,Sch_Idx,A108,Sch_Scen,C108,Sch_Year,"&lt;="&amp;E108)</f>
        <v>0.714063789491406</v>
      </c>
      <c r="Q108" s="21" t="n">
        <f aca="false">H108+I108+M108</f>
        <v>1.06195761987743</v>
      </c>
      <c r="R108" s="21" t="n">
        <f aca="false">L108-G108-Q108</f>
        <v>8.54292807848946</v>
      </c>
      <c r="S108" s="21" t="n">
        <f aca="false">MAX(0,IF(F108&gt;=2,IF(L108&gt;Exempt,R108*(L108-Exempt)/L108,0),R108))</f>
        <v>5.08015041447947</v>
      </c>
      <c r="T108" s="10" t="n">
        <f aca="false">IF(F108&gt;=2,MIN(MaxDed,MIN(0.4,HoldRate*E108)+MIN(0.4,LiveRate*F108)),IF(E108&gt;=3,MIN(0.3,0.02*E108),0))</f>
        <v>0.8</v>
      </c>
      <c r="U108" s="21" t="n">
        <f aca="false">S108*(1-T108)</f>
        <v>1.01603008289589</v>
      </c>
      <c r="V108" s="21" t="n">
        <f aca="false">MAX(0,U108-InitDed)</f>
        <v>0.991030082895895</v>
      </c>
      <c r="W108" s="29" t="n">
        <f aca="false">SUMPRODUCT((V108&gt;CLo)*(V108-CLo)*CD)*(1+LocalTax)</f>
        <v>0.211706581914919</v>
      </c>
      <c r="X108" s="21" t="n">
        <f aca="false">H108+P108+W108</f>
        <v>1.58577037140633</v>
      </c>
      <c r="Y108" s="29" t="n">
        <f aca="false">(L108-G108)-H108-I108-M108-N108-P108-W108</f>
        <v>6.17420592038569</v>
      </c>
      <c r="Z108" s="10" t="n">
        <f aca="false">Y108/K108</f>
        <v>0.366769984577978</v>
      </c>
      <c r="AA108" s="10" t="n">
        <f aca="false">IF(1+Z108&gt;0,(1+Z108)^(1/E108)-1,-1)</f>
        <v>0.0317382777513591</v>
      </c>
      <c r="AB108" s="21" t="n">
        <f aca="false">L108-O108-M108-W108</f>
        <v>26.0138631281113</v>
      </c>
      <c r="AC108" s="24" t="n">
        <f aca="false">AB108/K108</f>
        <v>1.54531680694495</v>
      </c>
      <c r="AD108" s="21" t="n">
        <f aca="false">K108*((1+DepRate*(1-DepTax))^E108-1)</f>
        <v>4.79496539178729</v>
      </c>
      <c r="AE108" s="21" t="n">
        <f aca="false">Y108-AD108</f>
        <v>1.37924052859839</v>
      </c>
    </row>
    <row r="109" customFormat="false" ht="15" hidden="false" customHeight="false" outlineLevel="0" collapsed="false">
      <c r="A109" s="20" t="n">
        <v>9</v>
      </c>
      <c r="B109" s="18" t="str">
        <f aca="false">INDEX(C_Name,A109)</f>
        <v>흑석한강푸르지오 84.98㎡</v>
      </c>
      <c r="C109" s="20" t="n">
        <v>3</v>
      </c>
      <c r="D109" s="10" t="n">
        <f aca="false">CHOOSE(C109,GrowLo,GrowMid,GrowHi)</f>
        <v>0.06</v>
      </c>
      <c r="E109" s="20" t="n">
        <v>3</v>
      </c>
      <c r="F109" s="20" t="n">
        <f aca="false">MAX(0,E109-NonRes)</f>
        <v>3</v>
      </c>
      <c r="G109" s="18" t="n">
        <f aca="false">INDEX(C_Price,A109)</f>
        <v>20</v>
      </c>
      <c r="H109" s="18" t="n">
        <f aca="false">INDEX(C_Acq,A109)</f>
        <v>0.66</v>
      </c>
      <c r="I109" s="18" t="n">
        <f aca="false">INDEX(C_Fee,A109)</f>
        <v>0.174</v>
      </c>
      <c r="J109" s="18" t="n">
        <f aca="false">INDEX(C_Loan,A109)</f>
        <v>4</v>
      </c>
      <c r="K109" s="21" t="n">
        <f aca="false">G109-J109+H109+I109</f>
        <v>16.834</v>
      </c>
      <c r="L109" s="21" t="n">
        <f aca="false">G109*(1+D109)^E109</f>
        <v>23.82032</v>
      </c>
      <c r="M109" s="21" t="n">
        <f aca="false">L109*LOOKUP(L109,FeeLo,FeeR)*(1+VAT)</f>
        <v>0.183416464</v>
      </c>
      <c r="N109" s="21" t="n">
        <f aca="false">-CUMIPMT(Rm,LoanYears*12,J109,1,E109*12,0)</f>
        <v>0.467427048612969</v>
      </c>
      <c r="O109" s="21" t="n">
        <f aca="false">J109*(1+Rm)^(E109*12)-(J109*Rm/(1-(1+Rm)^(-LoanYears*12)))*((1+Rm)^(E109*12)-1)/Rm</f>
        <v>3.77994902314271</v>
      </c>
      <c r="P109" s="29" t="n">
        <f aca="false">SUMIFS(Sch_Total,Sch_Idx,A109,Sch_Scen,C109,Sch_Year,"&lt;="&amp;E109)</f>
        <v>0.1693145376</v>
      </c>
      <c r="Q109" s="21" t="n">
        <f aca="false">H109+I109+M109</f>
        <v>1.017416464</v>
      </c>
      <c r="R109" s="21" t="n">
        <f aca="false">L109-G109-Q109</f>
        <v>2.802903536</v>
      </c>
      <c r="S109" s="21" t="n">
        <f aca="false">MAX(0,IF(F109&gt;=2,IF(L109&gt;Exempt,R109*(L109-Exempt)/L109,0),R109))</f>
        <v>1.39088042161699</v>
      </c>
      <c r="T109" s="10" t="n">
        <f aca="false">IF(F109&gt;=2,MIN(MaxDed,MIN(0.4,HoldRate*E109)+MIN(0.4,LiveRate*F109)),IF(E109&gt;=3,MIN(0.3,0.02*E109),0))</f>
        <v>0.24</v>
      </c>
      <c r="U109" s="21" t="n">
        <f aca="false">S109*(1-T109)</f>
        <v>1.05706912042891</v>
      </c>
      <c r="V109" s="21" t="n">
        <f aca="false">MAX(0,U109-InitDed)</f>
        <v>1.03206912042891</v>
      </c>
      <c r="W109" s="29" t="n">
        <f aca="false">SUMPRODUCT((V109&gt;CLo)*(V109-CLo)*CD)*(1+LocalTax)</f>
        <v>0.22750661136513</v>
      </c>
      <c r="X109" s="21" t="n">
        <f aca="false">H109+P109+W109</f>
        <v>1.05682114896513</v>
      </c>
      <c r="Y109" s="29" t="n">
        <f aca="false">(L109-G109)-H109-I109-M109-N109-P109-W109</f>
        <v>1.9386553384219</v>
      </c>
      <c r="Z109" s="10" t="n">
        <f aca="false">Y109/K109</f>
        <v>0.115163082952471</v>
      </c>
      <c r="AA109" s="10" t="n">
        <f aca="false">IF(1+Z109&gt;0,(1+Z109)^(1/E109)-1,-1)</f>
        <v>0.0370016831257172</v>
      </c>
      <c r="AB109" s="21" t="n">
        <f aca="false">L109-O109-M109-W109</f>
        <v>19.6294479014922</v>
      </c>
      <c r="AC109" s="24" t="n">
        <f aca="false">AB109/K109</f>
        <v>1.16605963535061</v>
      </c>
      <c r="AD109" s="21" t="n">
        <f aca="false">K109*((1+DepRate*(1-DepTax))^E109-1)</f>
        <v>1.31454654919973</v>
      </c>
      <c r="AE109" s="21" t="n">
        <f aca="false">Y109-AD109</f>
        <v>0.62410878922217</v>
      </c>
    </row>
    <row r="110" customFormat="false" ht="15" hidden="false" customHeight="false" outlineLevel="0" collapsed="false">
      <c r="A110" s="20" t="n">
        <v>9</v>
      </c>
      <c r="B110" s="18" t="str">
        <f aca="false">INDEX(C_Name,A110)</f>
        <v>흑석한강푸르지오 84.98㎡</v>
      </c>
      <c r="C110" s="20" t="n">
        <v>3</v>
      </c>
      <c r="D110" s="10" t="n">
        <f aca="false">CHOOSE(C110,GrowLo,GrowMid,GrowHi)</f>
        <v>0.06</v>
      </c>
      <c r="E110" s="20" t="n">
        <v>5</v>
      </c>
      <c r="F110" s="20" t="n">
        <f aca="false">MAX(0,E110-NonRes)</f>
        <v>5</v>
      </c>
      <c r="G110" s="18" t="n">
        <f aca="false">INDEX(C_Price,A110)</f>
        <v>20</v>
      </c>
      <c r="H110" s="18" t="n">
        <f aca="false">INDEX(C_Acq,A110)</f>
        <v>0.66</v>
      </c>
      <c r="I110" s="18" t="n">
        <f aca="false">INDEX(C_Fee,A110)</f>
        <v>0.174</v>
      </c>
      <c r="J110" s="18" t="n">
        <f aca="false">INDEX(C_Loan,A110)</f>
        <v>4</v>
      </c>
      <c r="K110" s="21" t="n">
        <f aca="false">G110-J110+H110+I110</f>
        <v>16.834</v>
      </c>
      <c r="L110" s="21" t="n">
        <f aca="false">G110*(1+D110)^E110</f>
        <v>26.764511552</v>
      </c>
      <c r="M110" s="21" t="n">
        <f aca="false">L110*LOOKUP(L110,FeeLo,FeeR)*(1+VAT)</f>
        <v>0.2060867389504</v>
      </c>
      <c r="N110" s="21" t="n">
        <f aca="false">-CUMIPMT(Rm,LoanYears*12,J110,1,E110*12,0)</f>
        <v>0.76369723456074</v>
      </c>
      <c r="O110" s="21" t="n">
        <f aca="false">J110*(1+Rm)^(E110*12)-(J110*Rm/(1-(1+Rm)^(-LoanYears*12)))*((1+Rm)^(E110*12)-1)/Rm</f>
        <v>3.61790052544364</v>
      </c>
      <c r="P110" s="29" t="n">
        <f aca="false">SUMIFS(Sch_Total,Sch_Idx,A110,Sch_Scen,C110,Sch_Year,"&lt;="&amp;E110)</f>
        <v>0.31624452459648</v>
      </c>
      <c r="Q110" s="21" t="n">
        <f aca="false">H110+I110+M110</f>
        <v>1.0400867389504</v>
      </c>
      <c r="R110" s="21" t="n">
        <f aca="false">L110-G110-Q110</f>
        <v>5.72442481304961</v>
      </c>
      <c r="S110" s="21" t="n">
        <f aca="false">MAX(0,IF(F110&gt;=2,IF(L110&gt;Exempt,R110*(L110-Exempt)/L110,0),R110))</f>
        <v>3.15785087714447</v>
      </c>
      <c r="T110" s="10" t="n">
        <f aca="false">IF(F110&gt;=2,MIN(MaxDed,MIN(0.4,HoldRate*E110)+MIN(0.4,LiveRate*F110)),IF(E110&gt;=3,MIN(0.3,0.02*E110),0))</f>
        <v>0.4</v>
      </c>
      <c r="U110" s="21" t="n">
        <f aca="false">S110*(1-T110)</f>
        <v>1.89471052628668</v>
      </c>
      <c r="V110" s="21" t="n">
        <f aca="false">MAX(0,U110-InitDed)</f>
        <v>1.86971052628668</v>
      </c>
      <c r="W110" s="29" t="n">
        <f aca="false">SUMPRODUCT((V110&gt;CLo)*(V110-CLo)*CD)*(1+LocalTax)</f>
        <v>0.562198999987832</v>
      </c>
      <c r="X110" s="21" t="n">
        <f aca="false">H110+P110+W110</f>
        <v>1.53844352458431</v>
      </c>
      <c r="Y110" s="29" t="n">
        <f aca="false">(L110-G110)-H110-I110-M110-N110-P110-W110</f>
        <v>4.08228405390455</v>
      </c>
      <c r="Z110" s="10" t="n">
        <f aca="false">Y110/K110</f>
        <v>0.242502319942055</v>
      </c>
      <c r="AA110" s="10" t="n">
        <f aca="false">IF(1+Z110&gt;0,(1+Z110)^(1/E110)-1,-1)</f>
        <v>0.0443821528038852</v>
      </c>
      <c r="AB110" s="21" t="n">
        <f aca="false">L110-O110-M110-W110</f>
        <v>22.3783252876181</v>
      </c>
      <c r="AC110" s="24" t="n">
        <f aca="false">AB110/K110</f>
        <v>1.32935281499454</v>
      </c>
      <c r="AD110" s="21" t="n">
        <f aca="false">K110*((1+DepRate*(1-DepTax))^E110-1)</f>
        <v>2.24745705666492</v>
      </c>
      <c r="AE110" s="21" t="n">
        <f aca="false">Y110-AD110</f>
        <v>1.83482699723964</v>
      </c>
    </row>
    <row r="111" customFormat="false" ht="15" hidden="false" customHeight="false" outlineLevel="0" collapsed="false">
      <c r="A111" s="20" t="n">
        <v>9</v>
      </c>
      <c r="B111" s="18" t="str">
        <f aca="false">INDEX(C_Name,A111)</f>
        <v>흑석한강푸르지오 84.98㎡</v>
      </c>
      <c r="C111" s="20" t="n">
        <v>3</v>
      </c>
      <c r="D111" s="10" t="n">
        <f aca="false">CHOOSE(C111,GrowLo,GrowMid,GrowHi)</f>
        <v>0.06</v>
      </c>
      <c r="E111" s="20" t="n">
        <v>7</v>
      </c>
      <c r="F111" s="20" t="n">
        <f aca="false">MAX(0,E111-NonRes)</f>
        <v>7</v>
      </c>
      <c r="G111" s="18" t="n">
        <f aca="false">INDEX(C_Price,A111)</f>
        <v>20</v>
      </c>
      <c r="H111" s="18" t="n">
        <f aca="false">INDEX(C_Acq,A111)</f>
        <v>0.66</v>
      </c>
      <c r="I111" s="18" t="n">
        <f aca="false">INDEX(C_Fee,A111)</f>
        <v>0.174</v>
      </c>
      <c r="J111" s="18" t="n">
        <f aca="false">INDEX(C_Loan,A111)</f>
        <v>4</v>
      </c>
      <c r="K111" s="21" t="n">
        <f aca="false">G111-J111+H111+I111</f>
        <v>16.834</v>
      </c>
      <c r="L111" s="21" t="n">
        <f aca="false">G111*(1+D111)^E111</f>
        <v>30.0726051798272</v>
      </c>
      <c r="M111" s="21" t="n">
        <f aca="false">L111*LOOKUP(L111,FeeLo,FeeR)*(1+VAT)</f>
        <v>0.23155905988467</v>
      </c>
      <c r="N111" s="21" t="n">
        <f aca="false">-CUMIPMT(Rm,LoanYears*12,J111,1,E111*12,0)</f>
        <v>1.04649422888253</v>
      </c>
      <c r="O111" s="21" t="n">
        <f aca="false">J111*(1+Rm)^(E111*12)-(J111*Rm/(1-(1+Rm)^(-LoanYears*12)))*((1+Rm)^(E111*12)-1)/Rm</f>
        <v>3.4423788361186</v>
      </c>
      <c r="P111" s="29" t="n">
        <f aca="false">SUMIFS(Sch_Total,Sch_Idx,A111,Sch_Scen,C111,Sch_Year,"&lt;="&amp;E111)</f>
        <v>0.499021876663792</v>
      </c>
      <c r="Q111" s="21" t="n">
        <f aca="false">H111+I111+M111</f>
        <v>1.06555905988467</v>
      </c>
      <c r="R111" s="21" t="n">
        <f aca="false">L111-G111-Q111</f>
        <v>9.00704611994254</v>
      </c>
      <c r="S111" s="21" t="n">
        <f aca="false">MAX(0,IF(F111&gt;=2,IF(L111&gt;Exempt,R111*(L111-Exempt)/L111,0),R111))</f>
        <v>5.41292606306719</v>
      </c>
      <c r="T111" s="10" t="n">
        <f aca="false">IF(F111&gt;=2,MIN(MaxDed,MIN(0.4,HoldRate*E111)+MIN(0.4,LiveRate*F111)),IF(E111&gt;=3,MIN(0.3,0.02*E111),0))</f>
        <v>0.56</v>
      </c>
      <c r="U111" s="21" t="n">
        <f aca="false">S111*(1-T111)</f>
        <v>2.38168746774957</v>
      </c>
      <c r="V111" s="21" t="n">
        <f aca="false">MAX(0,U111-InitDed)</f>
        <v>2.35668746774957</v>
      </c>
      <c r="W111" s="29" t="n">
        <f aca="false">SUMPRODUCT((V111&gt;CLo)*(V111-CLo)*CD)*(1+LocalTax)</f>
        <v>0.765755361519318</v>
      </c>
      <c r="X111" s="21" t="n">
        <f aca="false">H111+P111+W111</f>
        <v>1.92477723818311</v>
      </c>
      <c r="Y111" s="29" t="n">
        <f aca="false">(L111-G111)-H111-I111-M111-N111-P111-W111</f>
        <v>6.6957746528769</v>
      </c>
      <c r="Z111" s="10" t="n">
        <f aca="false">Y111/K111</f>
        <v>0.397753038664423</v>
      </c>
      <c r="AA111" s="10" t="n">
        <f aca="false">IF(1+Z111&gt;0,(1+Z111)^(1/E111)-1,-1)</f>
        <v>0.0490006996819745</v>
      </c>
      <c r="AB111" s="21" t="n">
        <f aca="false">L111-O111-M111-W111</f>
        <v>25.6329119223046</v>
      </c>
      <c r="AC111" s="24" t="n">
        <f aca="false">AB111/K111</f>
        <v>1.52268693847598</v>
      </c>
      <c r="AD111" s="21" t="n">
        <f aca="false">K111*((1+DepRate*(1-DepTax))^E111-1)</f>
        <v>3.22832303056812</v>
      </c>
      <c r="AE111" s="21" t="n">
        <f aca="false">Y111-AD111</f>
        <v>3.46745162230879</v>
      </c>
    </row>
    <row r="112" customFormat="false" ht="15" hidden="false" customHeight="false" outlineLevel="0" collapsed="false">
      <c r="A112" s="20" t="n">
        <v>9</v>
      </c>
      <c r="B112" s="18" t="str">
        <f aca="false">INDEX(C_Name,A112)</f>
        <v>흑석한강푸르지오 84.98㎡</v>
      </c>
      <c r="C112" s="20" t="n">
        <v>3</v>
      </c>
      <c r="D112" s="10" t="n">
        <f aca="false">CHOOSE(C112,GrowLo,GrowMid,GrowHi)</f>
        <v>0.06</v>
      </c>
      <c r="E112" s="20" t="n">
        <v>10</v>
      </c>
      <c r="F112" s="20" t="n">
        <f aca="false">MAX(0,E112-NonRes)</f>
        <v>10</v>
      </c>
      <c r="G112" s="18" t="n">
        <f aca="false">INDEX(C_Price,A112)</f>
        <v>20</v>
      </c>
      <c r="H112" s="18" t="n">
        <f aca="false">INDEX(C_Acq,A112)</f>
        <v>0.66</v>
      </c>
      <c r="I112" s="18" t="n">
        <f aca="false">INDEX(C_Fee,A112)</f>
        <v>0.174</v>
      </c>
      <c r="J112" s="18" t="n">
        <f aca="false">INDEX(C_Loan,A112)</f>
        <v>4</v>
      </c>
      <c r="K112" s="21" t="n">
        <f aca="false">G112-J112+H112+I112</f>
        <v>16.834</v>
      </c>
      <c r="L112" s="21" t="n">
        <f aca="false">G112*(1+D112)^E112</f>
        <v>35.8169539308571</v>
      </c>
      <c r="M112" s="21" t="n">
        <f aca="false">L112*LOOKUP(L112,FeeLo,FeeR)*(1+VAT)</f>
        <v>0.2757905452676</v>
      </c>
      <c r="N112" s="21" t="n">
        <f aca="false">-CUMIPMT(Rm,LoanYears*12,J112,1,E112*12,0)</f>
        <v>1.44295178669745</v>
      </c>
      <c r="O112" s="21" t="n">
        <f aca="false">J112*(1+Rm)^(E112*12)-(J112*Rm/(1-(1+Rm)^(-LoanYears*12)))*((1+Rm)^(E112*12)-1)/Rm</f>
        <v>3.15135836846326</v>
      </c>
      <c r="P112" s="29" t="n">
        <f aca="false">SUMIFS(Sch_Total,Sch_Idx,A112,Sch_Scen,C112,Sch_Year,"&lt;="&amp;E112)</f>
        <v>0.854827558652494</v>
      </c>
      <c r="Q112" s="21" t="n">
        <f aca="false">H112+I112+M112</f>
        <v>1.1097905452676</v>
      </c>
      <c r="R112" s="21" t="n">
        <f aca="false">L112-G112-Q112</f>
        <v>14.7071633855895</v>
      </c>
      <c r="S112" s="21" t="n">
        <f aca="false">MAX(0,IF(F112&gt;=2,IF(L112&gt;Exempt,R112*(L112-Exempt)/L112,0),R112))</f>
        <v>9.77972145493923</v>
      </c>
      <c r="T112" s="10" t="n">
        <f aca="false">IF(F112&gt;=2,MIN(MaxDed,MIN(0.4,HoldRate*E112)+MIN(0.4,LiveRate*F112)),IF(E112&gt;=3,MIN(0.3,0.02*E112),0))</f>
        <v>0.8</v>
      </c>
      <c r="U112" s="21" t="n">
        <f aca="false">S112*(1-T112)</f>
        <v>1.95594429098785</v>
      </c>
      <c r="V112" s="21" t="n">
        <f aca="false">MAX(0,U112-InitDed)</f>
        <v>1.93094429098785</v>
      </c>
      <c r="W112" s="29" t="n">
        <f aca="false">SUMPRODUCT((V112&gt;CLo)*(V112-CLo)*CD)*(1+LocalTax)</f>
        <v>0.587794713632919</v>
      </c>
      <c r="X112" s="21" t="n">
        <f aca="false">H112+P112+W112</f>
        <v>2.10262227228541</v>
      </c>
      <c r="Y112" s="29" t="n">
        <f aca="false">(L112-G112)-H112-I112-M112-N112-P112-W112</f>
        <v>11.8215893266066</v>
      </c>
      <c r="Z112" s="10" t="n">
        <f aca="false">Y112/K112</f>
        <v>0.702244821587658</v>
      </c>
      <c r="AA112" s="10" t="n">
        <f aca="false">IF(1+Z112&gt;0,(1+Z112)^(1/E112)-1,-1)</f>
        <v>0.0546350536025544</v>
      </c>
      <c r="AB112" s="21" t="n">
        <f aca="false">L112-O112-M112-W112</f>
        <v>31.8020103034933</v>
      </c>
      <c r="AC112" s="24" t="n">
        <f aca="false">AB112/K112</f>
        <v>1.88915351689992</v>
      </c>
      <c r="AD112" s="21" t="n">
        <f aca="false">K112*((1+DepRate*(1-DepTax))^E112-1)</f>
        <v>4.79496539178729</v>
      </c>
      <c r="AE112" s="21" t="n">
        <f aca="false">Y112-AD112</f>
        <v>7.02662393481934</v>
      </c>
    </row>
    <row r="113" customFormat="false" ht="15" hidden="false" customHeight="false" outlineLevel="0" collapsed="false">
      <c r="A113" s="20" t="n">
        <v>10</v>
      </c>
      <c r="B113" s="18" t="str">
        <f aca="false">INDEX(C_Name,A113)</f>
        <v>흑석리버파크자이 85㎡</v>
      </c>
      <c r="C113" s="20" t="n">
        <v>1</v>
      </c>
      <c r="D113" s="10" t="n">
        <f aca="false">CHOOSE(C113,GrowLo,GrowMid,GrowHi)</f>
        <v>0.02</v>
      </c>
      <c r="E113" s="20" t="n">
        <v>3</v>
      </c>
      <c r="F113" s="20" t="n">
        <f aca="false">MAX(0,E113-NonRes)</f>
        <v>3</v>
      </c>
      <c r="G113" s="18" t="n">
        <f aca="false">INDEX(C_Price,A113)</f>
        <v>23.07</v>
      </c>
      <c r="H113" s="18" t="n">
        <f aca="false">INDEX(C_Acq,A113)</f>
        <v>0.76131</v>
      </c>
      <c r="I113" s="18" t="n">
        <f aca="false">INDEX(C_Fee,A113)</f>
        <v>0.197639</v>
      </c>
      <c r="J113" s="18" t="n">
        <f aca="false">INDEX(C_Loan,A113)</f>
        <v>4</v>
      </c>
      <c r="K113" s="21" t="n">
        <f aca="false">G113-J113+H113+I113</f>
        <v>20.028949</v>
      </c>
      <c r="L113" s="21" t="n">
        <f aca="false">G113*(1+D113)^E113</f>
        <v>24.48206856</v>
      </c>
      <c r="M113" s="21" t="n">
        <f aca="false">L113*LOOKUP(L113,FeeLo,FeeR)*(1+VAT)</f>
        <v>0.188511927912</v>
      </c>
      <c r="N113" s="21" t="n">
        <f aca="false">-CUMIPMT(Rm,LoanYears*12,J113,1,E113*12,0)</f>
        <v>0.467427048612969</v>
      </c>
      <c r="O113" s="21" t="n">
        <f aca="false">J113*(1+Rm)^(E113*12)-(J113*Rm/(1-(1+Rm)^(-LoanYears*12)))*((1+Rm)^(E113*12)-1)/Rm</f>
        <v>3.77994902314271</v>
      </c>
      <c r="P113" s="29" t="n">
        <f aca="false">SUMIFS(Sch_Total,Sch_Idx,A113,Sch_Scen,C113,Sch_Year,"&lt;="&amp;E113)</f>
        <v>0.2043237941424</v>
      </c>
      <c r="Q113" s="21" t="n">
        <f aca="false">H113+I113+M113</f>
        <v>1.147460927912</v>
      </c>
      <c r="R113" s="21" t="n">
        <f aca="false">L113-G113-Q113</f>
        <v>0.264607632088005</v>
      </c>
      <c r="S113" s="21" t="n">
        <f aca="false">MAX(0,IF(F113&gt;=2,IF(L113&gt;Exempt,R113*(L113-Exempt)/L113,0),R113))</f>
        <v>0.134908968052565</v>
      </c>
      <c r="T113" s="10" t="n">
        <f aca="false">IF(F113&gt;=2,MIN(MaxDed,MIN(0.4,HoldRate*E113)+MIN(0.4,LiveRate*F113)),IF(E113&gt;=3,MIN(0.3,0.02*E113),0))</f>
        <v>0.24</v>
      </c>
      <c r="U113" s="21" t="n">
        <f aca="false">S113*(1-T113)</f>
        <v>0.102530815719949</v>
      </c>
      <c r="V113" s="21" t="n">
        <f aca="false">MAX(0,U113-InitDed)</f>
        <v>0.0775308157199491</v>
      </c>
      <c r="W113" s="29" t="n">
        <f aca="false">SUMPRODUCT((V113&gt;CLo)*(V113-CLo)*CD)*(1+LocalTax)</f>
        <v>0.00511703383751664</v>
      </c>
      <c r="X113" s="21" t="n">
        <f aca="false">H113+P113+W113</f>
        <v>0.970750827979917</v>
      </c>
      <c r="Y113" s="29" t="n">
        <f aca="false">(L113-G113)-H113-I113-M113-N113-P113-W113</f>
        <v>-0.41226024450488</v>
      </c>
      <c r="Z113" s="10" t="n">
        <f aca="false">Y113/K113</f>
        <v>-0.0205832190448376</v>
      </c>
      <c r="AA113" s="10" t="n">
        <f aca="false">IF(1+Z113&gt;0,(1+Z113)^(1/E113)-1,-1)</f>
        <v>-0.00690869313842479</v>
      </c>
      <c r="AB113" s="21" t="n">
        <f aca="false">L113-O113-M113-W113</f>
        <v>20.5084905751078</v>
      </c>
      <c r="AC113" s="24" t="n">
        <f aca="false">AB113/K113</f>
        <v>1.02394242329479</v>
      </c>
      <c r="AD113" s="21" t="n">
        <f aca="false">K113*((1+DepRate*(1-DepTax))^E113-1)</f>
        <v>1.56403622383554</v>
      </c>
      <c r="AE113" s="21" t="n">
        <f aca="false">Y113-AD113</f>
        <v>-1.97629646834042</v>
      </c>
    </row>
    <row r="114" customFormat="false" ht="15" hidden="false" customHeight="false" outlineLevel="0" collapsed="false">
      <c r="A114" s="20" t="n">
        <v>10</v>
      </c>
      <c r="B114" s="18" t="str">
        <f aca="false">INDEX(C_Name,A114)</f>
        <v>흑석리버파크자이 85㎡</v>
      </c>
      <c r="C114" s="20" t="n">
        <v>1</v>
      </c>
      <c r="D114" s="10" t="n">
        <f aca="false">CHOOSE(C114,GrowLo,GrowMid,GrowHi)</f>
        <v>0.02</v>
      </c>
      <c r="E114" s="20" t="n">
        <v>5</v>
      </c>
      <c r="F114" s="20" t="n">
        <f aca="false">MAX(0,E114-NonRes)</f>
        <v>5</v>
      </c>
      <c r="G114" s="18" t="n">
        <f aca="false">INDEX(C_Price,A114)</f>
        <v>23.07</v>
      </c>
      <c r="H114" s="18" t="n">
        <f aca="false">INDEX(C_Acq,A114)</f>
        <v>0.76131</v>
      </c>
      <c r="I114" s="18" t="n">
        <f aca="false">INDEX(C_Fee,A114)</f>
        <v>0.197639</v>
      </c>
      <c r="J114" s="18" t="n">
        <f aca="false">INDEX(C_Loan,A114)</f>
        <v>4</v>
      </c>
      <c r="K114" s="21" t="n">
        <f aca="false">G114-J114+H114+I114</f>
        <v>20.028949</v>
      </c>
      <c r="L114" s="21" t="n">
        <f aca="false">G114*(1+D114)^E114</f>
        <v>25.471144129824</v>
      </c>
      <c r="M114" s="21" t="n">
        <f aca="false">L114*LOOKUP(L114,FeeLo,FeeR)*(1+VAT)</f>
        <v>0.196127809799645</v>
      </c>
      <c r="N114" s="21" t="n">
        <f aca="false">-CUMIPMT(Rm,LoanYears*12,J114,1,E114*12,0)</f>
        <v>0.76369723456074</v>
      </c>
      <c r="O114" s="21" t="n">
        <f aca="false">J114*(1+Rm)^(E114*12)-(J114*Rm/(1-(1+Rm)^(-LoanYears*12)))*((1+Rm)^(E114*12)-1)/Rm</f>
        <v>3.61790052544364</v>
      </c>
      <c r="P114" s="29" t="n">
        <f aca="false">SUMIFS(Sch_Total,Sch_Idx,A114,Sch_Scen,C114,Sch_Year,"&lt;="&amp;E114)</f>
        <v>0.352916829533393</v>
      </c>
      <c r="Q114" s="21" t="n">
        <f aca="false">H114+I114+M114</f>
        <v>1.15507680979964</v>
      </c>
      <c r="R114" s="21" t="n">
        <f aca="false">L114-G114-Q114</f>
        <v>1.24606732002436</v>
      </c>
      <c r="S114" s="21" t="n">
        <f aca="false">MAX(0,IF(F114&gt;=2,IF(L114&gt;Exempt,R114*(L114-Exempt)/L114,0),R114))</f>
        <v>0.659018392654654</v>
      </c>
      <c r="T114" s="10" t="n">
        <f aca="false">IF(F114&gt;=2,MIN(MaxDed,MIN(0.4,HoldRate*E114)+MIN(0.4,LiveRate*F114)),IF(E114&gt;=3,MIN(0.3,0.02*E114),0))</f>
        <v>0.4</v>
      </c>
      <c r="U114" s="21" t="n">
        <f aca="false">S114*(1-T114)</f>
        <v>0.395411035592792</v>
      </c>
      <c r="V114" s="21" t="n">
        <f aca="false">MAX(0,U114-InitDed)</f>
        <v>0.370411035592792</v>
      </c>
      <c r="W114" s="29" t="n">
        <f aca="false">SUMPRODUCT((V114&gt;CLo)*(V114-CLo)*CD)*(1+LocalTax)</f>
        <v>0.0472578208728107</v>
      </c>
      <c r="X114" s="21" t="n">
        <f aca="false">H114+P114+W114</f>
        <v>1.1614846504062</v>
      </c>
      <c r="Y114" s="29" t="n">
        <f aca="false">(L114-G114)-H114-I114-M114-N114-P114-W114</f>
        <v>0.0821954350574118</v>
      </c>
      <c r="Z114" s="10" t="n">
        <f aca="false">Y114/K114</f>
        <v>0.00410383166173181</v>
      </c>
      <c r="AA114" s="10" t="n">
        <f aca="false">IF(1+Z114&gt;0,(1+Z114)^(1/E114)-1,-1)</f>
        <v>0.000819422325593067</v>
      </c>
      <c r="AB114" s="21" t="n">
        <f aca="false">L114-O114-M114-W114</f>
        <v>21.6098579737079</v>
      </c>
      <c r="AC114" s="24" t="n">
        <f aca="false">AB114/K114</f>
        <v>1.07893119972036</v>
      </c>
      <c r="AD114" s="21" t="n">
        <f aca="false">K114*((1+DepRate*(1-DepTax))^E114-1)</f>
        <v>2.67400515430865</v>
      </c>
      <c r="AE114" s="21" t="n">
        <f aca="false">Y114-AD114</f>
        <v>-2.59180971925123</v>
      </c>
    </row>
    <row r="115" customFormat="false" ht="15" hidden="false" customHeight="false" outlineLevel="0" collapsed="false">
      <c r="A115" s="20" t="n">
        <v>10</v>
      </c>
      <c r="B115" s="18" t="str">
        <f aca="false">INDEX(C_Name,A115)</f>
        <v>흑석리버파크자이 85㎡</v>
      </c>
      <c r="C115" s="20" t="n">
        <v>1</v>
      </c>
      <c r="D115" s="10" t="n">
        <f aca="false">CHOOSE(C115,GrowLo,GrowMid,GrowHi)</f>
        <v>0.02</v>
      </c>
      <c r="E115" s="20" t="n">
        <v>7</v>
      </c>
      <c r="F115" s="20" t="n">
        <f aca="false">MAX(0,E115-NonRes)</f>
        <v>7</v>
      </c>
      <c r="G115" s="18" t="n">
        <f aca="false">INDEX(C_Price,A115)</f>
        <v>23.07</v>
      </c>
      <c r="H115" s="18" t="n">
        <f aca="false">INDEX(C_Acq,A115)</f>
        <v>0.76131</v>
      </c>
      <c r="I115" s="18" t="n">
        <f aca="false">INDEX(C_Fee,A115)</f>
        <v>0.197639</v>
      </c>
      <c r="J115" s="18" t="n">
        <f aca="false">INDEX(C_Loan,A115)</f>
        <v>4</v>
      </c>
      <c r="K115" s="21" t="n">
        <f aca="false">G115-J115+H115+I115</f>
        <v>20.028949</v>
      </c>
      <c r="L115" s="21" t="n">
        <f aca="false">G115*(1+D115)^E115</f>
        <v>26.5001783526689</v>
      </c>
      <c r="M115" s="21" t="n">
        <f aca="false">L115*LOOKUP(L115,FeeLo,FeeR)*(1+VAT)</f>
        <v>0.20405137331555</v>
      </c>
      <c r="N115" s="21" t="n">
        <f aca="false">-CUMIPMT(Rm,LoanYears*12,J115,1,E115*12,0)</f>
        <v>1.04649422888253</v>
      </c>
      <c r="O115" s="21" t="n">
        <f aca="false">J115*(1+Rm)^(E115*12)-(J115*Rm/(1-(1+Rm)^(-LoanYears*12)))*((1+Rm)^(E115*12)-1)/Rm</f>
        <v>3.4423788361186</v>
      </c>
      <c r="P115" s="29" t="n">
        <f aca="false">SUMIFS(Sch_Total,Sch_Idx,A115,Sch_Scen,C115,Sch_Year,"&lt;="&amp;E115)</f>
        <v>0.513431552361576</v>
      </c>
      <c r="Q115" s="21" t="n">
        <f aca="false">H115+I115+M115</f>
        <v>1.16300037331555</v>
      </c>
      <c r="R115" s="21" t="n">
        <f aca="false">L115-G115-Q115</f>
        <v>2.26717797935334</v>
      </c>
      <c r="S115" s="21" t="n">
        <f aca="false">MAX(0,IF(F115&gt;=2,IF(L115&gt;Exempt,R115*(L115-Exempt)/L115,0),R115))</f>
        <v>1.24053825677577</v>
      </c>
      <c r="T115" s="10" t="n">
        <f aca="false">IF(F115&gt;=2,MIN(MaxDed,MIN(0.4,HoldRate*E115)+MIN(0.4,LiveRate*F115)),IF(E115&gt;=3,MIN(0.3,0.02*E115),0))</f>
        <v>0.56</v>
      </c>
      <c r="U115" s="21" t="n">
        <f aca="false">S115*(1-T115)</f>
        <v>0.545836832981339</v>
      </c>
      <c r="V115" s="21" t="n">
        <f aca="false">MAX(0,U115-InitDed)</f>
        <v>0.520836832981339</v>
      </c>
      <c r="W115" s="29" t="n">
        <f aca="false">SUMPRODUCT((V115&gt;CLo)*(V115-CLo)*CD)*(1+LocalTax)</f>
        <v>0.0741409239070736</v>
      </c>
      <c r="X115" s="21" t="n">
        <f aca="false">H115+P115+W115</f>
        <v>1.34888247626865</v>
      </c>
      <c r="Y115" s="29" t="n">
        <f aca="false">(L115-G115)-H115-I115-M115-N115-P115-W115</f>
        <v>0.633111274202159</v>
      </c>
      <c r="Z115" s="10" t="n">
        <f aca="false">Y115/K115</f>
        <v>0.0316098100904925</v>
      </c>
      <c r="AA115" s="10" t="n">
        <f aca="false">IF(1+Z115&gt;0,(1+Z115)^(1/E115)-1,-1)</f>
        <v>0.00445568353644088</v>
      </c>
      <c r="AB115" s="21" t="n">
        <f aca="false">L115-O115-M115-W115</f>
        <v>22.7796072193277</v>
      </c>
      <c r="AC115" s="24" t="n">
        <f aca="false">AB115/K115</f>
        <v>1.13733412668471</v>
      </c>
      <c r="AD115" s="21" t="n">
        <f aca="false">K115*((1+DepRate*(1-DepTax))^E115-1)</f>
        <v>3.8410310879633</v>
      </c>
      <c r="AE115" s="21" t="n">
        <f aca="false">Y115-AD115</f>
        <v>-3.20791981376114</v>
      </c>
    </row>
    <row r="116" customFormat="false" ht="15" hidden="false" customHeight="false" outlineLevel="0" collapsed="false">
      <c r="A116" s="20" t="n">
        <v>10</v>
      </c>
      <c r="B116" s="18" t="str">
        <f aca="false">INDEX(C_Name,A116)</f>
        <v>흑석리버파크자이 85㎡</v>
      </c>
      <c r="C116" s="20" t="n">
        <v>1</v>
      </c>
      <c r="D116" s="10" t="n">
        <f aca="false">CHOOSE(C116,GrowLo,GrowMid,GrowHi)</f>
        <v>0.02</v>
      </c>
      <c r="E116" s="20" t="n">
        <v>10</v>
      </c>
      <c r="F116" s="20" t="n">
        <f aca="false">MAX(0,E116-NonRes)</f>
        <v>10</v>
      </c>
      <c r="G116" s="18" t="n">
        <f aca="false">INDEX(C_Price,A116)</f>
        <v>23.07</v>
      </c>
      <c r="H116" s="18" t="n">
        <f aca="false">INDEX(C_Acq,A116)</f>
        <v>0.76131</v>
      </c>
      <c r="I116" s="18" t="n">
        <f aca="false">INDEX(C_Fee,A116)</f>
        <v>0.197639</v>
      </c>
      <c r="J116" s="18" t="n">
        <f aca="false">INDEX(C_Loan,A116)</f>
        <v>4</v>
      </c>
      <c r="K116" s="21" t="n">
        <f aca="false">G116-J116+H116+I116</f>
        <v>20.028949</v>
      </c>
      <c r="L116" s="21" t="n">
        <f aca="false">G116*(1+D116)^E116</f>
        <v>28.1222012692791</v>
      </c>
      <c r="M116" s="21" t="n">
        <f aca="false">L116*LOOKUP(L116,FeeLo,FeeR)*(1+VAT)</f>
        <v>0.216540949773449</v>
      </c>
      <c r="N116" s="21" t="n">
        <f aca="false">-CUMIPMT(Rm,LoanYears*12,J116,1,E116*12,0)</f>
        <v>1.44295178669745</v>
      </c>
      <c r="O116" s="21" t="n">
        <f aca="false">J116*(1+Rm)^(E116*12)-(J116*Rm/(1-(1+Rm)^(-LoanYears*12)))*((1+Rm)^(E116*12)-1)/Rm</f>
        <v>3.15135836846326</v>
      </c>
      <c r="P116" s="29" t="n">
        <f aca="false">SUMIFS(Sch_Total,Sch_Idx,A116,Sch_Scen,C116,Sch_Year,"&lt;="&amp;E116)</f>
        <v>0.777919318219498</v>
      </c>
      <c r="Q116" s="21" t="n">
        <f aca="false">H116+I116+M116</f>
        <v>1.17548994977345</v>
      </c>
      <c r="R116" s="21" t="n">
        <f aca="false">L116-G116-Q116</f>
        <v>3.8767113195056</v>
      </c>
      <c r="S116" s="21" t="n">
        <f aca="false">MAX(0,IF(F116&gt;=2,IF(L116&gt;Exempt,R116*(L116-Exempt)/L116,0),R116))</f>
        <v>2.22248321023996</v>
      </c>
      <c r="T116" s="10" t="n">
        <f aca="false">IF(F116&gt;=2,MIN(MaxDed,MIN(0.4,HoldRate*E116)+MIN(0.4,LiveRate*F116)),IF(E116&gt;=3,MIN(0.3,0.02*E116),0))</f>
        <v>0.8</v>
      </c>
      <c r="U116" s="21" t="n">
        <f aca="false">S116*(1-T116)</f>
        <v>0.444496642047993</v>
      </c>
      <c r="V116" s="21" t="n">
        <f aca="false">MAX(0,U116-InitDed)</f>
        <v>0.419496642047993</v>
      </c>
      <c r="W116" s="29" t="n">
        <f aca="false">SUMPRODUCT((V116&gt;CLo)*(V116-CLo)*CD)*(1+LocalTax)</f>
        <v>0.0553569459379188</v>
      </c>
      <c r="X116" s="21" t="n">
        <f aca="false">H116+P116+W116</f>
        <v>1.59458626415742</v>
      </c>
      <c r="Y116" s="29" t="n">
        <f aca="false">(L116-G116)-H116-I116-M116-N116-P116-W116</f>
        <v>1.60048326865074</v>
      </c>
      <c r="Z116" s="10" t="n">
        <f aca="false">Y116/K116</f>
        <v>0.0799084998743937</v>
      </c>
      <c r="AA116" s="10" t="n">
        <f aca="false">IF(1+Z116&gt;0,(1+Z116)^(1/E116)-1,-1)</f>
        <v>0.00771725722856109</v>
      </c>
      <c r="AB116" s="21" t="n">
        <f aca="false">L116-O116-M116-W116</f>
        <v>24.6989450051044</v>
      </c>
      <c r="AC116" s="24" t="n">
        <f aca="false">AB116/K116</f>
        <v>1.23316230947038</v>
      </c>
      <c r="AD116" s="21" t="n">
        <f aca="false">K116*((1+DepRate*(1-DepTax))^E116-1)</f>
        <v>5.70500874948751</v>
      </c>
      <c r="AE116" s="21" t="n">
        <f aca="false">Y116-AD116</f>
        <v>-4.10452548083677</v>
      </c>
    </row>
    <row r="117" customFormat="false" ht="15" hidden="false" customHeight="false" outlineLevel="0" collapsed="false">
      <c r="A117" s="20" t="n">
        <v>10</v>
      </c>
      <c r="B117" s="18" t="str">
        <f aca="false">INDEX(C_Name,A117)</f>
        <v>흑석리버파크자이 85㎡</v>
      </c>
      <c r="C117" s="20" t="n">
        <v>2</v>
      </c>
      <c r="D117" s="10" t="n">
        <f aca="false">CHOOSE(C117,GrowLo,GrowMid,GrowHi)</f>
        <v>0.04</v>
      </c>
      <c r="E117" s="20" t="n">
        <v>3</v>
      </c>
      <c r="F117" s="20" t="n">
        <f aca="false">MAX(0,E117-NonRes)</f>
        <v>3</v>
      </c>
      <c r="G117" s="18" t="n">
        <f aca="false">INDEX(C_Price,A117)</f>
        <v>23.07</v>
      </c>
      <c r="H117" s="18" t="n">
        <f aca="false">INDEX(C_Acq,A117)</f>
        <v>0.76131</v>
      </c>
      <c r="I117" s="18" t="n">
        <f aca="false">INDEX(C_Fee,A117)</f>
        <v>0.197639</v>
      </c>
      <c r="J117" s="18" t="n">
        <f aca="false">INDEX(C_Loan,A117)</f>
        <v>4</v>
      </c>
      <c r="K117" s="21" t="n">
        <f aca="false">G117-J117+H117+I117</f>
        <v>20.028949</v>
      </c>
      <c r="L117" s="21" t="n">
        <f aca="false">G117*(1+D117)^E117</f>
        <v>25.95061248</v>
      </c>
      <c r="M117" s="21" t="n">
        <f aca="false">L117*LOOKUP(L117,FeeLo,FeeR)*(1+VAT)</f>
        <v>0.199819716096</v>
      </c>
      <c r="N117" s="21" t="n">
        <f aca="false">-CUMIPMT(Rm,LoanYears*12,J117,1,E117*12,0)</f>
        <v>0.467427048612969</v>
      </c>
      <c r="O117" s="21" t="n">
        <f aca="false">J117*(1+Rm)^(E117*12)-(J117*Rm/(1-(1+Rm)^(-LoanYears*12)))*((1+Rm)^(E117*12)-1)/Rm</f>
        <v>3.77994902314271</v>
      </c>
      <c r="P117" s="29" t="n">
        <f aca="false">SUMIFS(Sch_Total,Sch_Idx,A117,Sch_Scen,C117,Sch_Year,"&lt;="&amp;E117)</f>
        <v>0.2117677537728</v>
      </c>
      <c r="Q117" s="21" t="n">
        <f aca="false">H117+I117+M117</f>
        <v>1.158768716096</v>
      </c>
      <c r="R117" s="21" t="n">
        <f aca="false">L117-G117-Q117</f>
        <v>1.721843763904</v>
      </c>
      <c r="S117" s="21" t="n">
        <f aca="false">MAX(0,IF(F117&gt;=2,IF(L117&gt;Exempt,R117*(L117-Exempt)/L117,0),R117))</f>
        <v>0.925634226161022</v>
      </c>
      <c r="T117" s="10" t="n">
        <f aca="false">IF(F117&gt;=2,MIN(MaxDed,MIN(0.4,HoldRate*E117)+MIN(0.4,LiveRate*F117)),IF(E117&gt;=3,MIN(0.3,0.02*E117),0))</f>
        <v>0.24</v>
      </c>
      <c r="U117" s="21" t="n">
        <f aca="false">S117*(1-T117)</f>
        <v>0.703482011882377</v>
      </c>
      <c r="V117" s="21" t="n">
        <f aca="false">MAX(0,U117-InitDed)</f>
        <v>0.678482011882377</v>
      </c>
      <c r="W117" s="29" t="n">
        <f aca="false">SUMPRODUCT((V117&gt;CLo)*(V117-CLo)*CD)*(1+LocalTax)</f>
        <v>0.115759251136948</v>
      </c>
      <c r="X117" s="21" t="n">
        <f aca="false">H117+P117+W117</f>
        <v>1.08883700490975</v>
      </c>
      <c r="Y117" s="29" t="n">
        <f aca="false">(L117-G117)-H117-I117-M117-N117-P117-W117</f>
        <v>0.926889710381287</v>
      </c>
      <c r="Z117" s="10" t="n">
        <f aca="false">Y117/K117</f>
        <v>0.0462775011500248</v>
      </c>
      <c r="AA117" s="10" t="n">
        <f aca="false">IF(1+Z117&gt;0,(1+Z117)^(1/E117)-1,-1)</f>
        <v>0.0151938126015907</v>
      </c>
      <c r="AB117" s="21" t="n">
        <f aca="false">L117-O117-M117-W117</f>
        <v>21.8550844896243</v>
      </c>
      <c r="AC117" s="24" t="n">
        <f aca="false">AB117/K117</f>
        <v>1.09117480351187</v>
      </c>
      <c r="AD117" s="21" t="n">
        <f aca="false">K117*((1+DepRate*(1-DepTax))^E117-1)</f>
        <v>1.56403622383554</v>
      </c>
      <c r="AE117" s="21" t="n">
        <f aca="false">Y117-AD117</f>
        <v>-0.637146513454251</v>
      </c>
    </row>
    <row r="118" customFormat="false" ht="15" hidden="false" customHeight="false" outlineLevel="0" collapsed="false">
      <c r="A118" s="20" t="n">
        <v>10</v>
      </c>
      <c r="B118" s="18" t="str">
        <f aca="false">INDEX(C_Name,A118)</f>
        <v>흑석리버파크자이 85㎡</v>
      </c>
      <c r="C118" s="20" t="n">
        <v>2</v>
      </c>
      <c r="D118" s="10" t="n">
        <f aca="false">CHOOSE(C118,GrowLo,GrowMid,GrowHi)</f>
        <v>0.04</v>
      </c>
      <c r="E118" s="20" t="n">
        <v>5</v>
      </c>
      <c r="F118" s="20" t="n">
        <f aca="false">MAX(0,E118-NonRes)</f>
        <v>5</v>
      </c>
      <c r="G118" s="18" t="n">
        <f aca="false">INDEX(C_Price,A118)</f>
        <v>23.07</v>
      </c>
      <c r="H118" s="18" t="n">
        <f aca="false">INDEX(C_Acq,A118)</f>
        <v>0.76131</v>
      </c>
      <c r="I118" s="18" t="n">
        <f aca="false">INDEX(C_Fee,A118)</f>
        <v>0.197639</v>
      </c>
      <c r="J118" s="18" t="n">
        <f aca="false">INDEX(C_Loan,A118)</f>
        <v>4</v>
      </c>
      <c r="K118" s="21" t="n">
        <f aca="false">G118-J118+H118+I118</f>
        <v>20.028949</v>
      </c>
      <c r="L118" s="21" t="n">
        <f aca="false">G118*(1+D118)^E118</f>
        <v>28.068182458368</v>
      </c>
      <c r="M118" s="21" t="n">
        <f aca="false">L118*LOOKUP(L118,FeeLo,FeeR)*(1+VAT)</f>
        <v>0.216125004929434</v>
      </c>
      <c r="N118" s="21" t="n">
        <f aca="false">-CUMIPMT(Rm,LoanYears*12,J118,1,E118*12,0)</f>
        <v>0.76369723456074</v>
      </c>
      <c r="O118" s="21" t="n">
        <f aca="false">J118*(1+Rm)^(E118*12)-(J118*Rm/(1-(1+Rm)^(-LoanYears*12)))*((1+Rm)^(E118*12)-1)/Rm</f>
        <v>3.61790052544364</v>
      </c>
      <c r="P118" s="29" t="n">
        <f aca="false">SUMIFS(Sch_Total,Sch_Idx,A118,Sch_Scen,C118,Sch_Year,"&lt;="&amp;E118)</f>
        <v>0.381273753203989</v>
      </c>
      <c r="Q118" s="21" t="n">
        <f aca="false">H118+I118+M118</f>
        <v>1.17507400492943</v>
      </c>
      <c r="R118" s="21" t="n">
        <f aca="false">L118-G118-Q118</f>
        <v>3.82310845343857</v>
      </c>
      <c r="S118" s="21" t="n">
        <f aca="false">MAX(0,IF(F118&gt;=2,IF(L118&gt;Exempt,R118*(L118-Exempt)/L118,0),R118))</f>
        <v>2.18861354058448</v>
      </c>
      <c r="T118" s="10" t="n">
        <f aca="false">IF(F118&gt;=2,MIN(MaxDed,MIN(0.4,HoldRate*E118)+MIN(0.4,LiveRate*F118)),IF(E118&gt;=3,MIN(0.3,0.02*E118),0))</f>
        <v>0.4</v>
      </c>
      <c r="U118" s="21" t="n">
        <f aca="false">S118*(1-T118)</f>
        <v>1.31316812435069</v>
      </c>
      <c r="V118" s="21" t="n">
        <f aca="false">MAX(0,U118-InitDed)</f>
        <v>1.28816812435069</v>
      </c>
      <c r="W118" s="29" t="n">
        <f aca="false">SUMPRODUCT((V118&gt;CLo)*(V118-CLo)*CD)*(1+LocalTax)</f>
        <v>0.326104727875015</v>
      </c>
      <c r="X118" s="21" t="n">
        <f aca="false">H118+P118+W118</f>
        <v>1.468688481079</v>
      </c>
      <c r="Y118" s="29" t="n">
        <f aca="false">(L118-G118)-H118-I118-M118-N118-P118-W118</f>
        <v>2.35203273779883</v>
      </c>
      <c r="Z118" s="10" t="n">
        <f aca="false">Y118/K118</f>
        <v>0.117431660433047</v>
      </c>
      <c r="AA118" s="10" t="n">
        <f aca="false">IF(1+Z118&gt;0,(1+Z118)^(1/E118)-1,-1)</f>
        <v>0.0224549796999036</v>
      </c>
      <c r="AB118" s="21" t="n">
        <f aca="false">L118-O118-M118-W118</f>
        <v>23.9080522001199</v>
      </c>
      <c r="AC118" s="24" t="n">
        <f aca="false">AB118/K118</f>
        <v>1.19367482538</v>
      </c>
      <c r="AD118" s="21" t="n">
        <f aca="false">K118*((1+DepRate*(1-DepTax))^E118-1)</f>
        <v>2.67400515430865</v>
      </c>
      <c r="AE118" s="21" t="n">
        <f aca="false">Y118-AD118</f>
        <v>-0.32197241650982</v>
      </c>
    </row>
    <row r="119" customFormat="false" ht="15" hidden="false" customHeight="false" outlineLevel="0" collapsed="false">
      <c r="A119" s="20" t="n">
        <v>10</v>
      </c>
      <c r="B119" s="18" t="str">
        <f aca="false">INDEX(C_Name,A119)</f>
        <v>흑석리버파크자이 85㎡</v>
      </c>
      <c r="C119" s="20" t="n">
        <v>2</v>
      </c>
      <c r="D119" s="10" t="n">
        <f aca="false">CHOOSE(C119,GrowLo,GrowMid,GrowHi)</f>
        <v>0.04</v>
      </c>
      <c r="E119" s="20" t="n">
        <v>7</v>
      </c>
      <c r="F119" s="20" t="n">
        <f aca="false">MAX(0,E119-NonRes)</f>
        <v>7</v>
      </c>
      <c r="G119" s="18" t="n">
        <f aca="false">INDEX(C_Price,A119)</f>
        <v>23.07</v>
      </c>
      <c r="H119" s="18" t="n">
        <f aca="false">INDEX(C_Acq,A119)</f>
        <v>0.76131</v>
      </c>
      <c r="I119" s="18" t="n">
        <f aca="false">INDEX(C_Fee,A119)</f>
        <v>0.197639</v>
      </c>
      <c r="J119" s="18" t="n">
        <f aca="false">INDEX(C_Loan,A119)</f>
        <v>4</v>
      </c>
      <c r="K119" s="21" t="n">
        <f aca="false">G119-J119+H119+I119</f>
        <v>20.028949</v>
      </c>
      <c r="L119" s="21" t="n">
        <f aca="false">G119*(1+D119)^E119</f>
        <v>30.3585461469708</v>
      </c>
      <c r="M119" s="21" t="n">
        <f aca="false">L119*LOOKUP(L119,FeeLo,FeeR)*(1+VAT)</f>
        <v>0.233760805331675</v>
      </c>
      <c r="N119" s="21" t="n">
        <f aca="false">-CUMIPMT(Rm,LoanYears*12,J119,1,E119*12,0)</f>
        <v>1.04649422888253</v>
      </c>
      <c r="O119" s="21" t="n">
        <f aca="false">J119*(1+Rm)^(E119*12)-(J119*Rm/(1-(1+Rm)^(-LoanYears*12)))*((1+Rm)^(E119*12)-1)/Rm</f>
        <v>3.4423788361186</v>
      </c>
      <c r="P119" s="29" t="n">
        <f aca="false">SUMIFS(Sch_Total,Sch_Idx,A119,Sch_Scen,C119,Sch_Year,"&lt;="&amp;E119)</f>
        <v>0.576890610188762</v>
      </c>
      <c r="Q119" s="21" t="n">
        <f aca="false">H119+I119+M119</f>
        <v>1.19270980533168</v>
      </c>
      <c r="R119" s="21" t="n">
        <f aca="false">L119-G119-Q119</f>
        <v>6.09583634163916</v>
      </c>
      <c r="S119" s="21" t="n">
        <f aca="false">MAX(0,IF(F119&gt;=2,IF(L119&gt;Exempt,R119*(L119-Exempt)/L119,0),R119))</f>
        <v>3.68629947694418</v>
      </c>
      <c r="T119" s="10" t="n">
        <f aca="false">IF(F119&gt;=2,MIN(MaxDed,MIN(0.4,HoldRate*E119)+MIN(0.4,LiveRate*F119)),IF(E119&gt;=3,MIN(0.3,0.02*E119),0))</f>
        <v>0.56</v>
      </c>
      <c r="U119" s="21" t="n">
        <f aca="false">S119*(1-T119)</f>
        <v>1.62197176985544</v>
      </c>
      <c r="V119" s="21" t="n">
        <f aca="false">MAX(0,U119-InitDed)</f>
        <v>1.59697176985544</v>
      </c>
      <c r="W119" s="29" t="n">
        <f aca="false">SUMPRODUCT((V119&gt;CLo)*(V119-CLo)*CD)*(1+LocalTax)</f>
        <v>0.448194199799574</v>
      </c>
      <c r="X119" s="21" t="n">
        <f aca="false">H119+P119+W119</f>
        <v>1.78639480998834</v>
      </c>
      <c r="Y119" s="29" t="n">
        <f aca="false">(L119-G119)-H119-I119-M119-N119-P119-W119</f>
        <v>4.02425730276829</v>
      </c>
      <c r="Z119" s="10" t="n">
        <f aca="false">Y119/K119</f>
        <v>0.200922040530848</v>
      </c>
      <c r="AA119" s="10" t="n">
        <f aca="false">IF(1+Z119&gt;0,(1+Z119)^(1/E119)-1,-1)</f>
        <v>0.0265007224395386</v>
      </c>
      <c r="AB119" s="21" t="n">
        <f aca="false">L119-O119-M119-W119</f>
        <v>26.234212305721</v>
      </c>
      <c r="AC119" s="24" t="n">
        <f aca="false">AB119/K119</f>
        <v>1.30981472396385</v>
      </c>
      <c r="AD119" s="21" t="n">
        <f aca="false">K119*((1+DepRate*(1-DepTax))^E119-1)</f>
        <v>3.8410310879633</v>
      </c>
      <c r="AE119" s="21" t="n">
        <f aca="false">Y119-AD119</f>
        <v>0.183226214804989</v>
      </c>
    </row>
    <row r="120" customFormat="false" ht="15" hidden="false" customHeight="false" outlineLevel="0" collapsed="false">
      <c r="A120" s="20" t="n">
        <v>10</v>
      </c>
      <c r="B120" s="18" t="str">
        <f aca="false">INDEX(C_Name,A120)</f>
        <v>흑석리버파크자이 85㎡</v>
      </c>
      <c r="C120" s="20" t="n">
        <v>2</v>
      </c>
      <c r="D120" s="10" t="n">
        <f aca="false">CHOOSE(C120,GrowLo,GrowMid,GrowHi)</f>
        <v>0.04</v>
      </c>
      <c r="E120" s="20" t="n">
        <v>10</v>
      </c>
      <c r="F120" s="20" t="n">
        <f aca="false">MAX(0,E120-NonRes)</f>
        <v>10</v>
      </c>
      <c r="G120" s="18" t="n">
        <f aca="false">INDEX(C_Price,A120)</f>
        <v>23.07</v>
      </c>
      <c r="H120" s="18" t="n">
        <f aca="false">INDEX(C_Acq,A120)</f>
        <v>0.76131</v>
      </c>
      <c r="I120" s="18" t="n">
        <f aca="false">INDEX(C_Fee,A120)</f>
        <v>0.197639</v>
      </c>
      <c r="J120" s="18" t="n">
        <f aca="false">INDEX(C_Loan,A120)</f>
        <v>4</v>
      </c>
      <c r="K120" s="21" t="n">
        <f aca="false">G120-J120+H120+I120</f>
        <v>20.028949</v>
      </c>
      <c r="L120" s="21" t="n">
        <f aca="false">G120*(1+D120)^E120</f>
        <v>34.1492356530662</v>
      </c>
      <c r="M120" s="21" t="n">
        <f aca="false">L120*LOOKUP(L120,FeeLo,FeeR)*(1+VAT)</f>
        <v>0.26294911452861</v>
      </c>
      <c r="N120" s="21" t="n">
        <f aca="false">-CUMIPMT(Rm,LoanYears*12,J120,1,E120*12,0)</f>
        <v>1.44295178669745</v>
      </c>
      <c r="O120" s="21" t="n">
        <f aca="false">J120*(1+Rm)^(E120*12)-(J120*Rm/(1-(1+Rm)^(-LoanYears*12)))*((1+Rm)^(E120*12)-1)/Rm</f>
        <v>3.15135836846326</v>
      </c>
      <c r="P120" s="29" t="n">
        <f aca="false">SUMIFS(Sch_Total,Sch_Idx,A120,Sch_Scen,C120,Sch_Year,"&lt;="&amp;E120)</f>
        <v>0.925400183009958</v>
      </c>
      <c r="Q120" s="21" t="n">
        <f aca="false">H120+I120+M120</f>
        <v>1.22189811452861</v>
      </c>
      <c r="R120" s="21" t="n">
        <f aca="false">L120-G120-Q120</f>
        <v>9.8573375385376</v>
      </c>
      <c r="S120" s="21" t="n">
        <f aca="false">MAX(0,IF(F120&gt;=2,IF(L120&gt;Exempt,R120*(L120-Exempt)/L120,0),R120))</f>
        <v>6.39348108025021</v>
      </c>
      <c r="T120" s="10" t="n">
        <f aca="false">IF(F120&gt;=2,MIN(MaxDed,MIN(0.4,HoldRate*E120)+MIN(0.4,LiveRate*F120)),IF(E120&gt;=3,MIN(0.3,0.02*E120),0))</f>
        <v>0.8</v>
      </c>
      <c r="U120" s="21" t="n">
        <f aca="false">S120*(1-T120)</f>
        <v>1.27869621605004</v>
      </c>
      <c r="V120" s="21" t="n">
        <f aca="false">MAX(0,U120-InitDed)</f>
        <v>1.25369621605004</v>
      </c>
      <c r="W120" s="29" t="n">
        <f aca="false">SUMPRODUCT((V120&gt;CLo)*(V120-CLo)*CD)*(1+LocalTax)</f>
        <v>0.312833043179266</v>
      </c>
      <c r="X120" s="21" t="n">
        <f aca="false">H120+P120+W120</f>
        <v>1.99954322618922</v>
      </c>
      <c r="Y120" s="29" t="n">
        <f aca="false">(L120-G120)-H120-I120-M120-N120-P120-W120</f>
        <v>7.17615252565092</v>
      </c>
      <c r="Z120" s="10" t="n">
        <f aca="false">Y120/K120</f>
        <v>0.358289020839332</v>
      </c>
      <c r="AA120" s="10" t="n">
        <f aca="false">IF(1+Z120&gt;0,(1+Z120)^(1/E120)-1,-1)</f>
        <v>0.0310962776717914</v>
      </c>
      <c r="AB120" s="21" t="n">
        <f aca="false">L120-O120-M120-W120</f>
        <v>30.4220951268951</v>
      </c>
      <c r="AC120" s="24" t="n">
        <f aca="false">AB120/K120</f>
        <v>1.51890621554307</v>
      </c>
      <c r="AD120" s="21" t="n">
        <f aca="false">K120*((1+DepRate*(1-DepTax))^E120-1)</f>
        <v>5.70500874948751</v>
      </c>
      <c r="AE120" s="21" t="n">
        <f aca="false">Y120-AD120</f>
        <v>1.47114377616341</v>
      </c>
    </row>
    <row r="121" customFormat="false" ht="15" hidden="false" customHeight="false" outlineLevel="0" collapsed="false">
      <c r="A121" s="20" t="n">
        <v>10</v>
      </c>
      <c r="B121" s="18" t="str">
        <f aca="false">INDEX(C_Name,A121)</f>
        <v>흑석리버파크자이 85㎡</v>
      </c>
      <c r="C121" s="20" t="n">
        <v>3</v>
      </c>
      <c r="D121" s="10" t="n">
        <f aca="false">CHOOSE(C121,GrowLo,GrowMid,GrowHi)</f>
        <v>0.06</v>
      </c>
      <c r="E121" s="20" t="n">
        <v>3</v>
      </c>
      <c r="F121" s="20" t="n">
        <f aca="false">MAX(0,E121-NonRes)</f>
        <v>3</v>
      </c>
      <c r="G121" s="18" t="n">
        <f aca="false">INDEX(C_Price,A121)</f>
        <v>23.07</v>
      </c>
      <c r="H121" s="18" t="n">
        <f aca="false">INDEX(C_Acq,A121)</f>
        <v>0.76131</v>
      </c>
      <c r="I121" s="18" t="n">
        <f aca="false">INDEX(C_Fee,A121)</f>
        <v>0.197639</v>
      </c>
      <c r="J121" s="18" t="n">
        <f aca="false">INDEX(C_Loan,A121)</f>
        <v>4</v>
      </c>
      <c r="K121" s="21" t="n">
        <f aca="false">G121-J121+H121+I121</f>
        <v>20.028949</v>
      </c>
      <c r="L121" s="21" t="n">
        <f aca="false">G121*(1+D121)^E121</f>
        <v>27.47673912</v>
      </c>
      <c r="M121" s="21" t="n">
        <f aca="false">L121*LOOKUP(L121,FeeLo,FeeR)*(1+VAT)</f>
        <v>0.211570891224</v>
      </c>
      <c r="N121" s="21" t="n">
        <f aca="false">-CUMIPMT(Rm,LoanYears*12,J121,1,E121*12,0)</f>
        <v>0.467427048612969</v>
      </c>
      <c r="O121" s="21" t="n">
        <f aca="false">J121*(1+Rm)^(E121*12)-(J121*Rm/(1-(1+Rm)^(-LoanYears*12)))*((1+Rm)^(E121*12)-1)/Rm</f>
        <v>3.77994902314271</v>
      </c>
      <c r="P121" s="29" t="n">
        <f aca="false">SUMIFS(Sch_Total,Sch_Idx,A121,Sch_Scen,C121,Sch_Year,"&lt;="&amp;E121)</f>
        <v>0.2199548538288</v>
      </c>
      <c r="Q121" s="21" t="n">
        <f aca="false">H121+I121+M121</f>
        <v>1.170519891224</v>
      </c>
      <c r="R121" s="21" t="n">
        <f aca="false">L121-G121-Q121</f>
        <v>3.236219228776</v>
      </c>
      <c r="S121" s="21" t="n">
        <f aca="false">MAX(0,IF(F121&gt;=2,IF(L121&gt;Exempt,R121*(L121-Exempt)/L121,0),R121))</f>
        <v>1.82285534393842</v>
      </c>
      <c r="T121" s="10" t="n">
        <f aca="false">IF(F121&gt;=2,MIN(MaxDed,MIN(0.4,HoldRate*E121)+MIN(0.4,LiveRate*F121)),IF(E121&gt;=3,MIN(0.3,0.02*E121),0))</f>
        <v>0.24</v>
      </c>
      <c r="U121" s="21" t="n">
        <f aca="false">S121*(1-T121)</f>
        <v>1.3853700613932</v>
      </c>
      <c r="V121" s="21" t="n">
        <f aca="false">MAX(0,U121-InitDed)</f>
        <v>1.3603700613932</v>
      </c>
      <c r="W121" s="29" t="n">
        <f aca="false">SUMPRODUCT((V121&gt;CLo)*(V121-CLo)*CD)*(1+LocalTax)</f>
        <v>0.353902473636381</v>
      </c>
      <c r="X121" s="21" t="n">
        <f aca="false">H121+P121+W121</f>
        <v>1.33516732746518</v>
      </c>
      <c r="Y121" s="29" t="n">
        <f aca="false">(L121-G121)-H121-I121-M121-N121-P121-W121</f>
        <v>2.19493485269785</v>
      </c>
      <c r="Z121" s="10" t="n">
        <f aca="false">Y121/K121</f>
        <v>0.109588119311595</v>
      </c>
      <c r="AA121" s="10" t="n">
        <f aca="false">IF(1+Z121&gt;0,(1+Z121)^(1/E121)-1,-1)</f>
        <v>0.0352707233067626</v>
      </c>
      <c r="AB121" s="21" t="n">
        <f aca="false">L121-O121-M121-W121</f>
        <v>23.1313167319969</v>
      </c>
      <c r="AC121" s="24" t="n">
        <f aca="false">AB121/K121</f>
        <v>1.15489418501175</v>
      </c>
      <c r="AD121" s="21" t="n">
        <f aca="false">K121*((1+DepRate*(1-DepTax))^E121-1)</f>
        <v>1.56403622383554</v>
      </c>
      <c r="AE121" s="21" t="n">
        <f aca="false">Y121-AD121</f>
        <v>0.630898628862314</v>
      </c>
    </row>
    <row r="122" customFormat="false" ht="15" hidden="false" customHeight="false" outlineLevel="0" collapsed="false">
      <c r="A122" s="20" t="n">
        <v>10</v>
      </c>
      <c r="B122" s="18" t="str">
        <f aca="false">INDEX(C_Name,A122)</f>
        <v>흑석리버파크자이 85㎡</v>
      </c>
      <c r="C122" s="20" t="n">
        <v>3</v>
      </c>
      <c r="D122" s="10" t="n">
        <f aca="false">CHOOSE(C122,GrowLo,GrowMid,GrowHi)</f>
        <v>0.06</v>
      </c>
      <c r="E122" s="20" t="n">
        <v>5</v>
      </c>
      <c r="F122" s="20" t="n">
        <f aca="false">MAX(0,E122-NonRes)</f>
        <v>5</v>
      </c>
      <c r="G122" s="18" t="n">
        <f aca="false">INDEX(C_Price,A122)</f>
        <v>23.07</v>
      </c>
      <c r="H122" s="18" t="n">
        <f aca="false">INDEX(C_Acq,A122)</f>
        <v>0.76131</v>
      </c>
      <c r="I122" s="18" t="n">
        <f aca="false">INDEX(C_Fee,A122)</f>
        <v>0.197639</v>
      </c>
      <c r="J122" s="18" t="n">
        <f aca="false">INDEX(C_Loan,A122)</f>
        <v>4</v>
      </c>
      <c r="K122" s="21" t="n">
        <f aca="false">G122-J122+H122+I122</f>
        <v>20.028949</v>
      </c>
      <c r="L122" s="21" t="n">
        <f aca="false">G122*(1+D122)^E122</f>
        <v>30.872864075232</v>
      </c>
      <c r="M122" s="21" t="n">
        <f aca="false">L122*LOOKUP(L122,FeeLo,FeeR)*(1+VAT)</f>
        <v>0.237721053379286</v>
      </c>
      <c r="N122" s="21" t="n">
        <f aca="false">-CUMIPMT(Rm,LoanYears*12,J122,1,E122*12,0)</f>
        <v>0.76369723456074</v>
      </c>
      <c r="O122" s="21" t="n">
        <f aca="false">J122*(1+Rm)^(E122*12)-(J122*Rm/(1-(1+Rm)^(-LoanYears*12)))*((1+Rm)^(E122*12)-1)/Rm</f>
        <v>3.61790052544364</v>
      </c>
      <c r="P122" s="29" t="n">
        <f aca="false">SUMIFS(Sch_Total,Sch_Idx,A122,Sch_Scen,C122,Sch_Year,"&lt;="&amp;E122)</f>
        <v>0.411600481818872</v>
      </c>
      <c r="Q122" s="21" t="n">
        <f aca="false">H122+I122+M122</f>
        <v>1.19667005337929</v>
      </c>
      <c r="R122" s="21" t="n">
        <f aca="false">L122-G122-Q122</f>
        <v>6.60619402185272</v>
      </c>
      <c r="S122" s="21" t="n">
        <f aca="false">MAX(0,IF(F122&gt;=2,IF(L122&gt;Exempt,R122*(L122-Exempt)/L122,0),R122))</f>
        <v>4.03842680501614</v>
      </c>
      <c r="T122" s="10" t="n">
        <f aca="false">IF(F122&gt;=2,MIN(MaxDed,MIN(0.4,HoldRate*E122)+MIN(0.4,LiveRate*F122)),IF(E122&gt;=3,MIN(0.3,0.02*E122),0))</f>
        <v>0.4</v>
      </c>
      <c r="U122" s="21" t="n">
        <f aca="false">S122*(1-T122)</f>
        <v>2.42305608300968</v>
      </c>
      <c r="V122" s="21" t="n">
        <f aca="false">MAX(0,U122-InitDed)</f>
        <v>2.39805608300968</v>
      </c>
      <c r="W122" s="29" t="n">
        <f aca="false">SUMPRODUCT((V122&gt;CLo)*(V122-CLo)*CD)*(1+LocalTax)</f>
        <v>0.783047442698047</v>
      </c>
      <c r="X122" s="21" t="n">
        <f aca="false">H122+P122+W122</f>
        <v>1.95595792451692</v>
      </c>
      <c r="Y122" s="29" t="n">
        <f aca="false">(L122-G122)-H122-I122-M122-N122-P122-W122</f>
        <v>4.64784886277506</v>
      </c>
      <c r="Z122" s="10" t="n">
        <f aca="false">Y122/K122</f>
        <v>0.232056552881285</v>
      </c>
      <c r="AA122" s="10" t="n">
        <f aca="false">IF(1+Z122&gt;0,(1+Z122)^(1/E122)-1,-1)</f>
        <v>0.0426201850588377</v>
      </c>
      <c r="AB122" s="21" t="n">
        <f aca="false">L122-O122-M122-W122</f>
        <v>26.234195053711</v>
      </c>
      <c r="AC122" s="24" t="n">
        <f aca="false">AB122/K122</f>
        <v>1.30981386261012</v>
      </c>
      <c r="AD122" s="21" t="n">
        <f aca="false">K122*((1+DepRate*(1-DepTax))^E122-1)</f>
        <v>2.67400515430865</v>
      </c>
      <c r="AE122" s="21" t="n">
        <f aca="false">Y122-AD122</f>
        <v>1.97384370846641</v>
      </c>
    </row>
    <row r="123" customFormat="false" ht="15" hidden="false" customHeight="false" outlineLevel="0" collapsed="false">
      <c r="A123" s="20" t="n">
        <v>10</v>
      </c>
      <c r="B123" s="18" t="str">
        <f aca="false">INDEX(C_Name,A123)</f>
        <v>흑석리버파크자이 85㎡</v>
      </c>
      <c r="C123" s="20" t="n">
        <v>3</v>
      </c>
      <c r="D123" s="10" t="n">
        <f aca="false">CHOOSE(C123,GrowLo,GrowMid,GrowHi)</f>
        <v>0.06</v>
      </c>
      <c r="E123" s="20" t="n">
        <v>7</v>
      </c>
      <c r="F123" s="20" t="n">
        <f aca="false">MAX(0,E123-NonRes)</f>
        <v>7</v>
      </c>
      <c r="G123" s="18" t="n">
        <f aca="false">INDEX(C_Price,A123)</f>
        <v>23.07</v>
      </c>
      <c r="H123" s="18" t="n">
        <f aca="false">INDEX(C_Acq,A123)</f>
        <v>0.76131</v>
      </c>
      <c r="I123" s="18" t="n">
        <f aca="false">INDEX(C_Fee,A123)</f>
        <v>0.197639</v>
      </c>
      <c r="J123" s="18" t="n">
        <f aca="false">INDEX(C_Loan,A123)</f>
        <v>4</v>
      </c>
      <c r="K123" s="21" t="n">
        <f aca="false">G123-J123+H123+I123</f>
        <v>20.028949</v>
      </c>
      <c r="L123" s="21" t="n">
        <f aca="false">G123*(1+D123)^E123</f>
        <v>34.6887500749307</v>
      </c>
      <c r="M123" s="21" t="n">
        <f aca="false">L123*LOOKUP(L123,FeeLo,FeeR)*(1+VAT)</f>
        <v>0.267103375576966</v>
      </c>
      <c r="N123" s="21" t="n">
        <f aca="false">-CUMIPMT(Rm,LoanYears*12,J123,1,E123*12,0)</f>
        <v>1.04649422888253</v>
      </c>
      <c r="O123" s="21" t="n">
        <f aca="false">J123*(1+Rm)^(E123*12)-(J123*Rm/(1-(1+Rm)^(-LoanYears*12)))*((1+Rm)^(E123*12)-1)/Rm</f>
        <v>3.4423788361186</v>
      </c>
      <c r="P123" s="29" t="n">
        <f aca="false">SUMIFS(Sch_Total,Sch_Idx,A123,Sch_Scen,C123,Sch_Year,"&lt;="&amp;E123)</f>
        <v>0.646786529043306</v>
      </c>
      <c r="Q123" s="21" t="n">
        <f aca="false">H123+I123+M123</f>
        <v>1.22605237557697</v>
      </c>
      <c r="R123" s="21" t="n">
        <f aca="false">L123-G123-Q123</f>
        <v>10.3926976993537</v>
      </c>
      <c r="S123" s="21" t="n">
        <f aca="false">MAX(0,IF(F123&gt;=2,IF(L123&gt;Exempt,R123*(L123-Exempt)/L123,0),R123))</f>
        <v>6.79751562669745</v>
      </c>
      <c r="T123" s="10" t="n">
        <f aca="false">IF(F123&gt;=2,MIN(MaxDed,MIN(0.4,HoldRate*E123)+MIN(0.4,LiveRate*F123)),IF(E123&gt;=3,MIN(0.3,0.02*E123),0))</f>
        <v>0.56</v>
      </c>
      <c r="U123" s="21" t="n">
        <f aca="false">S123*(1-T123)</f>
        <v>2.99090687574688</v>
      </c>
      <c r="V123" s="21" t="n">
        <f aca="false">MAX(0,U123-InitDed)</f>
        <v>2.96590687574688</v>
      </c>
      <c r="W123" s="29" t="n">
        <f aca="false">SUMPRODUCT((V123&gt;CLo)*(V123-CLo)*CD)*(1+LocalTax)</f>
        <v>1.0204090740622</v>
      </c>
      <c r="X123" s="21" t="n">
        <f aca="false">H123+P123+W123</f>
        <v>2.4285056031055</v>
      </c>
      <c r="Y123" s="29" t="n">
        <f aca="false">(L123-G123)-H123-I123-M123-N123-P123-W123</f>
        <v>7.67900786736569</v>
      </c>
      <c r="Z123" s="10" t="n">
        <f aca="false">Y123/K123</f>
        <v>0.383395447627616</v>
      </c>
      <c r="AA123" s="10" t="n">
        <f aca="false">IF(1+Z123&gt;0,(1+Z123)^(1/E123)-1,-1)</f>
        <v>0.0474545599517913</v>
      </c>
      <c r="AB123" s="21" t="n">
        <f aca="false">L123-O123-M123-W123</f>
        <v>29.9588587891729</v>
      </c>
      <c r="AC123" s="24" t="n">
        <f aca="false">AB123/K123</f>
        <v>1.49577787577236</v>
      </c>
      <c r="AD123" s="21" t="n">
        <f aca="false">K123*((1+DepRate*(1-DepTax))^E123-1)</f>
        <v>3.8410310879633</v>
      </c>
      <c r="AE123" s="21" t="n">
        <f aca="false">Y123-AD123</f>
        <v>3.83797677940239</v>
      </c>
    </row>
    <row r="124" customFormat="false" ht="15" hidden="false" customHeight="false" outlineLevel="0" collapsed="false">
      <c r="A124" s="20" t="n">
        <v>10</v>
      </c>
      <c r="B124" s="18" t="str">
        <f aca="false">INDEX(C_Name,A124)</f>
        <v>흑석리버파크자이 85㎡</v>
      </c>
      <c r="C124" s="20" t="n">
        <v>3</v>
      </c>
      <c r="D124" s="10" t="n">
        <f aca="false">CHOOSE(C124,GrowLo,GrowMid,GrowHi)</f>
        <v>0.06</v>
      </c>
      <c r="E124" s="20" t="n">
        <v>10</v>
      </c>
      <c r="F124" s="20" t="n">
        <f aca="false">MAX(0,E124-NonRes)</f>
        <v>10</v>
      </c>
      <c r="G124" s="18" t="n">
        <f aca="false">INDEX(C_Price,A124)</f>
        <v>23.07</v>
      </c>
      <c r="H124" s="18" t="n">
        <f aca="false">INDEX(C_Acq,A124)</f>
        <v>0.76131</v>
      </c>
      <c r="I124" s="18" t="n">
        <f aca="false">INDEX(C_Fee,A124)</f>
        <v>0.197639</v>
      </c>
      <c r="J124" s="18" t="n">
        <f aca="false">INDEX(C_Loan,A124)</f>
        <v>4</v>
      </c>
      <c r="K124" s="21" t="n">
        <f aca="false">G124-J124+H124+I124</f>
        <v>20.028949</v>
      </c>
      <c r="L124" s="21" t="n">
        <f aca="false">G124*(1+D124)^E124</f>
        <v>41.3148563592437</v>
      </c>
      <c r="M124" s="21" t="n">
        <f aca="false">L124*LOOKUP(L124,FeeLo,FeeR)*(1+VAT)</f>
        <v>0.318124393966176</v>
      </c>
      <c r="N124" s="21" t="n">
        <f aca="false">-CUMIPMT(Rm,LoanYears*12,J124,1,E124*12,0)</f>
        <v>1.44295178669745</v>
      </c>
      <c r="O124" s="21" t="n">
        <f aca="false">J124*(1+Rm)^(E124*12)-(J124*Rm/(1-(1+Rm)^(-LoanYears*12)))*((1+Rm)^(E124*12)-1)/Rm</f>
        <v>3.15135836846326</v>
      </c>
      <c r="P124" s="29" t="n">
        <f aca="false">SUMIFS(Sch_Total,Sch_Idx,A124,Sch_Scen,C124,Sch_Year,"&lt;="&amp;E124)</f>
        <v>1.11061295622733</v>
      </c>
      <c r="Q124" s="21" t="n">
        <f aca="false">H124+I124+M124</f>
        <v>1.27707339396618</v>
      </c>
      <c r="R124" s="21" t="n">
        <f aca="false">L124-G124-Q124</f>
        <v>16.9677829652775</v>
      </c>
      <c r="S124" s="21" t="n">
        <f aca="false">MAX(0,IF(F124&gt;=2,IF(L124&gt;Exempt,R124*(L124-Exempt)/L124,0),R124))</f>
        <v>12.0394493456987</v>
      </c>
      <c r="T124" s="10" t="n">
        <f aca="false">IF(F124&gt;=2,MIN(MaxDed,MIN(0.4,HoldRate*E124)+MIN(0.4,LiveRate*F124)),IF(E124&gt;=3,MIN(0.3,0.02*E124),0))</f>
        <v>0.8</v>
      </c>
      <c r="U124" s="21" t="n">
        <f aca="false">S124*(1-T124)</f>
        <v>2.40788986913973</v>
      </c>
      <c r="V124" s="21" t="n">
        <f aca="false">MAX(0,U124-InitDed)</f>
        <v>2.38288986913973</v>
      </c>
      <c r="W124" s="29" t="n">
        <f aca="false">SUMPRODUCT((V124&gt;CLo)*(V124-CLo)*CD)*(1+LocalTax)</f>
        <v>0.776707965300409</v>
      </c>
      <c r="X124" s="21" t="n">
        <f aca="false">H124+P124+W124</f>
        <v>2.64863092152774</v>
      </c>
      <c r="Y124" s="29" t="n">
        <f aca="false">(L124-G124)-H124-I124-M124-N124-P124-W124</f>
        <v>13.6375102570523</v>
      </c>
      <c r="Z124" s="10" t="n">
        <f aca="false">Y124/K124</f>
        <v>0.680889958681921</v>
      </c>
      <c r="AA124" s="10" t="n">
        <f aca="false">IF(1+Z124&gt;0,(1+Z124)^(1/E124)-1,-1)</f>
        <v>0.0533044725173111</v>
      </c>
      <c r="AB124" s="21" t="n">
        <f aca="false">L124-O124-M124-W124</f>
        <v>37.0686656315138</v>
      </c>
      <c r="AC124" s="24" t="n">
        <f aca="false">AB124/K124</f>
        <v>1.85075440710912</v>
      </c>
      <c r="AD124" s="21" t="n">
        <f aca="false">K124*((1+DepRate*(1-DepTax))^E124-1)</f>
        <v>5.70500874948751</v>
      </c>
      <c r="AE124" s="21" t="n">
        <f aca="false">Y124-AD124</f>
        <v>7.93250150756478</v>
      </c>
    </row>
    <row r="125" customFormat="false" ht="15" hidden="false" customHeight="false" outlineLevel="0" collapsed="false">
      <c r="A125" s="20" t="n">
        <v>11</v>
      </c>
      <c r="B125" s="18" t="str">
        <f aca="false">INDEX(C_Name,A125)</f>
        <v>흑석 아크로리버하임 84.75㎡</v>
      </c>
      <c r="C125" s="20" t="n">
        <v>1</v>
      </c>
      <c r="D125" s="10" t="n">
        <f aca="false">CHOOSE(C125,GrowLo,GrowMid,GrowHi)</f>
        <v>0.02</v>
      </c>
      <c r="E125" s="20" t="n">
        <v>3</v>
      </c>
      <c r="F125" s="20" t="n">
        <f aca="false">MAX(0,E125-NonRes)</f>
        <v>3</v>
      </c>
      <c r="G125" s="18" t="n">
        <f aca="false">INDEX(C_Price,A125)</f>
        <v>28.75</v>
      </c>
      <c r="H125" s="18" t="n">
        <f aca="false">INDEX(C_Acq,A125)</f>
        <v>0.94875</v>
      </c>
      <c r="I125" s="18" t="n">
        <f aca="false">INDEX(C_Fee,A125)</f>
        <v>0.241375</v>
      </c>
      <c r="J125" s="18" t="n">
        <f aca="false">INDEX(C_Loan,A125)</f>
        <v>2</v>
      </c>
      <c r="K125" s="21" t="n">
        <f aca="false">G125-J125+H125+I125</f>
        <v>27.940125</v>
      </c>
      <c r="L125" s="21" t="n">
        <f aca="false">G125*(1+D125)^E125</f>
        <v>30.50973</v>
      </c>
      <c r="M125" s="21" t="n">
        <f aca="false">L125*LOOKUP(L125,FeeLo,FeeR)*(1+VAT)</f>
        <v>0.234924921</v>
      </c>
      <c r="N125" s="21" t="n">
        <f aca="false">-CUMIPMT(Rm,LoanYears*12,J125,1,E125*12,0)</f>
        <v>0.233713524306484</v>
      </c>
      <c r="O125" s="21" t="n">
        <f aca="false">J125*(1+Rm)^(E125*12)-(J125*Rm/(1-(1+Rm)^(-LoanYears*12)))*((1+Rm)^(E125*12)-1)/Rm</f>
        <v>1.88997451157136</v>
      </c>
      <c r="P125" s="29" t="n">
        <f aca="false">SUMIFS(Sch_Total,Sch_Idx,A125,Sch_Scen,C125,Sch_Year,"&lt;="&amp;E125)</f>
        <v>0.3061056006</v>
      </c>
      <c r="Q125" s="21" t="n">
        <f aca="false">H125+I125+M125</f>
        <v>1.425049921</v>
      </c>
      <c r="R125" s="21" t="n">
        <f aca="false">L125-G125-Q125</f>
        <v>0.334680079000004</v>
      </c>
      <c r="S125" s="21" t="n">
        <f aca="false">MAX(0,IF(F125&gt;=2,IF(L125&gt;Exempt,R125*(L125-Exempt)/L125,0),R125))</f>
        <v>0.203044664723967</v>
      </c>
      <c r="T125" s="10" t="n">
        <f aca="false">IF(F125&gt;=2,MIN(MaxDed,MIN(0.4,HoldRate*E125)+MIN(0.4,LiveRate*F125)),IF(E125&gt;=3,MIN(0.3,0.02*E125),0))</f>
        <v>0.24</v>
      </c>
      <c r="U125" s="21" t="n">
        <f aca="false">S125*(1-T125)</f>
        <v>0.154313945190215</v>
      </c>
      <c r="V125" s="21" t="n">
        <f aca="false">MAX(0,U125-InitDed)</f>
        <v>0.129313945190215</v>
      </c>
      <c r="W125" s="29" t="n">
        <f aca="false">SUMPRODUCT((V125&gt;CLo)*(V125-CLo)*CD)*(1+LocalTax)</f>
        <v>0.00853472038255418</v>
      </c>
      <c r="X125" s="21" t="n">
        <f aca="false">H125+P125+W125</f>
        <v>1.26339032098255</v>
      </c>
      <c r="Y125" s="29" t="n">
        <f aca="false">(L125-G125)-H125-I125-M125-N125-P125-W125</f>
        <v>-0.213673766289034</v>
      </c>
      <c r="Z125" s="10" t="n">
        <f aca="false">Y125/K125</f>
        <v>-0.00764755942534379</v>
      </c>
      <c r="AA125" s="10" t="n">
        <f aca="false">IF(1+Z125&gt;0,(1+Z125)^(1/E125)-1,-1)</f>
        <v>-0.00255571257753928</v>
      </c>
      <c r="AB125" s="21" t="n">
        <f aca="false">L125-O125-M125-W125</f>
        <v>28.3762958470461</v>
      </c>
      <c r="AC125" s="24" t="n">
        <f aca="false">AB125/K125</f>
        <v>1.01561091251546</v>
      </c>
      <c r="AD125" s="21" t="n">
        <f aca="false">K125*((1+DepRate*(1-DepTax))^E125-1)</f>
        <v>2.18181031857902</v>
      </c>
      <c r="AE125" s="21" t="n">
        <f aca="false">Y125-AD125</f>
        <v>-2.39548408486805</v>
      </c>
    </row>
    <row r="126" customFormat="false" ht="15" hidden="false" customHeight="false" outlineLevel="0" collapsed="false">
      <c r="A126" s="20" t="n">
        <v>11</v>
      </c>
      <c r="B126" s="18" t="str">
        <f aca="false">INDEX(C_Name,A126)</f>
        <v>흑석 아크로리버하임 84.75㎡</v>
      </c>
      <c r="C126" s="20" t="n">
        <v>1</v>
      </c>
      <c r="D126" s="10" t="n">
        <f aca="false">CHOOSE(C126,GrowLo,GrowMid,GrowHi)</f>
        <v>0.02</v>
      </c>
      <c r="E126" s="20" t="n">
        <v>5</v>
      </c>
      <c r="F126" s="20" t="n">
        <f aca="false">MAX(0,E126-NonRes)</f>
        <v>5</v>
      </c>
      <c r="G126" s="18" t="n">
        <f aca="false">INDEX(C_Price,A126)</f>
        <v>28.75</v>
      </c>
      <c r="H126" s="18" t="n">
        <f aca="false">INDEX(C_Acq,A126)</f>
        <v>0.94875</v>
      </c>
      <c r="I126" s="18" t="n">
        <f aca="false">INDEX(C_Fee,A126)</f>
        <v>0.241375</v>
      </c>
      <c r="J126" s="18" t="n">
        <f aca="false">INDEX(C_Loan,A126)</f>
        <v>2</v>
      </c>
      <c r="K126" s="21" t="n">
        <f aca="false">G126-J126+H126+I126</f>
        <v>27.940125</v>
      </c>
      <c r="L126" s="21" t="n">
        <f aca="false">G126*(1+D126)^E126</f>
        <v>31.742323092</v>
      </c>
      <c r="M126" s="21" t="n">
        <f aca="false">L126*LOOKUP(L126,FeeLo,FeeR)*(1+VAT)</f>
        <v>0.2444158878084</v>
      </c>
      <c r="N126" s="21" t="n">
        <f aca="false">-CUMIPMT(Rm,LoanYears*12,J126,1,E126*12,0)</f>
        <v>0.38184861728037</v>
      </c>
      <c r="O126" s="21" t="n">
        <f aca="false">J126*(1+Rm)^(E126*12)-(J126*Rm/(1-(1+Rm)^(-LoanYears*12)))*((1+Rm)^(E126*12)-1)/Rm</f>
        <v>1.80895026272182</v>
      </c>
      <c r="P126" s="29" t="n">
        <f aca="false">SUMIFS(Sch_Total,Sch_Idx,A126,Sch_Scen,C126,Sch_Year,"&lt;="&amp;E126)</f>
        <v>0.52813988486424</v>
      </c>
      <c r="Q126" s="21" t="n">
        <f aca="false">H126+I126+M126</f>
        <v>1.4345408878084</v>
      </c>
      <c r="R126" s="21" t="n">
        <f aca="false">L126-G126-Q126</f>
        <v>1.5577822041916</v>
      </c>
      <c r="S126" s="21" t="n">
        <f aca="false">MAX(0,IF(F126&gt;=2,IF(L126&gt;Exempt,R126*(L126-Exempt)/L126,0),R126))</f>
        <v>0.96887173295358</v>
      </c>
      <c r="T126" s="10" t="n">
        <f aca="false">IF(F126&gt;=2,MIN(MaxDed,MIN(0.4,HoldRate*E126)+MIN(0.4,LiveRate*F126)),IF(E126&gt;=3,MIN(0.3,0.02*E126),0))</f>
        <v>0.4</v>
      </c>
      <c r="U126" s="21" t="n">
        <f aca="false">S126*(1-T126)</f>
        <v>0.581323039772148</v>
      </c>
      <c r="V126" s="21" t="n">
        <f aca="false">MAX(0,U126-InitDed)</f>
        <v>0.556323039772148</v>
      </c>
      <c r="W126" s="29" t="n">
        <f aca="false">SUMPRODUCT((V126&gt;CLo)*(V126-CLo)*CD)*(1+LocalTax)</f>
        <v>0.083509282499847</v>
      </c>
      <c r="X126" s="21" t="n">
        <f aca="false">H126+P126+W126</f>
        <v>1.56039916736409</v>
      </c>
      <c r="Y126" s="29" t="n">
        <f aca="false">(L126-G126)-H126-I126-M126-N126-P126-W126</f>
        <v>0.564284419547142</v>
      </c>
      <c r="Z126" s="10" t="n">
        <f aca="false">Y126/K126</f>
        <v>0.0201962023987775</v>
      </c>
      <c r="AA126" s="10" t="n">
        <f aca="false">IF(1+Z126&gt;0,(1+Z126)^(1/E126)-1,-1)</f>
        <v>0.00400699945929417</v>
      </c>
      <c r="AB126" s="21" t="n">
        <f aca="false">L126-O126-M126-W126</f>
        <v>29.6054476589699</v>
      </c>
      <c r="AC126" s="24" t="n">
        <f aca="false">AB126/K126</f>
        <v>1.05960326444388</v>
      </c>
      <c r="AD126" s="21" t="n">
        <f aca="false">K126*((1+DepRate*(1-DepTax))^E126-1)</f>
        <v>3.73020263130271</v>
      </c>
      <c r="AE126" s="21" t="n">
        <f aca="false">Y126-AD126</f>
        <v>-3.16591821175557</v>
      </c>
    </row>
    <row r="127" customFormat="false" ht="15" hidden="false" customHeight="false" outlineLevel="0" collapsed="false">
      <c r="A127" s="20" t="n">
        <v>11</v>
      </c>
      <c r="B127" s="18" t="str">
        <f aca="false">INDEX(C_Name,A127)</f>
        <v>흑석 아크로리버하임 84.75㎡</v>
      </c>
      <c r="C127" s="20" t="n">
        <v>1</v>
      </c>
      <c r="D127" s="10" t="n">
        <f aca="false">CHOOSE(C127,GrowLo,GrowMid,GrowHi)</f>
        <v>0.02</v>
      </c>
      <c r="E127" s="20" t="n">
        <v>7</v>
      </c>
      <c r="F127" s="20" t="n">
        <f aca="false">MAX(0,E127-NonRes)</f>
        <v>7</v>
      </c>
      <c r="G127" s="18" t="n">
        <f aca="false">INDEX(C_Price,A127)</f>
        <v>28.75</v>
      </c>
      <c r="H127" s="18" t="n">
        <f aca="false">INDEX(C_Acq,A127)</f>
        <v>0.94875</v>
      </c>
      <c r="I127" s="18" t="n">
        <f aca="false">INDEX(C_Fee,A127)</f>
        <v>0.241375</v>
      </c>
      <c r="J127" s="18" t="n">
        <f aca="false">INDEX(C_Loan,A127)</f>
        <v>2</v>
      </c>
      <c r="K127" s="21" t="n">
        <f aca="false">G127-J127+H127+I127</f>
        <v>27.940125</v>
      </c>
      <c r="L127" s="21" t="n">
        <f aca="false">G127*(1+D127)^E127</f>
        <v>33.0247129449168</v>
      </c>
      <c r="M127" s="21" t="n">
        <f aca="false">L127*LOOKUP(L127,FeeLo,FeeR)*(1+VAT)</f>
        <v>0.254290289675859</v>
      </c>
      <c r="N127" s="21" t="n">
        <f aca="false">-CUMIPMT(Rm,LoanYears*12,J127,1,E127*12,0)</f>
        <v>0.523247114441265</v>
      </c>
      <c r="O127" s="21" t="n">
        <f aca="false">J127*(1+Rm)^(E127*12)-(J127*Rm/(1-(1+Rm)^(-LoanYears*12)))*((1+Rm)^(E127*12)-1)/Rm</f>
        <v>1.7211894180593</v>
      </c>
      <c r="P127" s="29" t="n">
        <f aca="false">SUMIFS(Sch_Total,Sch_Idx,A127,Sch_Scen,C127,Sch_Year,"&lt;="&amp;E127)</f>
        <v>0.765958679715799</v>
      </c>
      <c r="Q127" s="21" t="n">
        <f aca="false">H127+I127+M127</f>
        <v>1.44441528967586</v>
      </c>
      <c r="R127" s="21" t="n">
        <f aca="false">L127-G127-Q127</f>
        <v>2.83029765524094</v>
      </c>
      <c r="S127" s="21" t="n">
        <f aca="false">MAX(0,IF(F127&gt;=2,IF(L127&gt;Exempt,R127*(L127-Exempt)/L127,0),R127))</f>
        <v>1.80186867481224</v>
      </c>
      <c r="T127" s="10" t="n">
        <f aca="false">IF(F127&gt;=2,MIN(MaxDed,MIN(0.4,HoldRate*E127)+MIN(0.4,LiveRate*F127)),IF(E127&gt;=3,MIN(0.3,0.02*E127),0))</f>
        <v>0.56</v>
      </c>
      <c r="U127" s="21" t="n">
        <f aca="false">S127*(1-T127)</f>
        <v>0.792822216917386</v>
      </c>
      <c r="V127" s="21" t="n">
        <f aca="false">MAX(0,U127-InitDed)</f>
        <v>0.767822216917386</v>
      </c>
      <c r="W127" s="29" t="n">
        <f aca="false">SUMPRODUCT((V127&gt;CLo)*(V127-CLo)*CD)*(1+LocalTax)</f>
        <v>0.13934506526619</v>
      </c>
      <c r="X127" s="21" t="n">
        <f aca="false">H127+P127+W127</f>
        <v>1.85405374498199</v>
      </c>
      <c r="Y127" s="29" t="n">
        <f aca="false">(L127-G127)-H127-I127-M127-N127-P127-W127</f>
        <v>1.40174679581769</v>
      </c>
      <c r="Z127" s="10" t="n">
        <f aca="false">Y127/K127</f>
        <v>0.0501696680246666</v>
      </c>
      <c r="AA127" s="10" t="n">
        <f aca="false">IF(1+Z127&gt;0,(1+Z127)^(1/E127)-1,-1)</f>
        <v>0.007017614534089</v>
      </c>
      <c r="AB127" s="21" t="n">
        <f aca="false">L127-O127-M127-W127</f>
        <v>30.9098881719155</v>
      </c>
      <c r="AC127" s="24" t="n">
        <f aca="false">AB127/K127</f>
        <v>1.10629026075994</v>
      </c>
      <c r="AD127" s="21" t="n">
        <f aca="false">K127*((1+DepRate*(1-DepTax))^E127-1)</f>
        <v>5.3581887260575</v>
      </c>
      <c r="AE127" s="21" t="n">
        <f aca="false">Y127-AD127</f>
        <v>-3.95644193023982</v>
      </c>
    </row>
    <row r="128" customFormat="false" ht="15" hidden="false" customHeight="false" outlineLevel="0" collapsed="false">
      <c r="A128" s="20" t="n">
        <v>11</v>
      </c>
      <c r="B128" s="18" t="str">
        <f aca="false">INDEX(C_Name,A128)</f>
        <v>흑석 아크로리버하임 84.75㎡</v>
      </c>
      <c r="C128" s="20" t="n">
        <v>1</v>
      </c>
      <c r="D128" s="10" t="n">
        <f aca="false">CHOOSE(C128,GrowLo,GrowMid,GrowHi)</f>
        <v>0.02</v>
      </c>
      <c r="E128" s="20" t="n">
        <v>10</v>
      </c>
      <c r="F128" s="20" t="n">
        <f aca="false">MAX(0,E128-NonRes)</f>
        <v>10</v>
      </c>
      <c r="G128" s="18" t="n">
        <f aca="false">INDEX(C_Price,A128)</f>
        <v>28.75</v>
      </c>
      <c r="H128" s="18" t="n">
        <f aca="false">INDEX(C_Acq,A128)</f>
        <v>0.94875</v>
      </c>
      <c r="I128" s="18" t="n">
        <f aca="false">INDEX(C_Fee,A128)</f>
        <v>0.241375</v>
      </c>
      <c r="J128" s="18" t="n">
        <f aca="false">INDEX(C_Loan,A128)</f>
        <v>2</v>
      </c>
      <c r="K128" s="21" t="n">
        <f aca="false">G128-J128+H128+I128</f>
        <v>27.940125</v>
      </c>
      <c r="L128" s="21" t="n">
        <f aca="false">G128*(1+D128)^E128</f>
        <v>35.0460895748493</v>
      </c>
      <c r="M128" s="21" t="n">
        <f aca="false">L128*LOOKUP(L128,FeeLo,FeeR)*(1+VAT)</f>
        <v>0.26985488972634</v>
      </c>
      <c r="N128" s="21" t="n">
        <f aca="false">-CUMIPMT(Rm,LoanYears*12,J128,1,E128*12,0)</f>
        <v>0.721475893348725</v>
      </c>
      <c r="O128" s="21" t="n">
        <f aca="false">J128*(1+Rm)^(E128*12)-(J128*Rm/(1-(1+Rm)^(-LoanYears*12)))*((1+Rm)^(E128*12)-1)/Rm</f>
        <v>1.57567918423163</v>
      </c>
      <c r="P128" s="29" t="n">
        <f aca="false">SUMIFS(Sch_Total,Sch_Idx,A128,Sch_Scen,C128,Sch_Year,"&lt;="&amp;E128)</f>
        <v>1.15921211127656</v>
      </c>
      <c r="Q128" s="21" t="n">
        <f aca="false">H128+I128+M128</f>
        <v>1.45997988972634</v>
      </c>
      <c r="R128" s="21" t="n">
        <f aca="false">L128-G128-Q128</f>
        <v>4.83610968512294</v>
      </c>
      <c r="S128" s="21" t="n">
        <f aca="false">MAX(0,IF(F128&gt;=2,IF(L128&gt;Exempt,R128*(L128-Exempt)/L128,0),R128))</f>
        <v>3.18019551822191</v>
      </c>
      <c r="T128" s="10" t="n">
        <f aca="false">IF(F128&gt;=2,MIN(MaxDed,MIN(0.4,HoldRate*E128)+MIN(0.4,LiveRate*F128)),IF(E128&gt;=3,MIN(0.3,0.02*E128),0))</f>
        <v>0.8</v>
      </c>
      <c r="U128" s="21" t="n">
        <f aca="false">S128*(1-T128)</f>
        <v>0.636039103644382</v>
      </c>
      <c r="V128" s="21" t="n">
        <f aca="false">MAX(0,U128-InitDed)</f>
        <v>0.611039103644382</v>
      </c>
      <c r="W128" s="29" t="n">
        <f aca="false">SUMPRODUCT((V128&gt;CLo)*(V128-CLo)*CD)*(1+LocalTax)</f>
        <v>0.0979543233621169</v>
      </c>
      <c r="X128" s="21" t="n">
        <f aca="false">H128+P128+W128</f>
        <v>2.20591643463867</v>
      </c>
      <c r="Y128" s="29" t="n">
        <f aca="false">(L128-G128)-H128-I128-M128-N128-P128-W128</f>
        <v>2.85746735713554</v>
      </c>
      <c r="Z128" s="10" t="n">
        <f aca="false">Y128/K128</f>
        <v>0.10227110140472</v>
      </c>
      <c r="AA128" s="10" t="n">
        <f aca="false">IF(1+Z128&gt;0,(1+Z128)^(1/E128)-1,-1)</f>
        <v>0.00978483035133815</v>
      </c>
      <c r="AB128" s="21" t="n">
        <f aca="false">L128-O128-M128-W128</f>
        <v>33.1026011775292</v>
      </c>
      <c r="AC128" s="24" t="n">
        <f aca="false">AB128/K128</f>
        <v>1.18476925845998</v>
      </c>
      <c r="AD128" s="21" t="n">
        <f aca="false">K128*((1+DepRate*(1-DepTax))^E128-1)</f>
        <v>7.95841347375615</v>
      </c>
      <c r="AE128" s="21" t="n">
        <f aca="false">Y128-AD128</f>
        <v>-5.10094611662061</v>
      </c>
    </row>
    <row r="129" customFormat="false" ht="15" hidden="false" customHeight="false" outlineLevel="0" collapsed="false">
      <c r="A129" s="20" t="n">
        <v>11</v>
      </c>
      <c r="B129" s="18" t="str">
        <f aca="false">INDEX(C_Name,A129)</f>
        <v>흑석 아크로리버하임 84.75㎡</v>
      </c>
      <c r="C129" s="20" t="n">
        <v>2</v>
      </c>
      <c r="D129" s="10" t="n">
        <f aca="false">CHOOSE(C129,GrowLo,GrowMid,GrowHi)</f>
        <v>0.04</v>
      </c>
      <c r="E129" s="20" t="n">
        <v>3</v>
      </c>
      <c r="F129" s="20" t="n">
        <f aca="false">MAX(0,E129-NonRes)</f>
        <v>3</v>
      </c>
      <c r="G129" s="18" t="n">
        <f aca="false">INDEX(C_Price,A129)</f>
        <v>28.75</v>
      </c>
      <c r="H129" s="18" t="n">
        <f aca="false">INDEX(C_Acq,A129)</f>
        <v>0.94875</v>
      </c>
      <c r="I129" s="18" t="n">
        <f aca="false">INDEX(C_Fee,A129)</f>
        <v>0.241375</v>
      </c>
      <c r="J129" s="18" t="n">
        <f aca="false">INDEX(C_Loan,A129)</f>
        <v>2</v>
      </c>
      <c r="K129" s="21" t="n">
        <f aca="false">G129-J129+H129+I129</f>
        <v>27.940125</v>
      </c>
      <c r="L129" s="21" t="n">
        <f aca="false">G129*(1+D129)^E129</f>
        <v>32.33984</v>
      </c>
      <c r="M129" s="21" t="n">
        <f aca="false">L129*LOOKUP(L129,FeeLo,FeeR)*(1+VAT)</f>
        <v>0.249016768</v>
      </c>
      <c r="N129" s="21" t="n">
        <f aca="false">-CUMIPMT(Rm,LoanYears*12,J129,1,E129*12,0)</f>
        <v>0.233713524306484</v>
      </c>
      <c r="O129" s="21" t="n">
        <f aca="false">J129*(1+Rm)^(E129*12)-(J129*Rm/(1-(1+Rm)^(-LoanYears*12)))*((1+Rm)^(E129*12)-1)/Rm</f>
        <v>1.88997451157136</v>
      </c>
      <c r="P129" s="29" t="n">
        <f aca="false">SUMIFS(Sch_Total,Sch_Idx,A129,Sch_Scen,C129,Sch_Year,"&lt;="&amp;E129)</f>
        <v>0.3167407224</v>
      </c>
      <c r="Q129" s="21" t="n">
        <f aca="false">H129+I129+M129</f>
        <v>1.439141768</v>
      </c>
      <c r="R129" s="21" t="n">
        <f aca="false">L129-G129-Q129</f>
        <v>2.150698232</v>
      </c>
      <c r="S129" s="21" t="n">
        <f aca="false">MAX(0,IF(F129&gt;=2,IF(L129&gt;Exempt,R129*(L129-Exempt)/L129,0),R129))</f>
        <v>1.35266154461998</v>
      </c>
      <c r="T129" s="10" t="n">
        <f aca="false">IF(F129&gt;=2,MIN(MaxDed,MIN(0.4,HoldRate*E129)+MIN(0.4,LiveRate*F129)),IF(E129&gt;=3,MIN(0.3,0.02*E129),0))</f>
        <v>0.24</v>
      </c>
      <c r="U129" s="21" t="n">
        <f aca="false">S129*(1-T129)</f>
        <v>1.02802277391118</v>
      </c>
      <c r="V129" s="21" t="n">
        <f aca="false">MAX(0,U129-InitDed)</f>
        <v>1.00302277391118</v>
      </c>
      <c r="W129" s="29" t="n">
        <f aca="false">SUMPRODUCT((V129&gt;CLo)*(V129-CLo)*CD)*(1+LocalTax)</f>
        <v>0.216323767955805</v>
      </c>
      <c r="X129" s="21" t="n">
        <f aca="false">H129+P129+W129</f>
        <v>1.48181449035581</v>
      </c>
      <c r="Y129" s="29" t="n">
        <f aca="false">(L129-G129)-H129-I129-M129-N129-P129-W129</f>
        <v>1.38392021733771</v>
      </c>
      <c r="Z129" s="10" t="n">
        <f aca="false">Y129/K129</f>
        <v>0.0495316401532818</v>
      </c>
      <c r="AA129" s="10" t="n">
        <f aca="false">IF(1+Z129&gt;0,(1+Z129)^(1/E129)-1,-1)</f>
        <v>0.0162452107705233</v>
      </c>
      <c r="AB129" s="21" t="n">
        <f aca="false">L129-O129-M129-W129</f>
        <v>29.9845249524728</v>
      </c>
      <c r="AC129" s="24" t="n">
        <f aca="false">AB129/K129</f>
        <v>1.07317075182995</v>
      </c>
      <c r="AD129" s="21" t="n">
        <f aca="false">K129*((1+DepRate*(1-DepTax))^E129-1)</f>
        <v>2.18181031857902</v>
      </c>
      <c r="AE129" s="21" t="n">
        <f aca="false">Y129-AD129</f>
        <v>-0.797890101241306</v>
      </c>
    </row>
    <row r="130" customFormat="false" ht="15" hidden="false" customHeight="false" outlineLevel="0" collapsed="false">
      <c r="A130" s="20" t="n">
        <v>11</v>
      </c>
      <c r="B130" s="18" t="str">
        <f aca="false">INDEX(C_Name,A130)</f>
        <v>흑석 아크로리버하임 84.75㎡</v>
      </c>
      <c r="C130" s="20" t="n">
        <v>2</v>
      </c>
      <c r="D130" s="10" t="n">
        <f aca="false">CHOOSE(C130,GrowLo,GrowMid,GrowHi)</f>
        <v>0.04</v>
      </c>
      <c r="E130" s="20" t="n">
        <v>5</v>
      </c>
      <c r="F130" s="20" t="n">
        <f aca="false">MAX(0,E130-NonRes)</f>
        <v>5</v>
      </c>
      <c r="G130" s="18" t="n">
        <f aca="false">INDEX(C_Price,A130)</f>
        <v>28.75</v>
      </c>
      <c r="H130" s="18" t="n">
        <f aca="false">INDEX(C_Acq,A130)</f>
        <v>0.94875</v>
      </c>
      <c r="I130" s="18" t="n">
        <f aca="false">INDEX(C_Fee,A130)</f>
        <v>0.241375</v>
      </c>
      <c r="J130" s="18" t="n">
        <f aca="false">INDEX(C_Loan,A130)</f>
        <v>2</v>
      </c>
      <c r="K130" s="21" t="n">
        <f aca="false">G130-J130+H130+I130</f>
        <v>27.940125</v>
      </c>
      <c r="L130" s="21" t="n">
        <f aca="false">G130*(1+D130)^E130</f>
        <v>34.978770944</v>
      </c>
      <c r="M130" s="21" t="n">
        <f aca="false">L130*LOOKUP(L130,FeeLo,FeeR)*(1+VAT)</f>
        <v>0.2693365362688</v>
      </c>
      <c r="N130" s="21" t="n">
        <f aca="false">-CUMIPMT(Rm,LoanYears*12,J130,1,E130*12,0)</f>
        <v>0.38184861728037</v>
      </c>
      <c r="O130" s="21" t="n">
        <f aca="false">J130*(1+Rm)^(E130*12)-(J130*Rm/(1-(1+Rm)^(-LoanYears*12)))*((1+Rm)^(E130*12)-1)/Rm</f>
        <v>1.80895026272182</v>
      </c>
      <c r="P130" s="29" t="n">
        <f aca="false">SUMIFS(Sch_Total,Sch_Idx,A130,Sch_Scen,C130,Sch_Year,"&lt;="&amp;E130)</f>
        <v>0.56831614432128</v>
      </c>
      <c r="Q130" s="21" t="n">
        <f aca="false">H130+I130+M130</f>
        <v>1.4594615362688</v>
      </c>
      <c r="R130" s="21" t="n">
        <f aca="false">L130-G130-Q130</f>
        <v>4.7693094077312</v>
      </c>
      <c r="S130" s="21" t="n">
        <f aca="false">MAX(0,IF(F130&gt;=2,IF(L130&gt;Exempt,R130*(L130-Exempt)/L130,0),R130))</f>
        <v>3.13312519232807</v>
      </c>
      <c r="T130" s="10" t="n">
        <f aca="false">IF(F130&gt;=2,MIN(MaxDed,MIN(0.4,HoldRate*E130)+MIN(0.4,LiveRate*F130)),IF(E130&gt;=3,MIN(0.3,0.02*E130),0))</f>
        <v>0.4</v>
      </c>
      <c r="U130" s="21" t="n">
        <f aca="false">S130*(1-T130)</f>
        <v>1.87987511539684</v>
      </c>
      <c r="V130" s="21" t="n">
        <f aca="false">MAX(0,U130-InitDed)</f>
        <v>1.85487511539684</v>
      </c>
      <c r="W130" s="29" t="n">
        <f aca="false">SUMPRODUCT((V130&gt;CLo)*(V130-CLo)*CD)*(1+LocalTax)</f>
        <v>0.555997798235881</v>
      </c>
      <c r="X130" s="21" t="n">
        <f aca="false">H130+P130+W130</f>
        <v>2.07306394255716</v>
      </c>
      <c r="Y130" s="29" t="n">
        <f aca="false">(L130-G130)-H130-I130-M130-N130-P130-W130</f>
        <v>3.26314684789367</v>
      </c>
      <c r="Z130" s="10" t="n">
        <f aca="false">Y130/K130</f>
        <v>0.116790703258975</v>
      </c>
      <c r="AA130" s="10" t="n">
        <f aca="false">IF(1+Z130&gt;0,(1+Z130)^(1/E130)-1,-1)</f>
        <v>0.0223376570407248</v>
      </c>
      <c r="AB130" s="21" t="n">
        <f aca="false">L130-O130-M130-W130</f>
        <v>32.3444863467735</v>
      </c>
      <c r="AC130" s="24" t="n">
        <f aca="false">AB130/K130</f>
        <v>1.15763570659664</v>
      </c>
      <c r="AD130" s="21" t="n">
        <f aca="false">K130*((1+DepRate*(1-DepTax))^E130-1)</f>
        <v>3.73020263130271</v>
      </c>
      <c r="AE130" s="21" t="n">
        <f aca="false">Y130-AD130</f>
        <v>-0.46705578340904</v>
      </c>
    </row>
    <row r="131" customFormat="false" ht="15" hidden="false" customHeight="false" outlineLevel="0" collapsed="false">
      <c r="A131" s="20" t="n">
        <v>11</v>
      </c>
      <c r="B131" s="18" t="str">
        <f aca="false">INDEX(C_Name,A131)</f>
        <v>흑석 아크로리버하임 84.75㎡</v>
      </c>
      <c r="C131" s="20" t="n">
        <v>2</v>
      </c>
      <c r="D131" s="10" t="n">
        <f aca="false">CHOOSE(C131,GrowLo,GrowMid,GrowHi)</f>
        <v>0.04</v>
      </c>
      <c r="E131" s="20" t="n">
        <v>7</v>
      </c>
      <c r="F131" s="20" t="n">
        <f aca="false">MAX(0,E131-NonRes)</f>
        <v>7</v>
      </c>
      <c r="G131" s="18" t="n">
        <f aca="false">INDEX(C_Price,A131)</f>
        <v>28.75</v>
      </c>
      <c r="H131" s="18" t="n">
        <f aca="false">INDEX(C_Acq,A131)</f>
        <v>0.94875</v>
      </c>
      <c r="I131" s="18" t="n">
        <f aca="false">INDEX(C_Fee,A131)</f>
        <v>0.241375</v>
      </c>
      <c r="J131" s="18" t="n">
        <f aca="false">INDEX(C_Loan,A131)</f>
        <v>2</v>
      </c>
      <c r="K131" s="21" t="n">
        <f aca="false">G131-J131+H131+I131</f>
        <v>27.940125</v>
      </c>
      <c r="L131" s="21" t="n">
        <f aca="false">G131*(1+D131)^E131</f>
        <v>37.8330386530304</v>
      </c>
      <c r="M131" s="21" t="n">
        <f aca="false">L131*LOOKUP(L131,FeeLo,FeeR)*(1+VAT)</f>
        <v>0.291314397628334</v>
      </c>
      <c r="N131" s="21" t="n">
        <f aca="false">-CUMIPMT(Rm,LoanYears*12,J131,1,E131*12,0)</f>
        <v>0.523247114441265</v>
      </c>
      <c r="O131" s="21" t="n">
        <f aca="false">J131*(1+Rm)^(E131*12)-(J131*Rm/(1-(1+Rm)^(-LoanYears*12)))*((1+Rm)^(E131*12)-1)/Rm</f>
        <v>1.7211894180593</v>
      </c>
      <c r="P131" s="29" t="n">
        <f aca="false">SUMIFS(Sch_Total,Sch_Idx,A131,Sch_Scen,C131,Sch_Year,"&lt;="&amp;E131)</f>
        <v>0.860454552671337</v>
      </c>
      <c r="Q131" s="21" t="n">
        <f aca="false">H131+I131+M131</f>
        <v>1.48143939762833</v>
      </c>
      <c r="R131" s="21" t="n">
        <f aca="false">L131-G131-Q131</f>
        <v>7.60159925540207</v>
      </c>
      <c r="S131" s="21" t="n">
        <f aca="false">MAX(0,IF(F131&gt;=2,IF(L131&gt;Exempt,R131*(L131-Exempt)/L131,0),R131))</f>
        <v>5.19050053553971</v>
      </c>
      <c r="T131" s="10" t="n">
        <f aca="false">IF(F131&gt;=2,MIN(MaxDed,MIN(0.4,HoldRate*E131)+MIN(0.4,LiveRate*F131)),IF(E131&gt;=3,MIN(0.3,0.02*E131),0))</f>
        <v>0.56</v>
      </c>
      <c r="U131" s="21" t="n">
        <f aca="false">S131*(1-T131)</f>
        <v>2.28382023563747</v>
      </c>
      <c r="V131" s="21" t="n">
        <f aca="false">MAX(0,U131-InitDed)</f>
        <v>2.25882023563747</v>
      </c>
      <c r="W131" s="29" t="n">
        <f aca="false">SUMPRODUCT((V131&gt;CLo)*(V131-CLo)*CD)*(1+LocalTax)</f>
        <v>0.724846858496464</v>
      </c>
      <c r="X131" s="21" t="n">
        <f aca="false">H131+P131+W131</f>
        <v>2.5340514111678</v>
      </c>
      <c r="Y131" s="29" t="n">
        <f aca="false">(L131-G131)-H131-I131-M131-N131-P131-W131</f>
        <v>5.49305072979301</v>
      </c>
      <c r="Z131" s="10" t="n">
        <f aca="false">Y131/K131</f>
        <v>0.196600792938221</v>
      </c>
      <c r="AA131" s="10" t="n">
        <f aca="false">IF(1+Z131&gt;0,(1+Z131)^(1/E131)-1,-1)</f>
        <v>0.0259722452275717</v>
      </c>
      <c r="AB131" s="21" t="n">
        <f aca="false">L131-O131-M131-W131</f>
        <v>35.0956879788463</v>
      </c>
      <c r="AC131" s="24" t="n">
        <f aca="false">AB131/K131</f>
        <v>1.2561034705051</v>
      </c>
      <c r="AD131" s="21" t="n">
        <f aca="false">K131*((1+DepRate*(1-DepTax))^E131-1)</f>
        <v>5.3581887260575</v>
      </c>
      <c r="AE131" s="21" t="n">
        <f aca="false">Y131-AD131</f>
        <v>0.134862003735505</v>
      </c>
    </row>
    <row r="132" customFormat="false" ht="15" hidden="false" customHeight="false" outlineLevel="0" collapsed="false">
      <c r="A132" s="20" t="n">
        <v>11</v>
      </c>
      <c r="B132" s="18" t="str">
        <f aca="false">INDEX(C_Name,A132)</f>
        <v>흑석 아크로리버하임 84.75㎡</v>
      </c>
      <c r="C132" s="20" t="n">
        <v>2</v>
      </c>
      <c r="D132" s="10" t="n">
        <f aca="false">CHOOSE(C132,GrowLo,GrowMid,GrowHi)</f>
        <v>0.04</v>
      </c>
      <c r="E132" s="20" t="n">
        <v>10</v>
      </c>
      <c r="F132" s="20" t="n">
        <f aca="false">MAX(0,E132-NonRes)</f>
        <v>10</v>
      </c>
      <c r="G132" s="18" t="n">
        <f aca="false">INDEX(C_Price,A132)</f>
        <v>28.75</v>
      </c>
      <c r="H132" s="18" t="n">
        <f aca="false">INDEX(C_Acq,A132)</f>
        <v>0.94875</v>
      </c>
      <c r="I132" s="18" t="n">
        <f aca="false">INDEX(C_Fee,A132)</f>
        <v>0.241375</v>
      </c>
      <c r="J132" s="18" t="n">
        <f aca="false">INDEX(C_Loan,A132)</f>
        <v>2</v>
      </c>
      <c r="K132" s="21" t="n">
        <f aca="false">G132-J132+H132+I132</f>
        <v>27.940125</v>
      </c>
      <c r="L132" s="21" t="n">
        <f aca="false">G132*(1+D132)^E132</f>
        <v>42.5570231914024</v>
      </c>
      <c r="M132" s="21" t="n">
        <f aca="false">L132*LOOKUP(L132,FeeLo,FeeR)*(1+VAT)</f>
        <v>0.327689078573799</v>
      </c>
      <c r="N132" s="21" t="n">
        <f aca="false">-CUMIPMT(Rm,LoanYears*12,J132,1,E132*12,0)</f>
        <v>0.721475893348725</v>
      </c>
      <c r="O132" s="21" t="n">
        <f aca="false">J132*(1+Rm)^(E132*12)-(J132*Rm/(1-(1+Rm)^(-LoanYears*12)))*((1+Rm)^(E132*12)-1)/Rm</f>
        <v>1.57567918423163</v>
      </c>
      <c r="P132" s="29" t="n">
        <f aca="false">SUMIFS(Sch_Total,Sch_Idx,A132,Sch_Scen,C132,Sch_Year,"&lt;="&amp;E132)</f>
        <v>1.38203152016447</v>
      </c>
      <c r="Q132" s="21" t="n">
        <f aca="false">H132+I132+M132</f>
        <v>1.5178140785738</v>
      </c>
      <c r="R132" s="21" t="n">
        <f aca="false">L132-G132-Q132</f>
        <v>12.2892091128286</v>
      </c>
      <c r="S132" s="21" t="n">
        <f aca="false">MAX(0,IF(F132&gt;=2,IF(L132&gt;Exempt,R132*(L132-Exempt)/L132,0),R132))</f>
        <v>8.82396417098464</v>
      </c>
      <c r="T132" s="10" t="n">
        <f aca="false">IF(F132&gt;=2,MIN(MaxDed,MIN(0.4,HoldRate*E132)+MIN(0.4,LiveRate*F132)),IF(E132&gt;=3,MIN(0.3,0.02*E132),0))</f>
        <v>0.8</v>
      </c>
      <c r="U132" s="21" t="n">
        <f aca="false">S132*(1-T132)</f>
        <v>1.76479283419693</v>
      </c>
      <c r="V132" s="21" t="n">
        <f aca="false">MAX(0,U132-InitDed)</f>
        <v>1.73979283419693</v>
      </c>
      <c r="W132" s="29" t="n">
        <f aca="false">SUMPRODUCT((V132&gt;CLo)*(V132-CLo)*CD)*(1+LocalTax)</f>
        <v>0.507893404694316</v>
      </c>
      <c r="X132" s="21" t="n">
        <f aca="false">H132+P132+W132</f>
        <v>2.83867492485878</v>
      </c>
      <c r="Y132" s="29" t="n">
        <f aca="false">(L132-G132)-H132-I132-M132-N132-P132-W132</f>
        <v>9.67780829462109</v>
      </c>
      <c r="Z132" s="10" t="n">
        <f aca="false">Y132/K132</f>
        <v>0.346376699983307</v>
      </c>
      <c r="AA132" s="10" t="n">
        <f aca="false">IF(1+Z132&gt;0,(1+Z132)^(1/E132)-1,-1)</f>
        <v>0.0301884079284342</v>
      </c>
      <c r="AB132" s="21" t="n">
        <f aca="false">L132-O132-M132-W132</f>
        <v>40.1457615239027</v>
      </c>
      <c r="AC132" s="24" t="n">
        <f aca="false">AB132/K132</f>
        <v>1.43684974651698</v>
      </c>
      <c r="AD132" s="21" t="n">
        <f aca="false">K132*((1+DepRate*(1-DepTax))^E132-1)</f>
        <v>7.95841347375615</v>
      </c>
      <c r="AE132" s="21" t="n">
        <f aca="false">Y132-AD132</f>
        <v>1.71939482086494</v>
      </c>
    </row>
    <row r="133" customFormat="false" ht="15" hidden="false" customHeight="false" outlineLevel="0" collapsed="false">
      <c r="A133" s="20" t="n">
        <v>11</v>
      </c>
      <c r="B133" s="18" t="str">
        <f aca="false">INDEX(C_Name,A133)</f>
        <v>흑석 아크로리버하임 84.75㎡</v>
      </c>
      <c r="C133" s="20" t="n">
        <v>3</v>
      </c>
      <c r="D133" s="10" t="n">
        <f aca="false">CHOOSE(C133,GrowLo,GrowMid,GrowHi)</f>
        <v>0.06</v>
      </c>
      <c r="E133" s="20" t="n">
        <v>3</v>
      </c>
      <c r="F133" s="20" t="n">
        <f aca="false">MAX(0,E133-NonRes)</f>
        <v>3</v>
      </c>
      <c r="G133" s="18" t="n">
        <f aca="false">INDEX(C_Price,A133)</f>
        <v>28.75</v>
      </c>
      <c r="H133" s="18" t="n">
        <f aca="false">INDEX(C_Acq,A133)</f>
        <v>0.94875</v>
      </c>
      <c r="I133" s="18" t="n">
        <f aca="false">INDEX(C_Fee,A133)</f>
        <v>0.241375</v>
      </c>
      <c r="J133" s="18" t="n">
        <f aca="false">INDEX(C_Loan,A133)</f>
        <v>2</v>
      </c>
      <c r="K133" s="21" t="n">
        <f aca="false">G133-J133+H133+I133</f>
        <v>27.940125</v>
      </c>
      <c r="L133" s="21" t="n">
        <f aca="false">G133*(1+D133)^E133</f>
        <v>34.24171</v>
      </c>
      <c r="M133" s="21" t="n">
        <f aca="false">L133*LOOKUP(L133,FeeLo,FeeR)*(1+VAT)</f>
        <v>0.263661167</v>
      </c>
      <c r="N133" s="21" t="n">
        <f aca="false">-CUMIPMT(Rm,LoanYears*12,J133,1,E133*12,0)</f>
        <v>0.233713524306484</v>
      </c>
      <c r="O133" s="21" t="n">
        <f aca="false">J133*(1+Rm)^(E133*12)-(J133*Rm/(1-(1+Rm)^(-LoanYears*12)))*((1+Rm)^(E133*12)-1)/Rm</f>
        <v>1.88997451157136</v>
      </c>
      <c r="P133" s="29" t="n">
        <f aca="false">SUMIFS(Sch_Total,Sch_Idx,A133,Sch_Scen,C133,Sch_Year,"&lt;="&amp;E133)</f>
        <v>0.3281400018</v>
      </c>
      <c r="Q133" s="21" t="n">
        <f aca="false">H133+I133+M133</f>
        <v>1.453786167</v>
      </c>
      <c r="R133" s="21" t="n">
        <f aca="false">L133-G133-Q133</f>
        <v>4.037923833</v>
      </c>
      <c r="S133" s="21" t="n">
        <f aca="false">MAX(0,IF(F133&gt;=2,IF(L133&gt;Exempt,R133*(L133-Exempt)/L133,0),R133))</f>
        <v>2.62283428297461</v>
      </c>
      <c r="T133" s="10" t="n">
        <f aca="false">IF(F133&gt;=2,MIN(MaxDed,MIN(0.4,HoldRate*E133)+MIN(0.4,LiveRate*F133)),IF(E133&gt;=3,MIN(0.3,0.02*E133),0))</f>
        <v>0.24</v>
      </c>
      <c r="U133" s="21" t="n">
        <f aca="false">S133*(1-T133)</f>
        <v>1.9933540550607</v>
      </c>
      <c r="V133" s="21" t="n">
        <f aca="false">MAX(0,U133-InitDed)</f>
        <v>1.9683540550607</v>
      </c>
      <c r="W133" s="29" t="n">
        <f aca="false">SUMPRODUCT((V133&gt;CLo)*(V133-CLo)*CD)*(1+LocalTax)</f>
        <v>0.603431995015374</v>
      </c>
      <c r="X133" s="21" t="n">
        <f aca="false">H133+P133+W133</f>
        <v>1.88032199681537</v>
      </c>
      <c r="Y133" s="29" t="n">
        <f aca="false">(L133-G133)-H133-I133-M133-N133-P133-W133</f>
        <v>2.87263831187815</v>
      </c>
      <c r="Z133" s="10" t="n">
        <f aca="false">Y133/K133</f>
        <v>0.102814082323474</v>
      </c>
      <c r="AA133" s="10" t="n">
        <f aca="false">IF(1+Z133&gt;0,(1+Z133)^(1/E133)-1,-1)</f>
        <v>0.0331596450207496</v>
      </c>
      <c r="AB133" s="21" t="n">
        <f aca="false">L133-O133-M133-W133</f>
        <v>31.4846423264133</v>
      </c>
      <c r="AC133" s="24" t="n">
        <f aca="false">AB133/K133</f>
        <v>1.12686118356354</v>
      </c>
      <c r="AD133" s="21" t="n">
        <f aca="false">K133*((1+DepRate*(1-DepTax))^E133-1)</f>
        <v>2.18181031857902</v>
      </c>
      <c r="AE133" s="21" t="n">
        <f aca="false">Y133-AD133</f>
        <v>0.690827993299128</v>
      </c>
    </row>
    <row r="134" customFormat="false" ht="15" hidden="false" customHeight="false" outlineLevel="0" collapsed="false">
      <c r="A134" s="20" t="n">
        <v>11</v>
      </c>
      <c r="B134" s="18" t="str">
        <f aca="false">INDEX(C_Name,A134)</f>
        <v>흑석 아크로리버하임 84.75㎡</v>
      </c>
      <c r="C134" s="20" t="n">
        <v>3</v>
      </c>
      <c r="D134" s="10" t="n">
        <f aca="false">CHOOSE(C134,GrowLo,GrowMid,GrowHi)</f>
        <v>0.06</v>
      </c>
      <c r="E134" s="20" t="n">
        <v>5</v>
      </c>
      <c r="F134" s="20" t="n">
        <f aca="false">MAX(0,E134-NonRes)</f>
        <v>5</v>
      </c>
      <c r="G134" s="18" t="n">
        <f aca="false">INDEX(C_Price,A134)</f>
        <v>28.75</v>
      </c>
      <c r="H134" s="18" t="n">
        <f aca="false">INDEX(C_Acq,A134)</f>
        <v>0.94875</v>
      </c>
      <c r="I134" s="18" t="n">
        <f aca="false">INDEX(C_Fee,A134)</f>
        <v>0.241375</v>
      </c>
      <c r="J134" s="18" t="n">
        <f aca="false">INDEX(C_Loan,A134)</f>
        <v>2</v>
      </c>
      <c r="K134" s="21" t="n">
        <f aca="false">G134-J134+H134+I134</f>
        <v>27.940125</v>
      </c>
      <c r="L134" s="21" t="n">
        <f aca="false">G134*(1+D134)^E134</f>
        <v>38.473985356</v>
      </c>
      <c r="M134" s="21" t="n">
        <f aca="false">L134*LOOKUP(L134,FeeLo,FeeR)*(1+VAT)</f>
        <v>0.2962496872412</v>
      </c>
      <c r="N134" s="21" t="n">
        <f aca="false">-CUMIPMT(Rm,LoanYears*12,J134,1,E134*12,0)</f>
        <v>0.38184861728037</v>
      </c>
      <c r="O134" s="21" t="n">
        <f aca="false">J134*(1+Rm)^(E134*12)-(J134*Rm/(1-(1+Rm)^(-LoanYears*12)))*((1+Rm)^(E134*12)-1)/Rm</f>
        <v>1.80895026272182</v>
      </c>
      <c r="P134" s="29" t="n">
        <f aca="false">SUMIFS(Sch_Total,Sch_Idx,A134,Sch_Scen,C134,Sch_Year,"&lt;="&amp;E134)</f>
        <v>0.61410914100648</v>
      </c>
      <c r="Q134" s="21" t="n">
        <f aca="false">H134+I134+M134</f>
        <v>1.4863746872412</v>
      </c>
      <c r="R134" s="21" t="n">
        <f aca="false">L134-G134-Q134</f>
        <v>8.23761066875881</v>
      </c>
      <c r="S134" s="21" t="n">
        <f aca="false">MAX(0,IF(F134&gt;=2,IF(L134&gt;Exempt,R134*(L134-Exempt)/L134,0),R134))</f>
        <v>5.66830761604842</v>
      </c>
      <c r="T134" s="10" t="n">
        <f aca="false">IF(F134&gt;=2,MIN(MaxDed,MIN(0.4,HoldRate*E134)+MIN(0.4,LiveRate*F134)),IF(E134&gt;=3,MIN(0.3,0.02*E134),0))</f>
        <v>0.4</v>
      </c>
      <c r="U134" s="21" t="n">
        <f aca="false">S134*(1-T134)</f>
        <v>3.40098456962905</v>
      </c>
      <c r="V134" s="21" t="n">
        <f aca="false">MAX(0,U134-InitDed)</f>
        <v>3.37598456962905</v>
      </c>
      <c r="W134" s="29" t="n">
        <f aca="false">SUMPRODUCT((V134&gt;CLo)*(V134-CLo)*CD)*(1+LocalTax)</f>
        <v>1.20009321063678</v>
      </c>
      <c r="X134" s="21" t="n">
        <f aca="false">H134+P134+W134</f>
        <v>2.76295235164326</v>
      </c>
      <c r="Y134" s="29" t="n">
        <f aca="false">(L134-G134)-H134-I134-M134-N134-P134-W134</f>
        <v>6.04155969983517</v>
      </c>
      <c r="Z134" s="10" t="n">
        <f aca="false">Y134/K134</f>
        <v>0.216232379054681</v>
      </c>
      <c r="AA134" s="10" t="n">
        <f aca="false">IF(1+Z134&gt;0,(1+Z134)^(1/E134)-1,-1)</f>
        <v>0.0399280970347087</v>
      </c>
      <c r="AB134" s="21" t="n">
        <f aca="false">L134-O134-M134-W134</f>
        <v>35.1686921954002</v>
      </c>
      <c r="AC134" s="24" t="n">
        <f aca="false">AB134/K134</f>
        <v>1.25871635131912</v>
      </c>
      <c r="AD134" s="21" t="n">
        <f aca="false">K134*((1+DepRate*(1-DepTax))^E134-1)</f>
        <v>3.73020263130271</v>
      </c>
      <c r="AE134" s="21" t="n">
        <f aca="false">Y134-AD134</f>
        <v>2.31135706853246</v>
      </c>
    </row>
    <row r="135" customFormat="false" ht="15" hidden="false" customHeight="false" outlineLevel="0" collapsed="false">
      <c r="A135" s="20" t="n">
        <v>11</v>
      </c>
      <c r="B135" s="18" t="str">
        <f aca="false">INDEX(C_Name,A135)</f>
        <v>흑석 아크로리버하임 84.75㎡</v>
      </c>
      <c r="C135" s="20" t="n">
        <v>3</v>
      </c>
      <c r="D135" s="10" t="n">
        <f aca="false">CHOOSE(C135,GrowLo,GrowMid,GrowHi)</f>
        <v>0.06</v>
      </c>
      <c r="E135" s="20" t="n">
        <v>7</v>
      </c>
      <c r="F135" s="20" t="n">
        <f aca="false">MAX(0,E135-NonRes)</f>
        <v>7</v>
      </c>
      <c r="G135" s="18" t="n">
        <f aca="false">INDEX(C_Price,A135)</f>
        <v>28.75</v>
      </c>
      <c r="H135" s="18" t="n">
        <f aca="false">INDEX(C_Acq,A135)</f>
        <v>0.94875</v>
      </c>
      <c r="I135" s="18" t="n">
        <f aca="false">INDEX(C_Fee,A135)</f>
        <v>0.241375</v>
      </c>
      <c r="J135" s="18" t="n">
        <f aca="false">INDEX(C_Loan,A135)</f>
        <v>2</v>
      </c>
      <c r="K135" s="21" t="n">
        <f aca="false">G135-J135+H135+I135</f>
        <v>27.940125</v>
      </c>
      <c r="L135" s="21" t="n">
        <f aca="false">G135*(1+D135)^E135</f>
        <v>43.2293699460016</v>
      </c>
      <c r="M135" s="21" t="n">
        <f aca="false">L135*LOOKUP(L135,FeeLo,FeeR)*(1+VAT)</f>
        <v>0.332866148584213</v>
      </c>
      <c r="N135" s="21" t="n">
        <f aca="false">-CUMIPMT(Rm,LoanYears*12,J135,1,E135*12,0)</f>
        <v>0.523247114441265</v>
      </c>
      <c r="O135" s="21" t="n">
        <f aca="false">J135*(1+Rm)^(E135*12)-(J135*Rm/(1-(1+Rm)^(-LoanYears*12)))*((1+Rm)^(E135*12)-1)/Rm</f>
        <v>1.7211894180593</v>
      </c>
      <c r="P135" s="29" t="n">
        <f aca="false">SUMIFS(Sch_Total,Sch_Idx,A135,Sch_Scen,C135,Sch_Year,"&lt;="&amp;E135)</f>
        <v>0.965770337818881</v>
      </c>
      <c r="Q135" s="21" t="n">
        <f aca="false">H135+I135+M135</f>
        <v>1.52299114858421</v>
      </c>
      <c r="R135" s="21" t="n">
        <f aca="false">L135-G135-Q135</f>
        <v>12.9563787974174</v>
      </c>
      <c r="S135" s="21" t="n">
        <f aca="false">MAX(0,IF(F135&gt;=2,IF(L135&gt;Exempt,R135*(L135-Exempt)/L135,0),R135))</f>
        <v>9.359829836301</v>
      </c>
      <c r="T135" s="10" t="n">
        <f aca="false">IF(F135&gt;=2,MIN(MaxDed,MIN(0.4,HoldRate*E135)+MIN(0.4,LiveRate*F135)),IF(E135&gt;=3,MIN(0.3,0.02*E135),0))</f>
        <v>0.56</v>
      </c>
      <c r="U135" s="21" t="n">
        <f aca="false">S135*(1-T135)</f>
        <v>4.11832512797244</v>
      </c>
      <c r="V135" s="21" t="n">
        <f aca="false">MAX(0,U135-InitDed)</f>
        <v>4.09332512797244</v>
      </c>
      <c r="W135" s="29" t="n">
        <f aca="false">SUMPRODUCT((V135&gt;CLo)*(V135-CLo)*CD)*(1+LocalTax)</f>
        <v>1.51572305630787</v>
      </c>
      <c r="X135" s="21" t="n">
        <f aca="false">H135+P135+W135</f>
        <v>3.43024339412676</v>
      </c>
      <c r="Y135" s="29" t="n">
        <f aca="false">(L135-G135)-H135-I135-M135-N135-P135-W135</f>
        <v>9.95163828884939</v>
      </c>
      <c r="Z135" s="10" t="n">
        <f aca="false">Y135/K135</f>
        <v>0.356177300167747</v>
      </c>
      <c r="AA135" s="10" t="n">
        <f aca="false">IF(1+Z135&gt;0,(1+Z135)^(1/E135)-1,-1)</f>
        <v>0.0444853501256275</v>
      </c>
      <c r="AB135" s="21" t="n">
        <f aca="false">L135-O135-M135-W135</f>
        <v>39.6595913230502</v>
      </c>
      <c r="AC135" s="24" t="n">
        <f aca="false">AB135/K135</f>
        <v>1.41944931610185</v>
      </c>
      <c r="AD135" s="21" t="n">
        <f aca="false">K135*((1+DepRate*(1-DepTax))^E135-1)</f>
        <v>5.3581887260575</v>
      </c>
      <c r="AE135" s="21" t="n">
        <f aca="false">Y135-AD135</f>
        <v>4.59344956279188</v>
      </c>
    </row>
    <row r="136" customFormat="false" ht="15" hidden="false" customHeight="false" outlineLevel="0" collapsed="false">
      <c r="A136" s="20" t="n">
        <v>11</v>
      </c>
      <c r="B136" s="18" t="str">
        <f aca="false">INDEX(C_Name,A136)</f>
        <v>흑석 아크로리버하임 84.75㎡</v>
      </c>
      <c r="C136" s="20" t="n">
        <v>3</v>
      </c>
      <c r="D136" s="10" t="n">
        <f aca="false">CHOOSE(C136,GrowLo,GrowMid,GrowHi)</f>
        <v>0.06</v>
      </c>
      <c r="E136" s="20" t="n">
        <v>10</v>
      </c>
      <c r="F136" s="20" t="n">
        <f aca="false">MAX(0,E136-NonRes)</f>
        <v>10</v>
      </c>
      <c r="G136" s="18" t="n">
        <f aca="false">INDEX(C_Price,A136)</f>
        <v>28.75</v>
      </c>
      <c r="H136" s="18" t="n">
        <f aca="false">INDEX(C_Acq,A136)</f>
        <v>0.94875</v>
      </c>
      <c r="I136" s="18" t="n">
        <f aca="false">INDEX(C_Fee,A136)</f>
        <v>0.241375</v>
      </c>
      <c r="J136" s="18" t="n">
        <f aca="false">INDEX(C_Loan,A136)</f>
        <v>2</v>
      </c>
      <c r="K136" s="21" t="n">
        <f aca="false">G136-J136+H136+I136</f>
        <v>27.940125</v>
      </c>
      <c r="L136" s="21" t="n">
        <f aca="false">G136*(1+D136)^E136</f>
        <v>51.4868712756071</v>
      </c>
      <c r="M136" s="21" t="n">
        <f aca="false">L136*LOOKUP(L136,FeeLo,FeeR)*(1+VAT)</f>
        <v>0.396448908822175</v>
      </c>
      <c r="N136" s="21" t="n">
        <f aca="false">-CUMIPMT(Rm,LoanYears*12,J136,1,E136*12,0)</f>
        <v>0.721475893348725</v>
      </c>
      <c r="O136" s="21" t="n">
        <f aca="false">J136*(1+Rm)^(E136*12)-(J136*Rm/(1-(1+Rm)^(-LoanYears*12)))*((1+Rm)^(E136*12)-1)/Rm</f>
        <v>1.57567918423163</v>
      </c>
      <c r="P136" s="29" t="n">
        <f aca="false">SUMIFS(Sch_Total,Sch_Idx,A136,Sch_Scen,C136,Sch_Year,"&lt;="&amp;E136)</f>
        <v>1.63773983870504</v>
      </c>
      <c r="Q136" s="21" t="n">
        <f aca="false">H136+I136+M136</f>
        <v>1.58657390882217</v>
      </c>
      <c r="R136" s="21" t="n">
        <f aca="false">L136-G136-Q136</f>
        <v>21.1502973667849</v>
      </c>
      <c r="S136" s="21" t="n">
        <f aca="false">MAX(0,IF(F136&gt;=2,IF(L136&gt;Exempt,R136*(L136-Exempt)/L136,0),R136))</f>
        <v>16.2208160812972</v>
      </c>
      <c r="T136" s="10" t="n">
        <f aca="false">IF(F136&gt;=2,MIN(MaxDed,MIN(0.4,HoldRate*E136)+MIN(0.4,LiveRate*F136)),IF(E136&gt;=3,MIN(0.3,0.02*E136),0))</f>
        <v>0.8</v>
      </c>
      <c r="U136" s="21" t="n">
        <f aca="false">S136*(1-T136)</f>
        <v>3.24416321625944</v>
      </c>
      <c r="V136" s="21" t="n">
        <f aca="false">MAX(0,U136-InitDed)</f>
        <v>3.21916321625944</v>
      </c>
      <c r="W136" s="29" t="n">
        <f aca="false">SUMPRODUCT((V136&gt;CLo)*(V136-CLo)*CD)*(1+LocalTax)</f>
        <v>1.13109181515415</v>
      </c>
      <c r="X136" s="21" t="n">
        <f aca="false">H136+P136+W136</f>
        <v>3.71758165385919</v>
      </c>
      <c r="Y136" s="29" t="n">
        <f aca="false">(L136-G136)-H136-I136-M136-N136-P136-W136</f>
        <v>17.659989819577</v>
      </c>
      <c r="Z136" s="10" t="n">
        <f aca="false">Y136/K136</f>
        <v>0.632065526534938</v>
      </c>
      <c r="AA136" s="10" t="n">
        <f aca="false">IF(1+Z136&gt;0,(1+Z136)^(1/E136)-1,-1)</f>
        <v>0.0502042201933586</v>
      </c>
      <c r="AB136" s="21" t="n">
        <f aca="false">L136-O136-M136-W136</f>
        <v>48.3836513673991</v>
      </c>
      <c r="AC136" s="24" t="n">
        <f aca="false">AB136/K136</f>
        <v>1.73169058361046</v>
      </c>
      <c r="AD136" s="21" t="n">
        <f aca="false">K136*((1+DepRate*(1-DepTax))^E136-1)</f>
        <v>7.95841347375615</v>
      </c>
      <c r="AE136" s="21" t="n">
        <f aca="false">Y136-AD136</f>
        <v>9.70157634582083</v>
      </c>
    </row>
    <row r="137" customFormat="false" ht="15" hidden="false" customHeight="false" outlineLevel="0" collapsed="false">
      <c r="A137" s="20" t="n">
        <v>12</v>
      </c>
      <c r="B137" s="18" t="str">
        <f aca="false">INDEX(C_Name,A137)</f>
        <v>예시 행: 직접 입력 (비교 시트 제외)</v>
      </c>
      <c r="C137" s="20" t="n">
        <v>1</v>
      </c>
      <c r="D137" s="10" t="n">
        <f aca="false">CHOOSE(C137,GrowLo,GrowMid,GrowHi)</f>
        <v>0.02</v>
      </c>
      <c r="E137" s="20" t="n">
        <v>3</v>
      </c>
      <c r="F137" s="20" t="n">
        <f aca="false">MAX(0,E137-NonRes)</f>
        <v>3</v>
      </c>
      <c r="G137" s="18" t="n">
        <f aca="false">INDEX(C_Price,A137)</f>
        <v>14</v>
      </c>
      <c r="H137" s="18" t="n">
        <f aca="false">INDEX(C_Acq,A137)</f>
        <v>0.462</v>
      </c>
      <c r="I137" s="18" t="n">
        <f aca="false">INDEX(C_Fee,A137)</f>
        <v>0.1124</v>
      </c>
      <c r="J137" s="18" t="n">
        <f aca="false">INDEX(C_Loan,A137)</f>
        <v>5.6</v>
      </c>
      <c r="K137" s="21" t="n">
        <f aca="false">G137-J137+H137+I137</f>
        <v>8.9744</v>
      </c>
      <c r="L137" s="21" t="n">
        <f aca="false">G137*(1+D137)^E137</f>
        <v>14.856912</v>
      </c>
      <c r="M137" s="21" t="n">
        <f aca="false">L137*LOOKUP(L137,FeeLo,FeeR)*(1+VAT)</f>
        <v>0.0980556192</v>
      </c>
      <c r="N137" s="21" t="n">
        <f aca="false">-CUMIPMT(Rm,LoanYears*12,J137,1,E137*12,0)</f>
        <v>0.654397868058156</v>
      </c>
      <c r="O137" s="21" t="n">
        <f aca="false">J137*(1+Rm)^(E137*12)-(J137*Rm/(1-(1+Rm)^(-LoanYears*12)))*((1+Rm)^(E137*12)-1)/Rm</f>
        <v>5.2919286323998</v>
      </c>
      <c r="P137" s="29" t="n">
        <f aca="false">SUMIFS(Sch_Total,Sch_Idx,A137,Sch_Scen,C137,Sch_Year,"&lt;="&amp;E137)</f>
        <v>0.08729608608</v>
      </c>
      <c r="Q137" s="21" t="n">
        <f aca="false">H137+I137+M137</f>
        <v>0.6724556192</v>
      </c>
      <c r="R137" s="21" t="n">
        <f aca="false">L137-G137-Q137</f>
        <v>0.184456380800001</v>
      </c>
      <c r="S137" s="21" t="n">
        <f aca="false">MAX(0,IF(F137&gt;=2,IF(L137&gt;Exempt,R137*(L137-Exempt)/L137,0),R137))</f>
        <v>0.0354700659049534</v>
      </c>
      <c r="T137" s="10" t="n">
        <f aca="false">IF(F137&gt;=2,MIN(MaxDed,MIN(0.4,HoldRate*E137)+MIN(0.4,LiveRate*F137)),IF(E137&gt;=3,MIN(0.3,0.02*E137),0))</f>
        <v>0.24</v>
      </c>
      <c r="U137" s="21" t="n">
        <f aca="false">S137*(1-T137)</f>
        <v>0.0269572500877646</v>
      </c>
      <c r="V137" s="21" t="n">
        <f aca="false">MAX(0,U137-InitDed)</f>
        <v>0.00195725008776459</v>
      </c>
      <c r="W137" s="29" t="n">
        <f aca="false">SUMPRODUCT((V137&gt;CLo)*(V137-CLo)*CD)*(1+LocalTax)</f>
        <v>0.000129178505792463</v>
      </c>
      <c r="X137" s="21" t="n">
        <f aca="false">H137+P137+W137</f>
        <v>0.549425264585792</v>
      </c>
      <c r="Y137" s="29" t="n">
        <f aca="false">(L137-G137)-H137-I137-M137-N137-P137-W137</f>
        <v>-0.557366751843947</v>
      </c>
      <c r="Z137" s="10" t="n">
        <f aca="false">Y137/K137</f>
        <v>-0.0621062970052535</v>
      </c>
      <c r="AA137" s="10" t="n">
        <f aca="false">IF(1+Z137&gt;0,(1+Z137)^(1/E137)-1,-1)</f>
        <v>-0.0211461048714169</v>
      </c>
      <c r="AB137" s="21" t="n">
        <f aca="false">L137-O137-M137-W137</f>
        <v>9.46679856989441</v>
      </c>
      <c r="AC137" s="24" t="n">
        <f aca="false">AB137/K137</f>
        <v>1.05486701839615</v>
      </c>
      <c r="AD137" s="21" t="n">
        <f aca="false">K137*((1+DepRate*(1-DepTax))^E137-1)</f>
        <v>0.700799961455274</v>
      </c>
      <c r="AE137" s="21" t="n">
        <f aca="false">Y137-AD137</f>
        <v>-1.25816671329922</v>
      </c>
    </row>
    <row r="138" customFormat="false" ht="15" hidden="false" customHeight="false" outlineLevel="0" collapsed="false">
      <c r="A138" s="20" t="n">
        <v>12</v>
      </c>
      <c r="B138" s="18" t="str">
        <f aca="false">INDEX(C_Name,A138)</f>
        <v>예시 행: 직접 입력 (비교 시트 제외)</v>
      </c>
      <c r="C138" s="20" t="n">
        <v>1</v>
      </c>
      <c r="D138" s="10" t="n">
        <f aca="false">CHOOSE(C138,GrowLo,GrowMid,GrowHi)</f>
        <v>0.02</v>
      </c>
      <c r="E138" s="20" t="n">
        <v>5</v>
      </c>
      <c r="F138" s="20" t="n">
        <f aca="false">MAX(0,E138-NonRes)</f>
        <v>5</v>
      </c>
      <c r="G138" s="18" t="n">
        <f aca="false">INDEX(C_Price,A138)</f>
        <v>14</v>
      </c>
      <c r="H138" s="18" t="n">
        <f aca="false">INDEX(C_Acq,A138)</f>
        <v>0.462</v>
      </c>
      <c r="I138" s="18" t="n">
        <f aca="false">INDEX(C_Fee,A138)</f>
        <v>0.1124</v>
      </c>
      <c r="J138" s="18" t="n">
        <f aca="false">INDEX(C_Loan,A138)</f>
        <v>5.6</v>
      </c>
      <c r="K138" s="21" t="n">
        <f aca="false">G138-J138+H138+I138</f>
        <v>8.9744</v>
      </c>
      <c r="L138" s="21" t="n">
        <f aca="false">G138*(1+D138)^E138</f>
        <v>15.4571312448</v>
      </c>
      <c r="M138" s="21" t="n">
        <f aca="false">L138*LOOKUP(L138,FeeLo,FeeR)*(1+VAT)</f>
        <v>0.11901991058496</v>
      </c>
      <c r="N138" s="21" t="n">
        <f aca="false">-CUMIPMT(Rm,LoanYears*12,J138,1,E138*12,0)</f>
        <v>1.06917612838504</v>
      </c>
      <c r="O138" s="21" t="n">
        <f aca="false">J138*(1+Rm)^(E138*12)-(J138*Rm/(1-(1+Rm)^(-LoanYears*12)))*((1+Rm)^(E138*12)-1)/Rm</f>
        <v>5.0650607356211</v>
      </c>
      <c r="P138" s="29" t="n">
        <f aca="false">SUMIFS(Sch_Total,Sch_Idx,A138,Sch_Scen,C138,Sch_Year,"&lt;="&amp;E138)</f>
        <v>0.149208223957632</v>
      </c>
      <c r="Q138" s="21" t="n">
        <f aca="false">H138+I138+M138</f>
        <v>0.69341991058496</v>
      </c>
      <c r="R138" s="21" t="n">
        <f aca="false">L138-G138-Q138</f>
        <v>0.763711334215039</v>
      </c>
      <c r="S138" s="21" t="n">
        <f aca="false">MAX(0,IF(F138&gt;=2,IF(L138&gt;Exempt,R138*(L138-Exempt)/L138,0),R138))</f>
        <v>0.170811146888005</v>
      </c>
      <c r="T138" s="10" t="n">
        <f aca="false">IF(F138&gt;=2,MIN(MaxDed,MIN(0.4,HoldRate*E138)+MIN(0.4,LiveRate*F138)),IF(E138&gt;=3,MIN(0.3,0.02*E138),0))</f>
        <v>0.4</v>
      </c>
      <c r="U138" s="21" t="n">
        <f aca="false">S138*(1-T138)</f>
        <v>0.102486688132803</v>
      </c>
      <c r="V138" s="21" t="n">
        <f aca="false">MAX(0,U138-InitDed)</f>
        <v>0.0774866881328031</v>
      </c>
      <c r="W138" s="29" t="n">
        <f aca="false">SUMPRODUCT((V138&gt;CLo)*(V138-CLo)*CD)*(1+LocalTax)</f>
        <v>0.00511412141676501</v>
      </c>
      <c r="X138" s="21" t="n">
        <f aca="false">H138+P138+W138</f>
        <v>0.616322345374397</v>
      </c>
      <c r="Y138" s="29" t="n">
        <f aca="false">(L138-G138)-H138-I138-M138-N138-P138-W138</f>
        <v>-0.459787139544394</v>
      </c>
      <c r="Z138" s="10" t="n">
        <f aca="false">Y138/K138</f>
        <v>-0.0512331899117929</v>
      </c>
      <c r="AA138" s="10" t="n">
        <f aca="false">IF(1+Z138&gt;0,(1+Z138)^(1/E138)-1,-1)</f>
        <v>-0.0104633210464981</v>
      </c>
      <c r="AB138" s="21" t="n">
        <f aca="false">L138-O138-M138-W138</f>
        <v>10.2679364771772</v>
      </c>
      <c r="AC138" s="24" t="n">
        <f aca="false">AB138/K138</f>
        <v>1.14413626283397</v>
      </c>
      <c r="AD138" s="21" t="n">
        <f aca="false">K138*((1+DepRate*(1-DepTax))^E138-1)</f>
        <v>1.19814533737279</v>
      </c>
      <c r="AE138" s="21" t="n">
        <f aca="false">Y138-AD138</f>
        <v>-1.65793247691719</v>
      </c>
    </row>
    <row r="139" customFormat="false" ht="15" hidden="false" customHeight="false" outlineLevel="0" collapsed="false">
      <c r="A139" s="20" t="n">
        <v>12</v>
      </c>
      <c r="B139" s="18" t="str">
        <f aca="false">INDEX(C_Name,A139)</f>
        <v>예시 행: 직접 입력 (비교 시트 제외)</v>
      </c>
      <c r="C139" s="20" t="n">
        <v>1</v>
      </c>
      <c r="D139" s="10" t="n">
        <f aca="false">CHOOSE(C139,GrowLo,GrowMid,GrowHi)</f>
        <v>0.02</v>
      </c>
      <c r="E139" s="20" t="n">
        <v>7</v>
      </c>
      <c r="F139" s="20" t="n">
        <f aca="false">MAX(0,E139-NonRes)</f>
        <v>7</v>
      </c>
      <c r="G139" s="18" t="n">
        <f aca="false">INDEX(C_Price,A139)</f>
        <v>14</v>
      </c>
      <c r="H139" s="18" t="n">
        <f aca="false">INDEX(C_Acq,A139)</f>
        <v>0.462</v>
      </c>
      <c r="I139" s="18" t="n">
        <f aca="false">INDEX(C_Fee,A139)</f>
        <v>0.1124</v>
      </c>
      <c r="J139" s="18" t="n">
        <f aca="false">INDEX(C_Loan,A139)</f>
        <v>5.6</v>
      </c>
      <c r="K139" s="21" t="n">
        <f aca="false">G139-J139+H139+I139</f>
        <v>8.9744</v>
      </c>
      <c r="L139" s="21" t="n">
        <f aca="false">G139*(1+D139)^E139</f>
        <v>16.0815993470899</v>
      </c>
      <c r="M139" s="21" t="n">
        <f aca="false">L139*LOOKUP(L139,FeeLo,FeeR)*(1+VAT)</f>
        <v>0.123828314972592</v>
      </c>
      <c r="N139" s="21" t="n">
        <f aca="false">-CUMIPMT(Rm,LoanYears*12,J139,1,E139*12,0)</f>
        <v>1.46509192043554</v>
      </c>
      <c r="O139" s="21" t="n">
        <f aca="false">J139*(1+Rm)^(E139*12)-(J139*Rm/(1-(1+Rm)^(-LoanYears*12)))*((1+Rm)^(E139*12)-1)/Rm</f>
        <v>4.81933037056604</v>
      </c>
      <c r="P139" s="29" t="n">
        <f aca="false">SUMIFS(Sch_Total,Sch_Idx,A139,Sch_Scen,C139,Sch_Year,"&lt;="&amp;E139)</f>
        <v>0.21423246020552</v>
      </c>
      <c r="Q139" s="21" t="n">
        <f aca="false">H139+I139+M139</f>
        <v>0.698228314972592</v>
      </c>
      <c r="R139" s="21" t="n">
        <f aca="false">L139-G139-Q139</f>
        <v>1.38337103211733</v>
      </c>
      <c r="S139" s="21" t="n">
        <f aca="false">MAX(0,IF(F139&gt;=2,IF(L139&gt;Exempt,R139*(L139-Exempt)/L139,0),R139))</f>
        <v>0.351107261137863</v>
      </c>
      <c r="T139" s="10" t="n">
        <f aca="false">IF(F139&gt;=2,MIN(MaxDed,MIN(0.4,HoldRate*E139)+MIN(0.4,LiveRate*F139)),IF(E139&gt;=3,MIN(0.3,0.02*E139),0))</f>
        <v>0.56</v>
      </c>
      <c r="U139" s="21" t="n">
        <f aca="false">S139*(1-T139)</f>
        <v>0.15448719490066</v>
      </c>
      <c r="V139" s="21" t="n">
        <f aca="false">MAX(0,U139-InitDed)</f>
        <v>0.12948719490066</v>
      </c>
      <c r="W139" s="29" t="n">
        <f aca="false">SUMPRODUCT((V139&gt;CLo)*(V139-CLo)*CD)*(1+LocalTax)</f>
        <v>0.00854615486344355</v>
      </c>
      <c r="X139" s="21" t="n">
        <f aca="false">H139+P139+W139</f>
        <v>0.684778615068964</v>
      </c>
      <c r="Y139" s="29" t="n">
        <f aca="false">(L139-G139)-H139-I139-M139-N139-P139-W139</f>
        <v>-0.304499503387179</v>
      </c>
      <c r="Z139" s="10" t="n">
        <f aca="false">Y139/K139</f>
        <v>-0.0339297895555334</v>
      </c>
      <c r="AA139" s="10" t="n">
        <f aca="false">IF(1+Z139&gt;0,(1+Z139)^(1/E139)-1,-1)</f>
        <v>-0.00491911359262354</v>
      </c>
      <c r="AB139" s="21" t="n">
        <f aca="false">L139-O139-M139-W139</f>
        <v>11.1298945066879</v>
      </c>
      <c r="AC139" s="24" t="n">
        <f aca="false">AB139/K139</f>
        <v>1.24018257562487</v>
      </c>
      <c r="AD139" s="21" t="n">
        <f aca="false">K139*((1+DepRate*(1-DepTax))^E139-1)</f>
        <v>1.72105632681065</v>
      </c>
      <c r="AE139" s="21" t="n">
        <f aca="false">Y139-AD139</f>
        <v>-2.02555583019783</v>
      </c>
    </row>
    <row r="140" customFormat="false" ht="15" hidden="false" customHeight="false" outlineLevel="0" collapsed="false">
      <c r="A140" s="20" t="n">
        <v>12</v>
      </c>
      <c r="B140" s="18" t="str">
        <f aca="false">INDEX(C_Name,A140)</f>
        <v>예시 행: 직접 입력 (비교 시트 제외)</v>
      </c>
      <c r="C140" s="20" t="n">
        <v>1</v>
      </c>
      <c r="D140" s="10" t="n">
        <f aca="false">CHOOSE(C140,GrowLo,GrowMid,GrowHi)</f>
        <v>0.02</v>
      </c>
      <c r="E140" s="20" t="n">
        <v>10</v>
      </c>
      <c r="F140" s="20" t="n">
        <f aca="false">MAX(0,E140-NonRes)</f>
        <v>10</v>
      </c>
      <c r="G140" s="18" t="n">
        <f aca="false">INDEX(C_Price,A140)</f>
        <v>14</v>
      </c>
      <c r="H140" s="18" t="n">
        <f aca="false">INDEX(C_Acq,A140)</f>
        <v>0.462</v>
      </c>
      <c r="I140" s="18" t="n">
        <f aca="false">INDEX(C_Fee,A140)</f>
        <v>0.1124</v>
      </c>
      <c r="J140" s="18" t="n">
        <f aca="false">INDEX(C_Loan,A140)</f>
        <v>5.6</v>
      </c>
      <c r="K140" s="21" t="n">
        <f aca="false">G140-J140+H140+I140</f>
        <v>8.9744</v>
      </c>
      <c r="L140" s="21" t="n">
        <f aca="false">G140*(1+D140)^E140</f>
        <v>17.0659218799266</v>
      </c>
      <c r="M140" s="21" t="n">
        <f aca="false">L140*LOOKUP(L140,FeeLo,FeeR)*(1+VAT)</f>
        <v>0.131407598475435</v>
      </c>
      <c r="N140" s="21" t="n">
        <f aca="false">-CUMIPMT(Rm,LoanYears*12,J140,1,E140*12,0)</f>
        <v>2.02013250137643</v>
      </c>
      <c r="O140" s="21" t="n">
        <f aca="false">J140*(1+Rm)^(E140*12)-(J140*Rm/(1-(1+Rm)^(-LoanYears*12)))*((1+Rm)^(E140*12)-1)/Rm</f>
        <v>4.41190171584856</v>
      </c>
      <c r="P140" s="29" t="n">
        <f aca="false">SUMIFS(Sch_Total,Sch_Idx,A140,Sch_Scen,C140,Sch_Year,"&lt;="&amp;E140)</f>
        <v>0.31788041406978</v>
      </c>
      <c r="Q140" s="21" t="n">
        <f aca="false">H140+I140+M140</f>
        <v>0.705807598475435</v>
      </c>
      <c r="R140" s="21" t="n">
        <f aca="false">L140-G140-Q140</f>
        <v>2.36011428145117</v>
      </c>
      <c r="S140" s="21" t="n">
        <f aca="false">MAX(0,IF(F140&gt;=2,IF(L140&gt;Exempt,R140*(L140-Exempt)/L140,0),R140))</f>
        <v>0.700586505765849</v>
      </c>
      <c r="T140" s="10" t="n">
        <f aca="false">IF(F140&gt;=2,MIN(MaxDed,MIN(0.4,HoldRate*E140)+MIN(0.4,LiveRate*F140)),IF(E140&gt;=3,MIN(0.3,0.02*E140),0))</f>
        <v>0.8</v>
      </c>
      <c r="U140" s="21" t="n">
        <f aca="false">S140*(1-T140)</f>
        <v>0.14011730115317</v>
      </c>
      <c r="V140" s="21" t="n">
        <f aca="false">MAX(0,U140-InitDed)</f>
        <v>0.11511730115317</v>
      </c>
      <c r="W140" s="29" t="n">
        <f aca="false">SUMPRODUCT((V140&gt;CLo)*(V140-CLo)*CD)*(1+LocalTax)</f>
        <v>0.0075977418761092</v>
      </c>
      <c r="X140" s="21" t="n">
        <f aca="false">H140+P140+W140</f>
        <v>0.787478155945889</v>
      </c>
      <c r="Y140" s="29" t="n">
        <f aca="false">(L140-G140)-H140-I140-M140-N140-P140-W140</f>
        <v>0.0145036241288477</v>
      </c>
      <c r="Z140" s="10" t="n">
        <f aca="false">Y140/K140</f>
        <v>0.00161611072927969</v>
      </c>
      <c r="AA140" s="10" t="n">
        <f aca="false">IF(1+Z140&gt;0,(1+Z140)^(1/E140)-1,-1)</f>
        <v>0.00016149366146001</v>
      </c>
      <c r="AB140" s="21" t="n">
        <f aca="false">L140-O140-M140-W140</f>
        <v>12.5150148237265</v>
      </c>
      <c r="AC140" s="24" t="n">
        <f aca="false">AB140/K140</f>
        <v>1.39452384824908</v>
      </c>
      <c r="AD140" s="21" t="n">
        <f aca="false">K140*((1+DepRate*(1-DepTax))^E140-1)</f>
        <v>2.5562514798655</v>
      </c>
      <c r="AE140" s="21" t="n">
        <f aca="false">Y140-AD140</f>
        <v>-2.54174785573666</v>
      </c>
    </row>
    <row r="141" customFormat="false" ht="15" hidden="false" customHeight="false" outlineLevel="0" collapsed="false">
      <c r="A141" s="20" t="n">
        <v>12</v>
      </c>
      <c r="B141" s="18" t="str">
        <f aca="false">INDEX(C_Name,A141)</f>
        <v>예시 행: 직접 입력 (비교 시트 제외)</v>
      </c>
      <c r="C141" s="20" t="n">
        <v>2</v>
      </c>
      <c r="D141" s="10" t="n">
        <f aca="false">CHOOSE(C141,GrowLo,GrowMid,GrowHi)</f>
        <v>0.04</v>
      </c>
      <c r="E141" s="20" t="n">
        <v>3</v>
      </c>
      <c r="F141" s="20" t="n">
        <f aca="false">MAX(0,E141-NonRes)</f>
        <v>3</v>
      </c>
      <c r="G141" s="18" t="n">
        <f aca="false">INDEX(C_Price,A141)</f>
        <v>14</v>
      </c>
      <c r="H141" s="18" t="n">
        <f aca="false">INDEX(C_Acq,A141)</f>
        <v>0.462</v>
      </c>
      <c r="I141" s="18" t="n">
        <f aca="false">INDEX(C_Fee,A141)</f>
        <v>0.1124</v>
      </c>
      <c r="J141" s="18" t="n">
        <f aca="false">INDEX(C_Loan,A141)</f>
        <v>5.6</v>
      </c>
      <c r="K141" s="21" t="n">
        <f aca="false">G141-J141+H141+I141</f>
        <v>8.9744</v>
      </c>
      <c r="L141" s="21" t="n">
        <f aca="false">G141*(1+D141)^E141</f>
        <v>15.748096</v>
      </c>
      <c r="M141" s="21" t="n">
        <f aca="false">L141*LOOKUP(L141,FeeLo,FeeR)*(1+VAT)</f>
        <v>0.1212603392</v>
      </c>
      <c r="N141" s="21" t="n">
        <f aca="false">-CUMIPMT(Rm,LoanYears*12,J141,1,E141*12,0)</f>
        <v>0.654397868058156</v>
      </c>
      <c r="O141" s="21" t="n">
        <f aca="false">J141*(1+Rm)^(E141*12)-(J141*Rm/(1-(1+Rm)^(-LoanYears*12)))*((1+Rm)^(E141*12)-1)/Rm</f>
        <v>5.2919286323998</v>
      </c>
      <c r="P141" s="29" t="n">
        <f aca="false">SUMIFS(Sch_Total,Sch_Idx,A141,Sch_Scen,C141,Sch_Year,"&lt;="&amp;E141)</f>
        <v>0.08949532032</v>
      </c>
      <c r="Q141" s="21" t="n">
        <f aca="false">H141+I141+M141</f>
        <v>0.6956603392</v>
      </c>
      <c r="R141" s="21" t="n">
        <f aca="false">L141-G141-Q141</f>
        <v>1.0524356608</v>
      </c>
      <c r="S141" s="21" t="n">
        <f aca="false">MAX(0,IF(F141&gt;=2,IF(L141&gt;Exempt,R141*(L141-Exempt)/L141,0),R141))</f>
        <v>0.250482972068613</v>
      </c>
      <c r="T141" s="10" t="n">
        <f aca="false">IF(F141&gt;=2,MIN(MaxDed,MIN(0.4,HoldRate*E141)+MIN(0.4,LiveRate*F141)),IF(E141&gt;=3,MIN(0.3,0.02*E141),0))</f>
        <v>0.24</v>
      </c>
      <c r="U141" s="21" t="n">
        <f aca="false">S141*(1-T141)</f>
        <v>0.190367058772146</v>
      </c>
      <c r="V141" s="21" t="n">
        <f aca="false">MAX(0,U141-InitDed)</f>
        <v>0.165367058772146</v>
      </c>
      <c r="W141" s="29" t="n">
        <f aca="false">SUMPRODUCT((V141&gt;CLo)*(V141-CLo)*CD)*(1+LocalTax)</f>
        <v>0.0134255646974041</v>
      </c>
      <c r="X141" s="21" t="n">
        <f aca="false">H141+P141+W141</f>
        <v>0.564920885017404</v>
      </c>
      <c r="Y141" s="29" t="n">
        <f aca="false">(L141-G141)-H141-I141-M141-N141-P141-W141</f>
        <v>0.29511690772444</v>
      </c>
      <c r="Z141" s="10" t="n">
        <f aca="false">Y141/K141</f>
        <v>0.0328843051039</v>
      </c>
      <c r="AA141" s="10" t="n">
        <f aca="false">IF(1+Z141&gt;0,(1+Z141)^(1/E141)-1,-1)</f>
        <v>0.0108434300688931</v>
      </c>
      <c r="AB141" s="21" t="n">
        <f aca="false">L141-O141-M141-W141</f>
        <v>10.3214814637028</v>
      </c>
      <c r="AC141" s="24" t="n">
        <f aca="false">AB141/K141</f>
        <v>1.15010267691465</v>
      </c>
      <c r="AD141" s="21" t="n">
        <f aca="false">K141*((1+DepRate*(1-DepTax))^E141-1)</f>
        <v>0.700799961455274</v>
      </c>
      <c r="AE141" s="21" t="n">
        <f aca="false">Y141-AD141</f>
        <v>-0.405683053730834</v>
      </c>
    </row>
    <row r="142" customFormat="false" ht="15" hidden="false" customHeight="false" outlineLevel="0" collapsed="false">
      <c r="A142" s="20" t="n">
        <v>12</v>
      </c>
      <c r="B142" s="18" t="str">
        <f aca="false">INDEX(C_Name,A142)</f>
        <v>예시 행: 직접 입력 (비교 시트 제외)</v>
      </c>
      <c r="C142" s="20" t="n">
        <v>2</v>
      </c>
      <c r="D142" s="10" t="n">
        <f aca="false">CHOOSE(C142,GrowLo,GrowMid,GrowHi)</f>
        <v>0.04</v>
      </c>
      <c r="E142" s="20" t="n">
        <v>5</v>
      </c>
      <c r="F142" s="20" t="n">
        <f aca="false">MAX(0,E142-NonRes)</f>
        <v>5</v>
      </c>
      <c r="G142" s="18" t="n">
        <f aca="false">INDEX(C_Price,A142)</f>
        <v>14</v>
      </c>
      <c r="H142" s="18" t="n">
        <f aca="false">INDEX(C_Acq,A142)</f>
        <v>0.462</v>
      </c>
      <c r="I142" s="18" t="n">
        <f aca="false">INDEX(C_Fee,A142)</f>
        <v>0.1124</v>
      </c>
      <c r="J142" s="18" t="n">
        <f aca="false">INDEX(C_Loan,A142)</f>
        <v>5.6</v>
      </c>
      <c r="K142" s="21" t="n">
        <f aca="false">G142-J142+H142+I142</f>
        <v>8.9744</v>
      </c>
      <c r="L142" s="21" t="n">
        <f aca="false">G142*(1+D142)^E142</f>
        <v>17.0331406336</v>
      </c>
      <c r="M142" s="21" t="n">
        <f aca="false">L142*LOOKUP(L142,FeeLo,FeeR)*(1+VAT)</f>
        <v>0.13115518287872</v>
      </c>
      <c r="N142" s="21" t="n">
        <f aca="false">-CUMIPMT(Rm,LoanYears*12,J142,1,E142*12,0)</f>
        <v>1.06917612838504</v>
      </c>
      <c r="O142" s="21" t="n">
        <f aca="false">J142*(1+Rm)^(E142*12)-(J142*Rm/(1-(1+Rm)^(-LoanYears*12)))*((1+Rm)^(E142*12)-1)/Rm</f>
        <v>5.0650607356211</v>
      </c>
      <c r="P142" s="29" t="n">
        <f aca="false">SUMIFS(Sch_Total,Sch_Idx,A142,Sch_Scen,C142,Sch_Year,"&lt;="&amp;E142)</f>
        <v>0.156836634458112</v>
      </c>
      <c r="Q142" s="21" t="n">
        <f aca="false">H142+I142+M142</f>
        <v>0.70555518287872</v>
      </c>
      <c r="R142" s="21" t="n">
        <f aca="false">L142-G142-Q142</f>
        <v>2.32758545072128</v>
      </c>
      <c r="S142" s="21" t="n">
        <f aca="false">MAX(0,IF(F142&gt;=2,IF(L142&gt;Exempt,R142*(L142-Exempt)/L142,0),R142))</f>
        <v>0.687780671938564</v>
      </c>
      <c r="T142" s="10" t="n">
        <f aca="false">IF(F142&gt;=2,MIN(MaxDed,MIN(0.4,HoldRate*E142)+MIN(0.4,LiveRate*F142)),IF(E142&gt;=3,MIN(0.3,0.02*E142),0))</f>
        <v>0.4</v>
      </c>
      <c r="U142" s="21" t="n">
        <f aca="false">S142*(1-T142)</f>
        <v>0.412668403163138</v>
      </c>
      <c r="V142" s="21" t="n">
        <f aca="false">MAX(0,U142-InitDed)</f>
        <v>0.387668403163138</v>
      </c>
      <c r="W142" s="29" t="n">
        <f aca="false">SUMPRODUCT((V142&gt;CLo)*(V142-CLo)*CD)*(1+LocalTax)</f>
        <v>0.0501052865219178</v>
      </c>
      <c r="X142" s="21" t="n">
        <f aca="false">H142+P142+W142</f>
        <v>0.66894192098003</v>
      </c>
      <c r="Y142" s="29" t="n">
        <f aca="false">(L142-G142)-H142-I142-M142-N142-P142-W142</f>
        <v>1.05146740135622</v>
      </c>
      <c r="Z142" s="10" t="n">
        <f aca="false">Y142/K142</f>
        <v>0.117162974834665</v>
      </c>
      <c r="AA142" s="10" t="n">
        <f aca="false">IF(1+Z142&gt;0,(1+Z142)^(1/E142)-1,-1)</f>
        <v>0.0224058052646403</v>
      </c>
      <c r="AB142" s="21" t="n">
        <f aca="false">L142-O142-M142-W142</f>
        <v>11.7868194285783</v>
      </c>
      <c r="AC142" s="24" t="n">
        <f aca="false">AB142/K142</f>
        <v>1.31338244657897</v>
      </c>
      <c r="AD142" s="21" t="n">
        <f aca="false">K142*((1+DepRate*(1-DepTax))^E142-1)</f>
        <v>1.19814533737279</v>
      </c>
      <c r="AE142" s="21" t="n">
        <f aca="false">Y142-AD142</f>
        <v>-0.146677936016579</v>
      </c>
    </row>
    <row r="143" customFormat="false" ht="15" hidden="false" customHeight="false" outlineLevel="0" collapsed="false">
      <c r="A143" s="20" t="n">
        <v>12</v>
      </c>
      <c r="B143" s="18" t="str">
        <f aca="false">INDEX(C_Name,A143)</f>
        <v>예시 행: 직접 입력 (비교 시트 제외)</v>
      </c>
      <c r="C143" s="20" t="n">
        <v>2</v>
      </c>
      <c r="D143" s="10" t="n">
        <f aca="false">CHOOSE(C143,GrowLo,GrowMid,GrowHi)</f>
        <v>0.04</v>
      </c>
      <c r="E143" s="20" t="n">
        <v>7</v>
      </c>
      <c r="F143" s="20" t="n">
        <f aca="false">MAX(0,E143-NonRes)</f>
        <v>7</v>
      </c>
      <c r="G143" s="18" t="n">
        <f aca="false">INDEX(C_Price,A143)</f>
        <v>14</v>
      </c>
      <c r="H143" s="18" t="n">
        <f aca="false">INDEX(C_Acq,A143)</f>
        <v>0.462</v>
      </c>
      <c r="I143" s="18" t="n">
        <f aca="false">INDEX(C_Fee,A143)</f>
        <v>0.1124</v>
      </c>
      <c r="J143" s="18" t="n">
        <f aca="false">INDEX(C_Loan,A143)</f>
        <v>5.6</v>
      </c>
      <c r="K143" s="21" t="n">
        <f aca="false">G143-J143+H143+I143</f>
        <v>8.9744</v>
      </c>
      <c r="L143" s="21" t="n">
        <f aca="false">G143*(1+D143)^E143</f>
        <v>18.4230449093018</v>
      </c>
      <c r="M143" s="21" t="n">
        <f aca="false">L143*LOOKUP(L143,FeeLo,FeeR)*(1+VAT)</f>
        <v>0.141857445801624</v>
      </c>
      <c r="N143" s="21" t="n">
        <f aca="false">-CUMIPMT(Rm,LoanYears*12,J143,1,E143*12,0)</f>
        <v>1.46509192043554</v>
      </c>
      <c r="O143" s="21" t="n">
        <f aca="false">J143*(1+Rm)^(E143*12)-(J143*Rm/(1-(1+Rm)^(-LoanYears*12)))*((1+Rm)^(E143*12)-1)/Rm</f>
        <v>4.81933037056604</v>
      </c>
      <c r="P143" s="29" t="n">
        <f aca="false">SUMIFS(Sch_Total,Sch_Idx,A143,Sch_Scen,C143,Sch_Year,"&lt;="&amp;E143)</f>
        <v>0.231709526017111</v>
      </c>
      <c r="Q143" s="21" t="n">
        <f aca="false">H143+I143+M143</f>
        <v>0.716257445801624</v>
      </c>
      <c r="R143" s="21" t="n">
        <f aca="false">L143-G143-Q143</f>
        <v>3.70678746350014</v>
      </c>
      <c r="S143" s="21" t="n">
        <f aca="false">MAX(0,IF(F143&gt;=2,IF(L143&gt;Exempt,R143*(L143-Exempt)/L143,0),R143))</f>
        <v>1.29234132927056</v>
      </c>
      <c r="T143" s="10" t="n">
        <f aca="false">IF(F143&gt;=2,MIN(MaxDed,MIN(0.4,HoldRate*E143)+MIN(0.4,LiveRate*F143)),IF(E143&gt;=3,MIN(0.3,0.02*E143),0))</f>
        <v>0.56</v>
      </c>
      <c r="U143" s="21" t="n">
        <f aca="false">S143*(1-T143)</f>
        <v>0.568630184879044</v>
      </c>
      <c r="V143" s="21" t="n">
        <f aca="false">MAX(0,U143-InitDed)</f>
        <v>0.543630184879044</v>
      </c>
      <c r="W143" s="29" t="n">
        <f aca="false">SUMPRODUCT((V143&gt;CLo)*(V143-CLo)*CD)*(1+LocalTax)</f>
        <v>0.0801583688080677</v>
      </c>
      <c r="X143" s="21" t="n">
        <f aca="false">H143+P143+W143</f>
        <v>0.773867894825179</v>
      </c>
      <c r="Y143" s="29" t="n">
        <f aca="false">(L143-G143)-H143-I143-M143-N143-P143-W143</f>
        <v>1.92982764823942</v>
      </c>
      <c r="Z143" s="10" t="n">
        <f aca="false">Y143/K143</f>
        <v>0.215036954920599</v>
      </c>
      <c r="AA143" s="10" t="n">
        <f aca="false">IF(1+Z143&gt;0,(1+Z143)^(1/E143)-1,-1)</f>
        <v>0.028215656289635</v>
      </c>
      <c r="AB143" s="21" t="n">
        <f aca="false">L143-O143-M143-W143</f>
        <v>13.381698724126</v>
      </c>
      <c r="AC143" s="24" t="n">
        <f aca="false">AB143/K143</f>
        <v>1.49109675567459</v>
      </c>
      <c r="AD143" s="21" t="n">
        <f aca="false">K143*((1+DepRate*(1-DepTax))^E143-1)</f>
        <v>1.72105632681065</v>
      </c>
      <c r="AE143" s="21" t="n">
        <f aca="false">Y143-AD143</f>
        <v>0.20877132142877</v>
      </c>
    </row>
    <row r="144" customFormat="false" ht="15" hidden="false" customHeight="false" outlineLevel="0" collapsed="false">
      <c r="A144" s="20" t="n">
        <v>12</v>
      </c>
      <c r="B144" s="18" t="str">
        <f aca="false">INDEX(C_Name,A144)</f>
        <v>예시 행: 직접 입력 (비교 시트 제외)</v>
      </c>
      <c r="C144" s="20" t="n">
        <v>2</v>
      </c>
      <c r="D144" s="10" t="n">
        <f aca="false">CHOOSE(C144,GrowLo,GrowMid,GrowHi)</f>
        <v>0.04</v>
      </c>
      <c r="E144" s="20" t="n">
        <v>10</v>
      </c>
      <c r="F144" s="20" t="n">
        <f aca="false">MAX(0,E144-NonRes)</f>
        <v>10</v>
      </c>
      <c r="G144" s="18" t="n">
        <f aca="false">INDEX(C_Price,A144)</f>
        <v>14</v>
      </c>
      <c r="H144" s="18" t="n">
        <f aca="false">INDEX(C_Acq,A144)</f>
        <v>0.462</v>
      </c>
      <c r="I144" s="18" t="n">
        <f aca="false">INDEX(C_Fee,A144)</f>
        <v>0.1124</v>
      </c>
      <c r="J144" s="18" t="n">
        <f aca="false">INDEX(C_Loan,A144)</f>
        <v>5.6</v>
      </c>
      <c r="K144" s="21" t="n">
        <f aca="false">G144-J144+H144+I144</f>
        <v>8.9744</v>
      </c>
      <c r="L144" s="21" t="n">
        <f aca="false">G144*(1+D144)^E144</f>
        <v>20.7234199888568</v>
      </c>
      <c r="M144" s="21" t="n">
        <f aca="false">L144*LOOKUP(L144,FeeLo,FeeR)*(1+VAT)</f>
        <v>0.159570333914198</v>
      </c>
      <c r="N144" s="21" t="n">
        <f aca="false">-CUMIPMT(Rm,LoanYears*12,J144,1,E144*12,0)</f>
        <v>2.02013250137643</v>
      </c>
      <c r="O144" s="21" t="n">
        <f aca="false">J144*(1+Rm)^(E144*12)-(J144*Rm/(1-(1+Rm)^(-LoanYears*12)))*((1+Rm)^(E144*12)-1)/Rm</f>
        <v>4.41190171584856</v>
      </c>
      <c r="P144" s="29" t="n">
        <f aca="false">SUMIFS(Sch_Total,Sch_Idx,A144,Sch_Scen,C144,Sch_Year,"&lt;="&amp;E144)</f>
        <v>0.369897887312528</v>
      </c>
      <c r="Q144" s="21" t="n">
        <f aca="false">H144+I144+M144</f>
        <v>0.733970333914198</v>
      </c>
      <c r="R144" s="21" t="n">
        <f aca="false">L144-G144-Q144</f>
        <v>5.98944965494262</v>
      </c>
      <c r="S144" s="21" t="n">
        <f aca="false">MAX(0,IF(F144&gt;=2,IF(L144&gt;Exempt,R144*(L144-Exempt)/L144,0),R144))</f>
        <v>2.52122887391524</v>
      </c>
      <c r="T144" s="10" t="n">
        <f aca="false">IF(F144&gt;=2,MIN(MaxDed,MIN(0.4,HoldRate*E144)+MIN(0.4,LiveRate*F144)),IF(E144&gt;=3,MIN(0.3,0.02*E144),0))</f>
        <v>0.8</v>
      </c>
      <c r="U144" s="21" t="n">
        <f aca="false">S144*(1-T144)</f>
        <v>0.504245774783048</v>
      </c>
      <c r="V144" s="21" t="n">
        <f aca="false">MAX(0,U144-InitDed)</f>
        <v>0.479245774783048</v>
      </c>
      <c r="W144" s="29" t="n">
        <f aca="false">SUMPRODUCT((V144&gt;CLo)*(V144-CLo)*CD)*(1+LocalTax)</f>
        <v>0.0652155528392029</v>
      </c>
      <c r="X144" s="21" t="n">
        <f aca="false">H144+P144+W144</f>
        <v>0.897113440151731</v>
      </c>
      <c r="Y144" s="29" t="n">
        <f aca="false">(L144-G144)-H144-I144-M144-N144-P144-W144</f>
        <v>3.53420371341446</v>
      </c>
      <c r="Z144" s="10" t="n">
        <f aca="false">Y144/K144</f>
        <v>0.39380947065146</v>
      </c>
      <c r="AA144" s="10" t="n">
        <f aca="false">IF(1+Z144&gt;0,(1+Z144)^(1/E144)-1,-1)</f>
        <v>0.0337614696526167</v>
      </c>
      <c r="AB144" s="21" t="n">
        <f aca="false">L144-O144-M144-W144</f>
        <v>16.0867323862549</v>
      </c>
      <c r="AC144" s="24" t="n">
        <f aca="false">AB144/K144</f>
        <v>1.79251341440708</v>
      </c>
      <c r="AD144" s="21" t="n">
        <f aca="false">K144*((1+DepRate*(1-DepTax))^E144-1)</f>
        <v>2.5562514798655</v>
      </c>
      <c r="AE144" s="21" t="n">
        <f aca="false">Y144-AD144</f>
        <v>0.97795223354896</v>
      </c>
    </row>
    <row r="145" customFormat="false" ht="15" hidden="false" customHeight="false" outlineLevel="0" collapsed="false">
      <c r="A145" s="20" t="n">
        <v>12</v>
      </c>
      <c r="B145" s="18" t="str">
        <f aca="false">INDEX(C_Name,A145)</f>
        <v>예시 행: 직접 입력 (비교 시트 제외)</v>
      </c>
      <c r="C145" s="20" t="n">
        <v>3</v>
      </c>
      <c r="D145" s="10" t="n">
        <f aca="false">CHOOSE(C145,GrowLo,GrowMid,GrowHi)</f>
        <v>0.06</v>
      </c>
      <c r="E145" s="20" t="n">
        <v>3</v>
      </c>
      <c r="F145" s="20" t="n">
        <f aca="false">MAX(0,E145-NonRes)</f>
        <v>3</v>
      </c>
      <c r="G145" s="18" t="n">
        <f aca="false">INDEX(C_Price,A145)</f>
        <v>14</v>
      </c>
      <c r="H145" s="18" t="n">
        <f aca="false">INDEX(C_Acq,A145)</f>
        <v>0.462</v>
      </c>
      <c r="I145" s="18" t="n">
        <f aca="false">INDEX(C_Fee,A145)</f>
        <v>0.1124</v>
      </c>
      <c r="J145" s="18" t="n">
        <f aca="false">INDEX(C_Loan,A145)</f>
        <v>5.6</v>
      </c>
      <c r="K145" s="21" t="n">
        <f aca="false">G145-J145+H145+I145</f>
        <v>8.9744</v>
      </c>
      <c r="L145" s="21" t="n">
        <f aca="false">G145*(1+D145)^E145</f>
        <v>16.674224</v>
      </c>
      <c r="M145" s="21" t="n">
        <f aca="false">L145*LOOKUP(L145,FeeLo,FeeR)*(1+VAT)</f>
        <v>0.1283915248</v>
      </c>
      <c r="N145" s="21" t="n">
        <f aca="false">-CUMIPMT(Rm,LoanYears*12,J145,1,E145*12,0)</f>
        <v>0.654397868058156</v>
      </c>
      <c r="O145" s="21" t="n">
        <f aca="false">J145*(1+Rm)^(E145*12)-(J145*Rm/(1-(1+Rm)^(-LoanYears*12)))*((1+Rm)^(E145*12)-1)/Rm</f>
        <v>5.2919286323998</v>
      </c>
      <c r="P145" s="29" t="n">
        <f aca="false">SUMIFS(Sch_Total,Sch_Idx,A145,Sch_Scen,C145,Sch_Year,"&lt;="&amp;E145)</f>
        <v>0.09172330272</v>
      </c>
      <c r="Q145" s="21" t="n">
        <f aca="false">H145+I145+M145</f>
        <v>0.7027915248</v>
      </c>
      <c r="R145" s="21" t="n">
        <f aca="false">L145-G145-Q145</f>
        <v>1.9714324752</v>
      </c>
      <c r="S145" s="21" t="n">
        <f aca="false">MAX(0,IF(F145&gt;=2,IF(L145&gt;Exempt,R145*(L145-Exempt)/L145,0),R145))</f>
        <v>0.552644428307984</v>
      </c>
      <c r="T145" s="10" t="n">
        <f aca="false">IF(F145&gt;=2,MIN(MaxDed,MIN(0.4,HoldRate*E145)+MIN(0.4,LiveRate*F145)),IF(E145&gt;=3,MIN(0.3,0.02*E145),0))</f>
        <v>0.24</v>
      </c>
      <c r="U145" s="21" t="n">
        <f aca="false">S145*(1-T145)</f>
        <v>0.420009765514068</v>
      </c>
      <c r="V145" s="21" t="n">
        <f aca="false">MAX(0,U145-InitDed)</f>
        <v>0.395009765514067</v>
      </c>
      <c r="W145" s="29" t="n">
        <f aca="false">SUMPRODUCT((V145&gt;CLo)*(V145-CLo)*CD)*(1+LocalTax)</f>
        <v>0.0513166113098211</v>
      </c>
      <c r="X145" s="21" t="n">
        <f aca="false">H145+P145+W145</f>
        <v>0.605039914029821</v>
      </c>
      <c r="Y145" s="29" t="n">
        <f aca="false">(L145-G145)-H145-I145-M145-N145-P145-W145</f>
        <v>1.17399469311203</v>
      </c>
      <c r="Z145" s="10" t="n">
        <f aca="false">Y145/K145</f>
        <v>0.13081595350241</v>
      </c>
      <c r="AA145" s="10" t="n">
        <f aca="false">IF(1+Z145&gt;0,(1+Z145)^(1/E145)-1,-1)</f>
        <v>0.0418310794087315</v>
      </c>
      <c r="AB145" s="21" t="n">
        <f aca="false">L145-O145-M145-W145</f>
        <v>11.2025872314904</v>
      </c>
      <c r="AC145" s="24" t="n">
        <f aca="false">AB145/K145</f>
        <v>1.24828258507425</v>
      </c>
      <c r="AD145" s="21" t="n">
        <f aca="false">K145*((1+DepRate*(1-DepTax))^E145-1)</f>
        <v>0.700799961455274</v>
      </c>
      <c r="AE145" s="21" t="n">
        <f aca="false">Y145-AD145</f>
        <v>0.473194731656751</v>
      </c>
    </row>
    <row r="146" customFormat="false" ht="15" hidden="false" customHeight="false" outlineLevel="0" collapsed="false">
      <c r="A146" s="20" t="n">
        <v>12</v>
      </c>
      <c r="B146" s="18" t="str">
        <f aca="false">INDEX(C_Name,A146)</f>
        <v>예시 행: 직접 입력 (비교 시트 제외)</v>
      </c>
      <c r="C146" s="20" t="n">
        <v>3</v>
      </c>
      <c r="D146" s="10" t="n">
        <f aca="false">CHOOSE(C146,GrowLo,GrowMid,GrowHi)</f>
        <v>0.06</v>
      </c>
      <c r="E146" s="20" t="n">
        <v>5</v>
      </c>
      <c r="F146" s="20" t="n">
        <f aca="false">MAX(0,E146-NonRes)</f>
        <v>5</v>
      </c>
      <c r="G146" s="18" t="n">
        <f aca="false">INDEX(C_Price,A146)</f>
        <v>14</v>
      </c>
      <c r="H146" s="18" t="n">
        <f aca="false">INDEX(C_Acq,A146)</f>
        <v>0.462</v>
      </c>
      <c r="I146" s="18" t="n">
        <f aca="false">INDEX(C_Fee,A146)</f>
        <v>0.1124</v>
      </c>
      <c r="J146" s="18" t="n">
        <f aca="false">INDEX(C_Loan,A146)</f>
        <v>5.6</v>
      </c>
      <c r="K146" s="21" t="n">
        <f aca="false">G146-J146+H146+I146</f>
        <v>8.9744</v>
      </c>
      <c r="L146" s="21" t="n">
        <f aca="false">G146*(1+D146)^E146</f>
        <v>18.7351580864</v>
      </c>
      <c r="M146" s="21" t="n">
        <f aca="false">L146*LOOKUP(L146,FeeLo,FeeR)*(1+VAT)</f>
        <v>0.14426071726528</v>
      </c>
      <c r="N146" s="21" t="n">
        <f aca="false">-CUMIPMT(Rm,LoanYears*12,J146,1,E146*12,0)</f>
        <v>1.06917612838504</v>
      </c>
      <c r="O146" s="21" t="n">
        <f aca="false">J146*(1+Rm)^(E146*12)-(J146*Rm/(1-(1+Rm)^(-LoanYears*12)))*((1+Rm)^(E146*12)-1)/Rm</f>
        <v>5.0650607356211</v>
      </c>
      <c r="P146" s="29" t="n">
        <f aca="false">SUMIFS(Sch_Total,Sch_Idx,A146,Sch_Scen,C146,Sch_Year,"&lt;="&amp;E146)</f>
        <v>0.165473961697152</v>
      </c>
      <c r="Q146" s="21" t="n">
        <f aca="false">H146+I146+M146</f>
        <v>0.71866071726528</v>
      </c>
      <c r="R146" s="21" t="n">
        <f aca="false">L146-G146-Q146</f>
        <v>4.01649736913473</v>
      </c>
      <c r="S146" s="21" t="n">
        <f aca="false">MAX(0,IF(F146&gt;=2,IF(L146&gt;Exempt,R146*(L146-Exempt)/L146,0),R146))</f>
        <v>1.44390266737963</v>
      </c>
      <c r="T146" s="10" t="n">
        <f aca="false">IF(F146&gt;=2,MIN(MaxDed,MIN(0.4,HoldRate*E146)+MIN(0.4,LiveRate*F146)),IF(E146&gt;=3,MIN(0.3,0.02*E146),0))</f>
        <v>0.4</v>
      </c>
      <c r="U146" s="21" t="n">
        <f aca="false">S146*(1-T146)</f>
        <v>0.866341600427781</v>
      </c>
      <c r="V146" s="21" t="n">
        <f aca="false">MAX(0,U146-InitDed)</f>
        <v>0.841341600427781</v>
      </c>
      <c r="W146" s="29" t="n">
        <f aca="false">SUMPRODUCT((V146&gt;CLo)*(V146-CLo)*CD)*(1+LocalTax)</f>
        <v>0.158754182512934</v>
      </c>
      <c r="X146" s="21" t="n">
        <f aca="false">H146+P146+W146</f>
        <v>0.786228144210086</v>
      </c>
      <c r="Y146" s="29" t="n">
        <f aca="false">(L146-G146)-H146-I146-M146-N146-P146-W146</f>
        <v>2.6230930965396</v>
      </c>
      <c r="Z146" s="10" t="n">
        <f aca="false">Y146/K146</f>
        <v>0.29228618030616</v>
      </c>
      <c r="AA146" s="10" t="n">
        <f aca="false">IF(1+Z146&gt;0,(1+Z146)^(1/E146)-1,-1)</f>
        <v>0.0526202970456617</v>
      </c>
      <c r="AB146" s="21" t="n">
        <f aca="false">L146-O146-M146-W146</f>
        <v>13.3670824510007</v>
      </c>
      <c r="AC146" s="24" t="n">
        <f aca="false">AB146/K146</f>
        <v>1.48946809268594</v>
      </c>
      <c r="AD146" s="21" t="n">
        <f aca="false">K146*((1+DepRate*(1-DepTax))^E146-1)</f>
        <v>1.19814533737279</v>
      </c>
      <c r="AE146" s="21" t="n">
        <f aca="false">Y146-AD146</f>
        <v>1.42494775916681</v>
      </c>
    </row>
    <row r="147" customFormat="false" ht="15" hidden="false" customHeight="false" outlineLevel="0" collapsed="false">
      <c r="A147" s="20" t="n">
        <v>12</v>
      </c>
      <c r="B147" s="18" t="str">
        <f aca="false">INDEX(C_Name,A147)</f>
        <v>예시 행: 직접 입력 (비교 시트 제외)</v>
      </c>
      <c r="C147" s="20" t="n">
        <v>3</v>
      </c>
      <c r="D147" s="10" t="n">
        <f aca="false">CHOOSE(C147,GrowLo,GrowMid,GrowHi)</f>
        <v>0.06</v>
      </c>
      <c r="E147" s="20" t="n">
        <v>7</v>
      </c>
      <c r="F147" s="20" t="n">
        <f aca="false">MAX(0,E147-NonRes)</f>
        <v>7</v>
      </c>
      <c r="G147" s="18" t="n">
        <f aca="false">INDEX(C_Price,A147)</f>
        <v>14</v>
      </c>
      <c r="H147" s="18" t="n">
        <f aca="false">INDEX(C_Acq,A147)</f>
        <v>0.462</v>
      </c>
      <c r="I147" s="18" t="n">
        <f aca="false">INDEX(C_Fee,A147)</f>
        <v>0.1124</v>
      </c>
      <c r="J147" s="18" t="n">
        <f aca="false">INDEX(C_Loan,A147)</f>
        <v>5.6</v>
      </c>
      <c r="K147" s="21" t="n">
        <f aca="false">G147-J147+H147+I147</f>
        <v>8.9744</v>
      </c>
      <c r="L147" s="21" t="n">
        <f aca="false">G147*(1+D147)^E147</f>
        <v>21.050823625879</v>
      </c>
      <c r="M147" s="21" t="n">
        <f aca="false">L147*LOOKUP(L147,FeeLo,FeeR)*(1+VAT)</f>
        <v>0.162091341919269</v>
      </c>
      <c r="N147" s="21" t="n">
        <f aca="false">-CUMIPMT(Rm,LoanYears*12,J147,1,E147*12,0)</f>
        <v>1.46509192043554</v>
      </c>
      <c r="O147" s="21" t="n">
        <f aca="false">J147*(1+Rm)^(E147*12)-(J147*Rm/(1-(1+Rm)^(-LoanYears*12)))*((1+Rm)^(E147*12)-1)/Rm</f>
        <v>4.81933037056604</v>
      </c>
      <c r="P147" s="29" t="n">
        <f aca="false">SUMIFS(Sch_Total,Sch_Idx,A147,Sch_Scen,C147,Sch_Year,"&lt;="&amp;E147)</f>
        <v>0.258886686810498</v>
      </c>
      <c r="Q147" s="21" t="n">
        <f aca="false">H147+I147+M147</f>
        <v>0.736491341919269</v>
      </c>
      <c r="R147" s="21" t="n">
        <f aca="false">L147-G147-Q147</f>
        <v>6.31433228395978</v>
      </c>
      <c r="S147" s="21" t="n">
        <f aca="false">MAX(0,IF(F147&gt;=2,IF(L147&gt;Exempt,R147*(L147-Exempt)/L147,0),R147))</f>
        <v>2.71485376691182</v>
      </c>
      <c r="T147" s="10" t="n">
        <f aca="false">IF(F147&gt;=2,MIN(MaxDed,MIN(0.4,HoldRate*E147)+MIN(0.4,LiveRate*F147)),IF(E147&gt;=3,MIN(0.3,0.02*E147),0))</f>
        <v>0.56</v>
      </c>
      <c r="U147" s="21" t="n">
        <f aca="false">S147*(1-T147)</f>
        <v>1.1945356574412</v>
      </c>
      <c r="V147" s="21" t="n">
        <f aca="false">MAX(0,U147-InitDed)</f>
        <v>1.1695356574412</v>
      </c>
      <c r="W147" s="29" t="n">
        <f aca="false">SUMPRODUCT((V147&gt;CLo)*(V147-CLo)*CD)*(1+LocalTax)</f>
        <v>0.280431228114862</v>
      </c>
      <c r="X147" s="21" t="n">
        <f aca="false">H147+P147+W147</f>
        <v>1.00131791492536</v>
      </c>
      <c r="Y147" s="29" t="n">
        <f aca="false">(L147-G147)-H147-I147-M147-N147-P147-W147</f>
        <v>4.30992244859888</v>
      </c>
      <c r="Z147" s="10" t="n">
        <f aca="false">Y147/K147</f>
        <v>0.480246306003619</v>
      </c>
      <c r="AA147" s="10" t="n">
        <f aca="false">IF(1+Z147&gt;0,(1+Z147)^(1/E147)-1,-1)</f>
        <v>0.0576291850405251</v>
      </c>
      <c r="AB147" s="21" t="n">
        <f aca="false">L147-O147-M147-W147</f>
        <v>15.7889706852789</v>
      </c>
      <c r="AC147" s="24" t="n">
        <f aca="false">AB147/K147</f>
        <v>1.75933440511665</v>
      </c>
      <c r="AD147" s="21" t="n">
        <f aca="false">K147*((1+DepRate*(1-DepTax))^E147-1)</f>
        <v>1.72105632681065</v>
      </c>
      <c r="AE147" s="21" t="n">
        <f aca="false">Y147-AD147</f>
        <v>2.58886612178823</v>
      </c>
    </row>
    <row r="148" customFormat="false" ht="15" hidden="false" customHeight="false" outlineLevel="0" collapsed="false">
      <c r="A148" s="20" t="n">
        <v>12</v>
      </c>
      <c r="B148" s="18" t="str">
        <f aca="false">INDEX(C_Name,A148)</f>
        <v>예시 행: 직접 입력 (비교 시트 제외)</v>
      </c>
      <c r="C148" s="20" t="n">
        <v>3</v>
      </c>
      <c r="D148" s="10" t="n">
        <f aca="false">CHOOSE(C148,GrowLo,GrowMid,GrowHi)</f>
        <v>0.06</v>
      </c>
      <c r="E148" s="20" t="n">
        <v>10</v>
      </c>
      <c r="F148" s="20" t="n">
        <f aca="false">MAX(0,E148-NonRes)</f>
        <v>10</v>
      </c>
      <c r="G148" s="18" t="n">
        <f aca="false">INDEX(C_Price,A148)</f>
        <v>14</v>
      </c>
      <c r="H148" s="18" t="n">
        <f aca="false">INDEX(C_Acq,A148)</f>
        <v>0.462</v>
      </c>
      <c r="I148" s="18" t="n">
        <f aca="false">INDEX(C_Fee,A148)</f>
        <v>0.1124</v>
      </c>
      <c r="J148" s="18" t="n">
        <f aca="false">INDEX(C_Loan,A148)</f>
        <v>5.6</v>
      </c>
      <c r="K148" s="21" t="n">
        <f aca="false">G148-J148+H148+I148</f>
        <v>8.9744</v>
      </c>
      <c r="L148" s="21" t="n">
        <f aca="false">G148*(1+D148)^E148</f>
        <v>25.0718677516</v>
      </c>
      <c r="M148" s="21" t="n">
        <f aca="false">L148*LOOKUP(L148,FeeLo,FeeR)*(1+VAT)</f>
        <v>0.19305338168732</v>
      </c>
      <c r="N148" s="21" t="n">
        <f aca="false">-CUMIPMT(Rm,LoanYears*12,J148,1,E148*12,0)</f>
        <v>2.02013250137643</v>
      </c>
      <c r="O148" s="21" t="n">
        <f aca="false">J148*(1+Rm)^(E148*12)-(J148*Rm/(1-(1+Rm)^(-LoanYears*12)))*((1+Rm)^(E148*12)-1)/Rm</f>
        <v>4.41190171584856</v>
      </c>
      <c r="P148" s="29" t="n">
        <f aca="false">SUMIFS(Sch_Total,Sch_Idx,A148,Sch_Scen,C148,Sch_Year,"&lt;="&amp;E148)</f>
        <v>0.445098181313684</v>
      </c>
      <c r="Q148" s="21" t="n">
        <f aca="false">H148+I148+M148</f>
        <v>0.76745338168732</v>
      </c>
      <c r="R148" s="21" t="n">
        <f aca="false">L148-G148-Q148</f>
        <v>10.3044143699126</v>
      </c>
      <c r="S148" s="21" t="n">
        <f aca="false">MAX(0,IF(F148&gt;=2,IF(L148&gt;Exempt,R148*(L148-Exempt)/L148,0),R148))</f>
        <v>5.3724733727741</v>
      </c>
      <c r="T148" s="10" t="n">
        <f aca="false">IF(F148&gt;=2,MIN(MaxDed,MIN(0.4,HoldRate*E148)+MIN(0.4,LiveRate*F148)),IF(E148&gt;=3,MIN(0.3,0.02*E148),0))</f>
        <v>0.8</v>
      </c>
      <c r="U148" s="21" t="n">
        <f aca="false">S148*(1-T148)</f>
        <v>1.07449467455482</v>
      </c>
      <c r="V148" s="21" t="n">
        <f aca="false">MAX(0,U148-InitDed)</f>
        <v>1.04949467455482</v>
      </c>
      <c r="W148" s="29" t="n">
        <f aca="false">SUMPRODUCT((V148&gt;CLo)*(V148-CLo)*CD)*(1+LocalTax)</f>
        <v>0.234215449703605</v>
      </c>
      <c r="X148" s="21" t="n">
        <f aca="false">H148+P148+W148</f>
        <v>1.14131363101729</v>
      </c>
      <c r="Y148" s="29" t="n">
        <f aca="false">(L148-G148)-H148-I148-M148-N148-P148-W148</f>
        <v>7.60496823751893</v>
      </c>
      <c r="Z148" s="10" t="n">
        <f aca="false">Y148/K148</f>
        <v>0.847406872606406</v>
      </c>
      <c r="AA148" s="10" t="n">
        <f aca="false">IF(1+Z148&gt;0,(1+Z148)^(1/E148)-1,-1)</f>
        <v>0.063301081224717</v>
      </c>
      <c r="AB148" s="21" t="n">
        <f aca="false">L148-O148-M148-W148</f>
        <v>20.2326972043605</v>
      </c>
      <c r="AC148" s="24" t="n">
        <f aca="false">AB148/K148</f>
        <v>2.25449023938765</v>
      </c>
      <c r="AD148" s="21" t="n">
        <f aca="false">K148*((1+DepRate*(1-DepTax))^E148-1)</f>
        <v>2.5562514798655</v>
      </c>
      <c r="AE148" s="21" t="n">
        <f aca="false">Y148-AD148</f>
        <v>5.04871675765342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8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4" min="8" style="0" width="11"/>
    <col collapsed="false" customWidth="true" hidden="false" outlineLevel="0" max="15" min="15" style="0" width="12"/>
  </cols>
  <sheetData>
    <row r="1" customFormat="false" ht="19.4" hidden="false" customHeight="false" outlineLevel="0" collapsed="false">
      <c r="A1" s="1" t="s">
        <v>189</v>
      </c>
    </row>
    <row r="2" customFormat="false" ht="15" hidden="false" customHeight="false" outlineLevel="0" collapsed="false">
      <c r="A2" s="11" t="s">
        <v>190</v>
      </c>
    </row>
    <row r="4" customFormat="false" ht="42" hidden="false" customHeight="true" outlineLevel="0" collapsed="false">
      <c r="A4" s="13" t="s">
        <v>57</v>
      </c>
      <c r="B4" s="13" t="s">
        <v>58</v>
      </c>
      <c r="C4" s="13" t="s">
        <v>60</v>
      </c>
      <c r="D4" s="13" t="s">
        <v>29</v>
      </c>
      <c r="E4" s="13" t="s">
        <v>191</v>
      </c>
      <c r="F4" s="13" t="s">
        <v>192</v>
      </c>
      <c r="G4" s="13" t="s">
        <v>193</v>
      </c>
      <c r="H4" s="13" t="s">
        <v>194</v>
      </c>
      <c r="I4" s="13" t="s">
        <v>195</v>
      </c>
      <c r="J4" s="13" t="s">
        <v>196</v>
      </c>
      <c r="K4" s="13" t="s">
        <v>197</v>
      </c>
      <c r="L4" s="13" t="s">
        <v>198</v>
      </c>
      <c r="M4" s="13" t="s">
        <v>199</v>
      </c>
      <c r="N4" s="13" t="s">
        <v>200</v>
      </c>
      <c r="O4" s="13" t="s">
        <v>201</v>
      </c>
    </row>
    <row r="5" customFormat="false" ht="15" hidden="false" customHeight="false" outlineLevel="0" collapsed="false">
      <c r="A5" s="20" t="n">
        <v>1</v>
      </c>
      <c r="B5" s="43" t="str">
        <f aca="false">INDEX(C_Name,A5)</f>
        <v>문래건영아파트 84㎡</v>
      </c>
      <c r="C5" s="20" t="n">
        <v>1</v>
      </c>
      <c r="D5" s="10" t="n">
        <f aca="false">CHOOSE(C5,GrowLo,GrowMid,GrowHi)</f>
        <v>0.02</v>
      </c>
      <c r="E5" s="20" t="n">
        <v>1</v>
      </c>
      <c r="F5" s="24" t="n">
        <f aca="false">INDEX(C_Price,A5)*(1+D5)^(E5-1)</f>
        <v>13.9</v>
      </c>
      <c r="G5" s="24" t="n">
        <f aca="false">F5*Gongsi</f>
        <v>9.591</v>
      </c>
      <c r="H5" s="24" t="n">
        <f aca="false">G5*FairProp</f>
        <v>5.7546</v>
      </c>
      <c r="I5" s="44" t="n">
        <f aca="false">IF(G5&lt;=SpcLimit,SUMPRODUCT((H5&gt;SLo)*(H5-SLo)*SD),SUMPRODUCT((H5&gt;GLo)*(H5-GLo)*GD))</f>
        <v>0.0167184</v>
      </c>
      <c r="J5" s="44" t="n">
        <f aca="false">H5*CityRate</f>
        <v>0.00805644</v>
      </c>
      <c r="K5" s="44" t="n">
        <f aca="false">I5*EduProp</f>
        <v>0.00334368</v>
      </c>
      <c r="L5" s="24" t="n">
        <f aca="false">MAX(0,(G5-JongDeduct)*FairJong)</f>
        <v>0</v>
      </c>
      <c r="M5" s="44" t="n">
        <f aca="false">SUMPRODUCT((L5&gt;JLo)*(L5-JLo)*JD)</f>
        <v>0</v>
      </c>
      <c r="N5" s="44" t="n">
        <f aca="false">M5*NongJong</f>
        <v>0</v>
      </c>
      <c r="O5" s="45" t="n">
        <f aca="false">I5+J5+K5+M5+N5</f>
        <v>0.02811852</v>
      </c>
    </row>
    <row r="6" customFormat="false" ht="15" hidden="false" customHeight="false" outlineLevel="0" collapsed="false">
      <c r="A6" s="20" t="n">
        <v>1</v>
      </c>
      <c r="B6" s="43" t="str">
        <f aca="false">INDEX(C_Name,A6)</f>
        <v>문래건영아파트 84㎡</v>
      </c>
      <c r="C6" s="20" t="n">
        <v>1</v>
      </c>
      <c r="D6" s="10" t="n">
        <f aca="false">CHOOSE(C6,GrowLo,GrowMid,GrowHi)</f>
        <v>0.02</v>
      </c>
      <c r="E6" s="20" t="n">
        <v>2</v>
      </c>
      <c r="F6" s="24" t="n">
        <f aca="false">INDEX(C_Price,A6)*(1+D6)^(E6-1)</f>
        <v>14.178</v>
      </c>
      <c r="G6" s="24" t="n">
        <f aca="false">F6*Gongsi</f>
        <v>9.78282</v>
      </c>
      <c r="H6" s="24" t="n">
        <f aca="false">G6*FairProp</f>
        <v>5.869692</v>
      </c>
      <c r="I6" s="44" t="n">
        <f aca="false">IF(G6&lt;=SpcLimit,SUMPRODUCT((H6&gt;SLo)*(H6-SLo)*SD),SUMPRODUCT((H6&gt;GLo)*(H6-GLo)*GD))</f>
        <v>0.017178768</v>
      </c>
      <c r="J6" s="44" t="n">
        <f aca="false">H6*CityRate</f>
        <v>0.0082175688</v>
      </c>
      <c r="K6" s="44" t="n">
        <f aca="false">I6*EduProp</f>
        <v>0.0034357536</v>
      </c>
      <c r="L6" s="24" t="n">
        <f aca="false">MAX(0,(G6-JongDeduct)*FairJong)</f>
        <v>0</v>
      </c>
      <c r="M6" s="44" t="n">
        <f aca="false">SUMPRODUCT((L6&gt;JLo)*(L6-JLo)*JD)</f>
        <v>0</v>
      </c>
      <c r="N6" s="44" t="n">
        <f aca="false">M6*NongJong</f>
        <v>0</v>
      </c>
      <c r="O6" s="45" t="n">
        <f aca="false">I6+J6+K6+M6+N6</f>
        <v>0.0288320904</v>
      </c>
    </row>
    <row r="7" customFormat="false" ht="15" hidden="false" customHeight="false" outlineLevel="0" collapsed="false">
      <c r="A7" s="20" t="n">
        <v>1</v>
      </c>
      <c r="B7" s="43" t="str">
        <f aca="false">INDEX(C_Name,A7)</f>
        <v>문래건영아파트 84㎡</v>
      </c>
      <c r="C7" s="20" t="n">
        <v>1</v>
      </c>
      <c r="D7" s="10" t="n">
        <f aca="false">CHOOSE(C7,GrowLo,GrowMid,GrowHi)</f>
        <v>0.02</v>
      </c>
      <c r="E7" s="20" t="n">
        <v>3</v>
      </c>
      <c r="F7" s="24" t="n">
        <f aca="false">INDEX(C_Price,A7)*(1+D7)^(E7-1)</f>
        <v>14.46156</v>
      </c>
      <c r="G7" s="24" t="n">
        <f aca="false">F7*Gongsi</f>
        <v>9.9784764</v>
      </c>
      <c r="H7" s="24" t="n">
        <f aca="false">G7*FairProp</f>
        <v>5.98708584</v>
      </c>
      <c r="I7" s="44" t="n">
        <f aca="false">IF(G7&lt;=SpcLimit,SUMPRODUCT((H7&gt;SLo)*(H7-SLo)*SD),SUMPRODUCT((H7&gt;GLo)*(H7-GLo)*GD))</f>
        <v>0.01764834336</v>
      </c>
      <c r="J7" s="44" t="n">
        <f aca="false">H7*CityRate</f>
        <v>0.008381920176</v>
      </c>
      <c r="K7" s="44" t="n">
        <f aca="false">I7*EduProp</f>
        <v>0.003529668672</v>
      </c>
      <c r="L7" s="24" t="n">
        <f aca="false">MAX(0,(G7-JongDeduct)*FairJong)</f>
        <v>0</v>
      </c>
      <c r="M7" s="44" t="n">
        <f aca="false">SUMPRODUCT((L7&gt;JLo)*(L7-JLo)*JD)</f>
        <v>0</v>
      </c>
      <c r="N7" s="44" t="n">
        <f aca="false">M7*NongJong</f>
        <v>0</v>
      </c>
      <c r="O7" s="45" t="n">
        <f aca="false">I7+J7+K7+M7+N7</f>
        <v>0.029559932208</v>
      </c>
    </row>
    <row r="8" customFormat="false" ht="15" hidden="false" customHeight="false" outlineLevel="0" collapsed="false">
      <c r="A8" s="20" t="n">
        <v>1</v>
      </c>
      <c r="B8" s="43" t="str">
        <f aca="false">INDEX(C_Name,A8)</f>
        <v>문래건영아파트 84㎡</v>
      </c>
      <c r="C8" s="20" t="n">
        <v>1</v>
      </c>
      <c r="D8" s="10" t="n">
        <f aca="false">CHOOSE(C8,GrowLo,GrowMid,GrowHi)</f>
        <v>0.02</v>
      </c>
      <c r="E8" s="20" t="n">
        <v>4</v>
      </c>
      <c r="F8" s="24" t="n">
        <f aca="false">INDEX(C_Price,A8)*(1+D8)^(E8-1)</f>
        <v>14.7507912</v>
      </c>
      <c r="G8" s="24" t="n">
        <f aca="false">F8*Gongsi</f>
        <v>10.178045928</v>
      </c>
      <c r="H8" s="24" t="n">
        <f aca="false">G8*FairProp</f>
        <v>6.1068275568</v>
      </c>
      <c r="I8" s="44" t="n">
        <f aca="false">IF(G8&lt;=SpcLimit,SUMPRODUCT((H8&gt;SLo)*(H8-SLo)*SD),SUMPRODUCT((H8&gt;GLo)*(H8-GLo)*GD))</f>
        <v>0.0181273102272</v>
      </c>
      <c r="J8" s="44" t="n">
        <f aca="false">H8*CityRate</f>
        <v>0.00854955857952</v>
      </c>
      <c r="K8" s="44" t="n">
        <f aca="false">I8*EduProp</f>
        <v>0.00362546204544</v>
      </c>
      <c r="L8" s="24" t="n">
        <f aca="false">MAX(0,(G8-JongDeduct)*FairJong)</f>
        <v>0</v>
      </c>
      <c r="M8" s="44" t="n">
        <f aca="false">SUMPRODUCT((L8&gt;JLo)*(L8-JLo)*JD)</f>
        <v>0</v>
      </c>
      <c r="N8" s="44" t="n">
        <f aca="false">M8*NongJong</f>
        <v>0</v>
      </c>
      <c r="O8" s="45" t="n">
        <f aca="false">I8+J8+K8+M8+N8</f>
        <v>0.03030233085216</v>
      </c>
    </row>
    <row r="9" customFormat="false" ht="15" hidden="false" customHeight="false" outlineLevel="0" collapsed="false">
      <c r="A9" s="20" t="n">
        <v>1</v>
      </c>
      <c r="B9" s="43" t="str">
        <f aca="false">INDEX(C_Name,A9)</f>
        <v>문래건영아파트 84㎡</v>
      </c>
      <c r="C9" s="20" t="n">
        <v>1</v>
      </c>
      <c r="D9" s="10" t="n">
        <f aca="false">CHOOSE(C9,GrowLo,GrowMid,GrowHi)</f>
        <v>0.02</v>
      </c>
      <c r="E9" s="20" t="n">
        <v>5</v>
      </c>
      <c r="F9" s="24" t="n">
        <f aca="false">INDEX(C_Price,A9)*(1+D9)^(E9-1)</f>
        <v>15.045807024</v>
      </c>
      <c r="G9" s="24" t="n">
        <f aca="false">F9*Gongsi</f>
        <v>10.38160684656</v>
      </c>
      <c r="H9" s="24" t="n">
        <f aca="false">G9*FairProp</f>
        <v>6.228964107936</v>
      </c>
      <c r="I9" s="44" t="n">
        <f aca="false">IF(G9&lt;=SpcLimit,SUMPRODUCT((H9&gt;SLo)*(H9-SLo)*SD),SUMPRODUCT((H9&gt;GLo)*(H9-GLo)*GD))</f>
        <v>0.018615856431744</v>
      </c>
      <c r="J9" s="44" t="n">
        <f aca="false">H9*CityRate</f>
        <v>0.0087205497511104</v>
      </c>
      <c r="K9" s="44" t="n">
        <f aca="false">I9*EduProp</f>
        <v>0.0037231712863488</v>
      </c>
      <c r="L9" s="24" t="n">
        <f aca="false">MAX(0,(G9-JongDeduct)*FairJong)</f>
        <v>0</v>
      </c>
      <c r="M9" s="44" t="n">
        <f aca="false">SUMPRODUCT((L9&gt;JLo)*(L9-JLo)*JD)</f>
        <v>0</v>
      </c>
      <c r="N9" s="44" t="n">
        <f aca="false">M9*NongJong</f>
        <v>0</v>
      </c>
      <c r="O9" s="45" t="n">
        <f aca="false">I9+J9+K9+M9+N9</f>
        <v>0.0310595774692032</v>
      </c>
    </row>
    <row r="10" customFormat="false" ht="15" hidden="false" customHeight="false" outlineLevel="0" collapsed="false">
      <c r="A10" s="20" t="n">
        <v>1</v>
      </c>
      <c r="B10" s="43" t="str">
        <f aca="false">INDEX(C_Name,A10)</f>
        <v>문래건영아파트 84㎡</v>
      </c>
      <c r="C10" s="20" t="n">
        <v>1</v>
      </c>
      <c r="D10" s="10" t="n">
        <f aca="false">CHOOSE(C10,GrowLo,GrowMid,GrowHi)</f>
        <v>0.02</v>
      </c>
      <c r="E10" s="20" t="n">
        <v>6</v>
      </c>
      <c r="F10" s="24" t="n">
        <f aca="false">INDEX(C_Price,A10)*(1+D10)^(E10-1)</f>
        <v>15.34672316448</v>
      </c>
      <c r="G10" s="24" t="n">
        <f aca="false">F10*Gongsi</f>
        <v>10.5892389834912</v>
      </c>
      <c r="H10" s="24" t="n">
        <f aca="false">G10*FairProp</f>
        <v>6.35354339009472</v>
      </c>
      <c r="I10" s="44" t="n">
        <f aca="false">IF(G10&lt;=SpcLimit,SUMPRODUCT((H10&gt;SLo)*(H10-SLo)*SD),SUMPRODUCT((H10&gt;GLo)*(H10-GLo)*GD))</f>
        <v>0.0191141735603789</v>
      </c>
      <c r="J10" s="44" t="n">
        <f aca="false">H10*CityRate</f>
        <v>0.00889496074613261</v>
      </c>
      <c r="K10" s="44" t="n">
        <f aca="false">I10*EduProp</f>
        <v>0.00382283471207578</v>
      </c>
      <c r="L10" s="24" t="n">
        <f aca="false">MAX(0,(G10-JongDeduct)*FairJong)</f>
        <v>0</v>
      </c>
      <c r="M10" s="44" t="n">
        <f aca="false">SUMPRODUCT((L10&gt;JLo)*(L10-JLo)*JD)</f>
        <v>0</v>
      </c>
      <c r="N10" s="44" t="n">
        <f aca="false">M10*NongJong</f>
        <v>0</v>
      </c>
      <c r="O10" s="45" t="n">
        <f aca="false">I10+J10+K10+M10+N10</f>
        <v>0.0318319690185873</v>
      </c>
    </row>
    <row r="11" customFormat="false" ht="15" hidden="false" customHeight="false" outlineLevel="0" collapsed="false">
      <c r="A11" s="20" t="n">
        <v>1</v>
      </c>
      <c r="B11" s="43" t="str">
        <f aca="false">INDEX(C_Name,A11)</f>
        <v>문래건영아파트 84㎡</v>
      </c>
      <c r="C11" s="20" t="n">
        <v>1</v>
      </c>
      <c r="D11" s="10" t="n">
        <f aca="false">CHOOSE(C11,GrowLo,GrowMid,GrowHi)</f>
        <v>0.02</v>
      </c>
      <c r="E11" s="20" t="n">
        <v>7</v>
      </c>
      <c r="F11" s="24" t="n">
        <f aca="false">INDEX(C_Price,A11)*(1+D11)^(E11-1)</f>
        <v>15.6536576277696</v>
      </c>
      <c r="G11" s="24" t="n">
        <f aca="false">F11*Gongsi</f>
        <v>10.801023763161</v>
      </c>
      <c r="H11" s="24" t="n">
        <f aca="false">G11*FairProp</f>
        <v>6.48061425789661</v>
      </c>
      <c r="I11" s="44" t="n">
        <f aca="false">IF(G11&lt;=SpcLimit,SUMPRODUCT((H11&gt;SLo)*(H11-SLo)*SD),SUMPRODUCT((H11&gt;GLo)*(H11-GLo)*GD))</f>
        <v>0.0196224570315865</v>
      </c>
      <c r="J11" s="44" t="n">
        <f aca="false">H11*CityRate</f>
        <v>0.00907285996105526</v>
      </c>
      <c r="K11" s="44" t="n">
        <f aca="false">I11*EduProp</f>
        <v>0.00392449140631729</v>
      </c>
      <c r="L11" s="24" t="n">
        <f aca="false">MAX(0,(G11-JongDeduct)*FairJong)</f>
        <v>0</v>
      </c>
      <c r="M11" s="44" t="n">
        <f aca="false">SUMPRODUCT((L11&gt;JLo)*(L11-JLo)*JD)</f>
        <v>0</v>
      </c>
      <c r="N11" s="44" t="n">
        <f aca="false">M11*NongJong</f>
        <v>0</v>
      </c>
      <c r="O11" s="45" t="n">
        <f aca="false">I11+J11+K11+M11+N11</f>
        <v>0.032619808398959</v>
      </c>
    </row>
    <row r="12" customFormat="false" ht="15" hidden="false" customHeight="false" outlineLevel="0" collapsed="false">
      <c r="A12" s="20" t="n">
        <v>1</v>
      </c>
      <c r="B12" s="43" t="str">
        <f aca="false">INDEX(C_Name,A12)</f>
        <v>문래건영아파트 84㎡</v>
      </c>
      <c r="C12" s="20" t="n">
        <v>1</v>
      </c>
      <c r="D12" s="10" t="n">
        <f aca="false">CHOOSE(C12,GrowLo,GrowMid,GrowHi)</f>
        <v>0.02</v>
      </c>
      <c r="E12" s="20" t="n">
        <v>8</v>
      </c>
      <c r="F12" s="24" t="n">
        <f aca="false">INDEX(C_Price,A12)*(1+D12)^(E12-1)</f>
        <v>15.966730780325</v>
      </c>
      <c r="G12" s="24" t="n">
        <f aca="false">F12*Gongsi</f>
        <v>11.0170442384242</v>
      </c>
      <c r="H12" s="24" t="n">
        <f aca="false">G12*FairProp</f>
        <v>6.61022654305455</v>
      </c>
      <c r="I12" s="44" t="n">
        <f aca="false">IF(G12&lt;=SpcLimit,SUMPRODUCT((H12&gt;SLo)*(H12-SLo)*SD),SUMPRODUCT((H12&gt;GLo)*(H12-GLo)*GD))</f>
        <v>0.0201409061722182</v>
      </c>
      <c r="J12" s="44" t="n">
        <f aca="false">H12*CityRate</f>
        <v>0.00925431716027637</v>
      </c>
      <c r="K12" s="44" t="n">
        <f aca="false">I12*EduProp</f>
        <v>0.00402818123444364</v>
      </c>
      <c r="L12" s="24" t="n">
        <f aca="false">MAX(0,(G12-JongDeduct)*FairJong)</f>
        <v>0</v>
      </c>
      <c r="M12" s="44" t="n">
        <f aca="false">SUMPRODUCT((L12&gt;JLo)*(L12-JLo)*JD)</f>
        <v>0</v>
      </c>
      <c r="N12" s="44" t="n">
        <f aca="false">M12*NongJong</f>
        <v>0</v>
      </c>
      <c r="O12" s="45" t="n">
        <f aca="false">I12+J12+K12+M12+N12</f>
        <v>0.0334234045669382</v>
      </c>
    </row>
    <row r="13" customFormat="false" ht="15" hidden="false" customHeight="false" outlineLevel="0" collapsed="false">
      <c r="A13" s="20" t="n">
        <v>1</v>
      </c>
      <c r="B13" s="43" t="str">
        <f aca="false">INDEX(C_Name,A13)</f>
        <v>문래건영아파트 84㎡</v>
      </c>
      <c r="C13" s="20" t="n">
        <v>1</v>
      </c>
      <c r="D13" s="10" t="n">
        <f aca="false">CHOOSE(C13,GrowLo,GrowMid,GrowHi)</f>
        <v>0.02</v>
      </c>
      <c r="E13" s="20" t="n">
        <v>9</v>
      </c>
      <c r="F13" s="24" t="n">
        <f aca="false">INDEX(C_Price,A13)*(1+D13)^(E13-1)</f>
        <v>16.2860653959315</v>
      </c>
      <c r="G13" s="24" t="n">
        <f aca="false">F13*Gongsi</f>
        <v>11.2373851231927</v>
      </c>
      <c r="H13" s="24" t="n">
        <f aca="false">G13*FairProp</f>
        <v>6.74243107391564</v>
      </c>
      <c r="I13" s="44" t="n">
        <f aca="false">IF(G13&lt;=SpcLimit,SUMPRODUCT((H13&gt;SLo)*(H13-SLo)*SD),SUMPRODUCT((H13&gt;GLo)*(H13-GLo)*GD))</f>
        <v>0.0206697242956626</v>
      </c>
      <c r="J13" s="44" t="n">
        <f aca="false">H13*CityRate</f>
        <v>0.00943940350348189</v>
      </c>
      <c r="K13" s="44" t="n">
        <f aca="false">I13*EduProp</f>
        <v>0.00413394485913251</v>
      </c>
      <c r="L13" s="24" t="n">
        <f aca="false">MAX(0,(G13-JongDeduct)*FairJong)</f>
        <v>0</v>
      </c>
      <c r="M13" s="44" t="n">
        <f aca="false">SUMPRODUCT((L13&gt;JLo)*(L13-JLo)*JD)</f>
        <v>0</v>
      </c>
      <c r="N13" s="44" t="n">
        <f aca="false">M13*NongJong</f>
        <v>0</v>
      </c>
      <c r="O13" s="45" t="n">
        <f aca="false">I13+J13+K13+M13+N13</f>
        <v>0.034243072658277</v>
      </c>
    </row>
    <row r="14" customFormat="false" ht="15" hidden="false" customHeight="false" outlineLevel="0" collapsed="false">
      <c r="A14" s="20" t="n">
        <v>1</v>
      </c>
      <c r="B14" s="43" t="str">
        <f aca="false">INDEX(C_Name,A14)</f>
        <v>문래건영아파트 84㎡</v>
      </c>
      <c r="C14" s="20" t="n">
        <v>1</v>
      </c>
      <c r="D14" s="10" t="n">
        <f aca="false">CHOOSE(C14,GrowLo,GrowMid,GrowHi)</f>
        <v>0.02</v>
      </c>
      <c r="E14" s="20" t="n">
        <v>10</v>
      </c>
      <c r="F14" s="24" t="n">
        <f aca="false">INDEX(C_Price,A14)*(1+D14)^(E14-1)</f>
        <v>16.6117867038501</v>
      </c>
      <c r="G14" s="24" t="n">
        <f aca="false">F14*Gongsi</f>
        <v>11.4621328256566</v>
      </c>
      <c r="H14" s="24" t="n">
        <f aca="false">G14*FairProp</f>
        <v>6.87727969539395</v>
      </c>
      <c r="I14" s="44" t="n">
        <f aca="false">IF(G14&lt;=SpcLimit,SUMPRODUCT((H14&gt;SLo)*(H14-SLo)*SD),SUMPRODUCT((H14&gt;GLo)*(H14-GLo)*GD))</f>
        <v>0.0212091187815758</v>
      </c>
      <c r="J14" s="44" t="n">
        <f aca="false">H14*CityRate</f>
        <v>0.00962819157355153</v>
      </c>
      <c r="K14" s="44" t="n">
        <f aca="false">I14*EduProp</f>
        <v>0.00424182375631516</v>
      </c>
      <c r="L14" s="24" t="n">
        <f aca="false">MAX(0,(G14-JongDeduct)*FairJong)</f>
        <v>0</v>
      </c>
      <c r="M14" s="44" t="n">
        <f aca="false">SUMPRODUCT((L14&gt;JLo)*(L14-JLo)*JD)</f>
        <v>0</v>
      </c>
      <c r="N14" s="44" t="n">
        <f aca="false">M14*NongJong</f>
        <v>0</v>
      </c>
      <c r="O14" s="45" t="n">
        <f aca="false">I14+J14+K14+M14+N14</f>
        <v>0.0350791341114425</v>
      </c>
    </row>
    <row r="15" customFormat="false" ht="15" hidden="false" customHeight="false" outlineLevel="0" collapsed="false">
      <c r="A15" s="20" t="n">
        <v>1</v>
      </c>
      <c r="B15" s="43" t="str">
        <f aca="false">INDEX(C_Name,A15)</f>
        <v>문래건영아파트 84㎡</v>
      </c>
      <c r="C15" s="20" t="n">
        <v>2</v>
      </c>
      <c r="D15" s="10" t="n">
        <f aca="false">CHOOSE(C15,GrowLo,GrowMid,GrowHi)</f>
        <v>0.04</v>
      </c>
      <c r="E15" s="20" t="n">
        <v>1</v>
      </c>
      <c r="F15" s="24" t="n">
        <f aca="false">INDEX(C_Price,A15)*(1+D15)^(E15-1)</f>
        <v>13.9</v>
      </c>
      <c r="G15" s="24" t="n">
        <f aca="false">F15*Gongsi</f>
        <v>9.591</v>
      </c>
      <c r="H15" s="24" t="n">
        <f aca="false">G15*FairProp</f>
        <v>5.7546</v>
      </c>
      <c r="I15" s="44" t="n">
        <f aca="false">IF(G15&lt;=SpcLimit,SUMPRODUCT((H15&gt;SLo)*(H15-SLo)*SD),SUMPRODUCT((H15&gt;GLo)*(H15-GLo)*GD))</f>
        <v>0.0167184</v>
      </c>
      <c r="J15" s="44" t="n">
        <f aca="false">H15*CityRate</f>
        <v>0.00805644</v>
      </c>
      <c r="K15" s="44" t="n">
        <f aca="false">I15*EduProp</f>
        <v>0.00334368</v>
      </c>
      <c r="L15" s="24" t="n">
        <f aca="false">MAX(0,(G15-JongDeduct)*FairJong)</f>
        <v>0</v>
      </c>
      <c r="M15" s="44" t="n">
        <f aca="false">SUMPRODUCT((L15&gt;JLo)*(L15-JLo)*JD)</f>
        <v>0</v>
      </c>
      <c r="N15" s="44" t="n">
        <f aca="false">M15*NongJong</f>
        <v>0</v>
      </c>
      <c r="O15" s="45" t="n">
        <f aca="false">I15+J15+K15+M15+N15</f>
        <v>0.02811852</v>
      </c>
    </row>
    <row r="16" customFormat="false" ht="15" hidden="false" customHeight="false" outlineLevel="0" collapsed="false">
      <c r="A16" s="20" t="n">
        <v>1</v>
      </c>
      <c r="B16" s="43" t="str">
        <f aca="false">INDEX(C_Name,A16)</f>
        <v>문래건영아파트 84㎡</v>
      </c>
      <c r="C16" s="20" t="n">
        <v>2</v>
      </c>
      <c r="D16" s="10" t="n">
        <f aca="false">CHOOSE(C16,GrowLo,GrowMid,GrowHi)</f>
        <v>0.04</v>
      </c>
      <c r="E16" s="20" t="n">
        <v>2</v>
      </c>
      <c r="F16" s="24" t="n">
        <f aca="false">INDEX(C_Price,A16)*(1+D16)^(E16-1)</f>
        <v>14.456</v>
      </c>
      <c r="G16" s="24" t="n">
        <f aca="false">F16*Gongsi</f>
        <v>9.97464</v>
      </c>
      <c r="H16" s="24" t="n">
        <f aca="false">G16*FairProp</f>
        <v>5.984784</v>
      </c>
      <c r="I16" s="44" t="n">
        <f aca="false">IF(G16&lt;=SpcLimit,SUMPRODUCT((H16&gt;SLo)*(H16-SLo)*SD),SUMPRODUCT((H16&gt;GLo)*(H16-GLo)*GD))</f>
        <v>0.017639136</v>
      </c>
      <c r="J16" s="44" t="n">
        <f aca="false">H16*CityRate</f>
        <v>0.0083786976</v>
      </c>
      <c r="K16" s="44" t="n">
        <f aca="false">I16*EduProp</f>
        <v>0.0035278272</v>
      </c>
      <c r="L16" s="24" t="n">
        <f aca="false">MAX(0,(G16-JongDeduct)*FairJong)</f>
        <v>0</v>
      </c>
      <c r="M16" s="44" t="n">
        <f aca="false">SUMPRODUCT((L16&gt;JLo)*(L16-JLo)*JD)</f>
        <v>0</v>
      </c>
      <c r="N16" s="44" t="n">
        <f aca="false">M16*NongJong</f>
        <v>0</v>
      </c>
      <c r="O16" s="45" t="n">
        <f aca="false">I16+J16+K16+M16+N16</f>
        <v>0.0295456608</v>
      </c>
    </row>
    <row r="17" customFormat="false" ht="15" hidden="false" customHeight="false" outlineLevel="0" collapsed="false">
      <c r="A17" s="20" t="n">
        <v>1</v>
      </c>
      <c r="B17" s="43" t="str">
        <f aca="false">INDEX(C_Name,A17)</f>
        <v>문래건영아파트 84㎡</v>
      </c>
      <c r="C17" s="20" t="n">
        <v>2</v>
      </c>
      <c r="D17" s="10" t="n">
        <f aca="false">CHOOSE(C17,GrowLo,GrowMid,GrowHi)</f>
        <v>0.04</v>
      </c>
      <c r="E17" s="20" t="n">
        <v>3</v>
      </c>
      <c r="F17" s="24" t="n">
        <f aca="false">INDEX(C_Price,A17)*(1+D17)^(E17-1)</f>
        <v>15.03424</v>
      </c>
      <c r="G17" s="24" t="n">
        <f aca="false">F17*Gongsi</f>
        <v>10.3736256</v>
      </c>
      <c r="H17" s="24" t="n">
        <f aca="false">G17*FairProp</f>
        <v>6.22417536</v>
      </c>
      <c r="I17" s="44" t="n">
        <f aca="false">IF(G17&lt;=SpcLimit,SUMPRODUCT((H17&gt;SLo)*(H17-SLo)*SD),SUMPRODUCT((H17&gt;GLo)*(H17-GLo)*GD))</f>
        <v>0.01859670144</v>
      </c>
      <c r="J17" s="44" t="n">
        <f aca="false">H17*CityRate</f>
        <v>0.008713845504</v>
      </c>
      <c r="K17" s="44" t="n">
        <f aca="false">I17*EduProp</f>
        <v>0.003719340288</v>
      </c>
      <c r="L17" s="24" t="n">
        <f aca="false">MAX(0,(G17-JongDeduct)*FairJong)</f>
        <v>0</v>
      </c>
      <c r="M17" s="44" t="n">
        <f aca="false">SUMPRODUCT((L17&gt;JLo)*(L17-JLo)*JD)</f>
        <v>0</v>
      </c>
      <c r="N17" s="44" t="n">
        <f aca="false">M17*NongJong</f>
        <v>0</v>
      </c>
      <c r="O17" s="45" t="n">
        <f aca="false">I17+J17+K17+M17+N17</f>
        <v>0.031029887232</v>
      </c>
    </row>
    <row r="18" customFormat="false" ht="15" hidden="false" customHeight="false" outlineLevel="0" collapsed="false">
      <c r="A18" s="20" t="n">
        <v>1</v>
      </c>
      <c r="B18" s="43" t="str">
        <f aca="false">INDEX(C_Name,A18)</f>
        <v>문래건영아파트 84㎡</v>
      </c>
      <c r="C18" s="20" t="n">
        <v>2</v>
      </c>
      <c r="D18" s="10" t="n">
        <f aca="false">CHOOSE(C18,GrowLo,GrowMid,GrowHi)</f>
        <v>0.04</v>
      </c>
      <c r="E18" s="20" t="n">
        <v>4</v>
      </c>
      <c r="F18" s="24" t="n">
        <f aca="false">INDEX(C_Price,A18)*(1+D18)^(E18-1)</f>
        <v>15.6356096</v>
      </c>
      <c r="G18" s="24" t="n">
        <f aca="false">F18*Gongsi</f>
        <v>10.788570624</v>
      </c>
      <c r="H18" s="24" t="n">
        <f aca="false">G18*FairProp</f>
        <v>6.4731423744</v>
      </c>
      <c r="I18" s="44" t="n">
        <f aca="false">IF(G18&lt;=SpcLimit,SUMPRODUCT((H18&gt;SLo)*(H18-SLo)*SD),SUMPRODUCT((H18&gt;GLo)*(H18-GLo)*GD))</f>
        <v>0.0195925694976</v>
      </c>
      <c r="J18" s="44" t="n">
        <f aca="false">H18*CityRate</f>
        <v>0.00906239932416</v>
      </c>
      <c r="K18" s="44" t="n">
        <f aca="false">I18*EduProp</f>
        <v>0.00391851389952</v>
      </c>
      <c r="L18" s="24" t="n">
        <f aca="false">MAX(0,(G18-JongDeduct)*FairJong)</f>
        <v>0</v>
      </c>
      <c r="M18" s="44" t="n">
        <f aca="false">SUMPRODUCT((L18&gt;JLo)*(L18-JLo)*JD)</f>
        <v>0</v>
      </c>
      <c r="N18" s="44" t="n">
        <f aca="false">M18*NongJong</f>
        <v>0</v>
      </c>
      <c r="O18" s="45" t="n">
        <f aca="false">I18+J18+K18+M18+N18</f>
        <v>0.03257348272128</v>
      </c>
    </row>
    <row r="19" customFormat="false" ht="15" hidden="false" customHeight="false" outlineLevel="0" collapsed="false">
      <c r="A19" s="20" t="n">
        <v>1</v>
      </c>
      <c r="B19" s="43" t="str">
        <f aca="false">INDEX(C_Name,A19)</f>
        <v>문래건영아파트 84㎡</v>
      </c>
      <c r="C19" s="20" t="n">
        <v>2</v>
      </c>
      <c r="D19" s="10" t="n">
        <f aca="false">CHOOSE(C19,GrowLo,GrowMid,GrowHi)</f>
        <v>0.04</v>
      </c>
      <c r="E19" s="20" t="n">
        <v>5</v>
      </c>
      <c r="F19" s="24" t="n">
        <f aca="false">INDEX(C_Price,A19)*(1+D19)^(E19-1)</f>
        <v>16.261033984</v>
      </c>
      <c r="G19" s="24" t="n">
        <f aca="false">F19*Gongsi</f>
        <v>11.22011344896</v>
      </c>
      <c r="H19" s="24" t="n">
        <f aca="false">G19*FairProp</f>
        <v>6.732068069376</v>
      </c>
      <c r="I19" s="44" t="n">
        <f aca="false">IF(G19&lt;=SpcLimit,SUMPRODUCT((H19&gt;SLo)*(H19-SLo)*SD),SUMPRODUCT((H19&gt;GLo)*(H19-GLo)*GD))</f>
        <v>0.020628272277504</v>
      </c>
      <c r="J19" s="44" t="n">
        <f aca="false">H19*CityRate</f>
        <v>0.0094248952971264</v>
      </c>
      <c r="K19" s="44" t="n">
        <f aca="false">I19*EduProp</f>
        <v>0.0041256544555008</v>
      </c>
      <c r="L19" s="24" t="n">
        <f aca="false">MAX(0,(G19-JongDeduct)*FairJong)</f>
        <v>0</v>
      </c>
      <c r="M19" s="44" t="n">
        <f aca="false">SUMPRODUCT((L19&gt;JLo)*(L19-JLo)*JD)</f>
        <v>0</v>
      </c>
      <c r="N19" s="44" t="n">
        <f aca="false">M19*NongJong</f>
        <v>0</v>
      </c>
      <c r="O19" s="45" t="n">
        <f aca="false">I19+J19+K19+M19+N19</f>
        <v>0.0341788220301312</v>
      </c>
    </row>
    <row r="20" customFormat="false" ht="15" hidden="false" customHeight="false" outlineLevel="0" collapsed="false">
      <c r="A20" s="20" t="n">
        <v>1</v>
      </c>
      <c r="B20" s="43" t="str">
        <f aca="false">INDEX(C_Name,A20)</f>
        <v>문래건영아파트 84㎡</v>
      </c>
      <c r="C20" s="20" t="n">
        <v>2</v>
      </c>
      <c r="D20" s="10" t="n">
        <f aca="false">CHOOSE(C20,GrowLo,GrowMid,GrowHi)</f>
        <v>0.04</v>
      </c>
      <c r="E20" s="20" t="n">
        <v>6</v>
      </c>
      <c r="F20" s="24" t="n">
        <f aca="false">INDEX(C_Price,A20)*(1+D20)^(E20-1)</f>
        <v>16.91147534336</v>
      </c>
      <c r="G20" s="24" t="n">
        <f aca="false">F20*Gongsi</f>
        <v>11.6689179869184</v>
      </c>
      <c r="H20" s="24" t="n">
        <f aca="false">G20*FairProp</f>
        <v>7.00135079215104</v>
      </c>
      <c r="I20" s="44" t="n">
        <f aca="false">IF(G20&lt;=SpcLimit,SUMPRODUCT((H20&gt;SLo)*(H20-SLo)*SD),SUMPRODUCT((H20&gt;GLo)*(H20-GLo)*GD))</f>
        <v>0.0217054031686042</v>
      </c>
      <c r="J20" s="44" t="n">
        <f aca="false">H20*CityRate</f>
        <v>0.00980189110901146</v>
      </c>
      <c r="K20" s="44" t="n">
        <f aca="false">I20*EduProp</f>
        <v>0.00434108063372083</v>
      </c>
      <c r="L20" s="24" t="n">
        <f aca="false">MAX(0,(G20-JongDeduct)*FairJong)</f>
        <v>0</v>
      </c>
      <c r="M20" s="44" t="n">
        <f aca="false">SUMPRODUCT((L20&gt;JLo)*(L20-JLo)*JD)</f>
        <v>0</v>
      </c>
      <c r="N20" s="44" t="n">
        <f aca="false">M20*NongJong</f>
        <v>0</v>
      </c>
      <c r="O20" s="45" t="n">
        <f aca="false">I20+J20+K20+M20+N20</f>
        <v>0.0358483749113365</v>
      </c>
    </row>
    <row r="21" customFormat="false" ht="15" hidden="false" customHeight="false" outlineLevel="0" collapsed="false">
      <c r="A21" s="20" t="n">
        <v>1</v>
      </c>
      <c r="B21" s="43" t="str">
        <f aca="false">INDEX(C_Name,A21)</f>
        <v>문래건영아파트 84㎡</v>
      </c>
      <c r="C21" s="20" t="n">
        <v>2</v>
      </c>
      <c r="D21" s="10" t="n">
        <f aca="false">CHOOSE(C21,GrowLo,GrowMid,GrowHi)</f>
        <v>0.04</v>
      </c>
      <c r="E21" s="20" t="n">
        <v>7</v>
      </c>
      <c r="F21" s="24" t="n">
        <f aca="false">INDEX(C_Price,A21)*(1+D21)^(E21-1)</f>
        <v>17.5879343570944</v>
      </c>
      <c r="G21" s="24" t="n">
        <f aca="false">F21*Gongsi</f>
        <v>12.1356747063951</v>
      </c>
      <c r="H21" s="24" t="n">
        <f aca="false">G21*FairProp</f>
        <v>7.28140482383708</v>
      </c>
      <c r="I21" s="44" t="n">
        <f aca="false">IF(G21&lt;=SpcLimit,SUMPRODUCT((H21&gt;SLo)*(H21-SLo)*SD),SUMPRODUCT((H21&gt;GLo)*(H21-GLo)*GD))</f>
        <v>0.0228256192953483</v>
      </c>
      <c r="J21" s="44" t="n">
        <f aca="false">H21*CityRate</f>
        <v>0.0101939667533719</v>
      </c>
      <c r="K21" s="44" t="n">
        <f aca="false">I21*EduProp</f>
        <v>0.00456512385906967</v>
      </c>
      <c r="L21" s="24" t="n">
        <f aca="false">MAX(0,(G21-JongDeduct)*FairJong)</f>
        <v>0.0814048238370827</v>
      </c>
      <c r="M21" s="44" t="n">
        <f aca="false">SUMPRODUCT((L21&gt;JLo)*(L21-JLo)*JD)</f>
        <v>0.000407024119185413</v>
      </c>
      <c r="N21" s="44" t="n">
        <f aca="false">M21*NongJong</f>
        <v>8.14048238370827E-005</v>
      </c>
      <c r="O21" s="45" t="n">
        <f aca="false">I21+J21+K21+M21+N21</f>
        <v>0.0380731388508124</v>
      </c>
    </row>
    <row r="22" customFormat="false" ht="15" hidden="false" customHeight="false" outlineLevel="0" collapsed="false">
      <c r="A22" s="20" t="n">
        <v>1</v>
      </c>
      <c r="B22" s="43" t="str">
        <f aca="false">INDEX(C_Name,A22)</f>
        <v>문래건영아파트 84㎡</v>
      </c>
      <c r="C22" s="20" t="n">
        <v>2</v>
      </c>
      <c r="D22" s="10" t="n">
        <f aca="false">CHOOSE(C22,GrowLo,GrowMid,GrowHi)</f>
        <v>0.04</v>
      </c>
      <c r="E22" s="20" t="n">
        <v>8</v>
      </c>
      <c r="F22" s="24" t="n">
        <f aca="false">INDEX(C_Price,A22)*(1+D22)^(E22-1)</f>
        <v>18.2914517313782</v>
      </c>
      <c r="G22" s="24" t="n">
        <f aca="false">F22*Gongsi</f>
        <v>12.6211016946509</v>
      </c>
      <c r="H22" s="24" t="n">
        <f aca="false">G22*FairProp</f>
        <v>7.57266101679057</v>
      </c>
      <c r="I22" s="44" t="n">
        <f aca="false">IF(G22&lt;=SpcLimit,SUMPRODUCT((H22&gt;SLo)*(H22-SLo)*SD),SUMPRODUCT((H22&gt;GLo)*(H22-GLo)*GD))</f>
        <v>0.0239906440671623</v>
      </c>
      <c r="J22" s="44" t="n">
        <f aca="false">H22*CityRate</f>
        <v>0.0106017254235068</v>
      </c>
      <c r="K22" s="44" t="n">
        <f aca="false">I22*EduProp</f>
        <v>0.00479812881343245</v>
      </c>
      <c r="L22" s="24" t="n">
        <f aca="false">MAX(0,(G22-JongDeduct)*FairJong)</f>
        <v>0.372661016790567</v>
      </c>
      <c r="M22" s="44" t="n">
        <f aca="false">SUMPRODUCT((L22&gt;JLo)*(L22-JLo)*JD)</f>
        <v>0.00186330508395283</v>
      </c>
      <c r="N22" s="44" t="n">
        <f aca="false">M22*NongJong</f>
        <v>0.000372661016790567</v>
      </c>
      <c r="O22" s="45" t="n">
        <f aca="false">I22+J22+K22+M22+N22</f>
        <v>0.0416264644048449</v>
      </c>
    </row>
    <row r="23" customFormat="false" ht="15" hidden="false" customHeight="false" outlineLevel="0" collapsed="false">
      <c r="A23" s="20" t="n">
        <v>1</v>
      </c>
      <c r="B23" s="43" t="str">
        <f aca="false">INDEX(C_Name,A23)</f>
        <v>문래건영아파트 84㎡</v>
      </c>
      <c r="C23" s="20" t="n">
        <v>2</v>
      </c>
      <c r="D23" s="10" t="n">
        <f aca="false">CHOOSE(C23,GrowLo,GrowMid,GrowHi)</f>
        <v>0.04</v>
      </c>
      <c r="E23" s="20" t="n">
        <v>9</v>
      </c>
      <c r="F23" s="24" t="n">
        <f aca="false">INDEX(C_Price,A23)*(1+D23)^(E23-1)</f>
        <v>19.0231098006333</v>
      </c>
      <c r="G23" s="24" t="n">
        <f aca="false">F23*Gongsi</f>
        <v>13.125945762437</v>
      </c>
      <c r="H23" s="24" t="n">
        <f aca="false">G23*FairProp</f>
        <v>7.87556745746219</v>
      </c>
      <c r="I23" s="44" t="n">
        <f aca="false">IF(G23&lt;=SpcLimit,SUMPRODUCT((H23&gt;SLo)*(H23-SLo)*SD),SUMPRODUCT((H23&gt;GLo)*(H23-GLo)*GD))</f>
        <v>0.0252022698298488</v>
      </c>
      <c r="J23" s="44" t="n">
        <f aca="false">H23*CityRate</f>
        <v>0.0110257944404471</v>
      </c>
      <c r="K23" s="44" t="n">
        <f aca="false">I23*EduProp</f>
        <v>0.00504045396596975</v>
      </c>
      <c r="L23" s="24" t="n">
        <f aca="false">MAX(0,(G23-JongDeduct)*FairJong)</f>
        <v>0.675567457462189</v>
      </c>
      <c r="M23" s="44" t="n">
        <f aca="false">SUMPRODUCT((L23&gt;JLo)*(L23-JLo)*JD)</f>
        <v>0.00337783728731094</v>
      </c>
      <c r="N23" s="44" t="n">
        <f aca="false">M23*NongJong</f>
        <v>0.000675567457462189</v>
      </c>
      <c r="O23" s="45" t="n">
        <f aca="false">I23+J23+K23+M23+N23</f>
        <v>0.0453219229810387</v>
      </c>
    </row>
    <row r="24" customFormat="false" ht="15" hidden="false" customHeight="false" outlineLevel="0" collapsed="false">
      <c r="A24" s="20" t="n">
        <v>1</v>
      </c>
      <c r="B24" s="43" t="str">
        <f aca="false">INDEX(C_Name,A24)</f>
        <v>문래건영아파트 84㎡</v>
      </c>
      <c r="C24" s="20" t="n">
        <v>2</v>
      </c>
      <c r="D24" s="10" t="n">
        <f aca="false">CHOOSE(C24,GrowLo,GrowMid,GrowHi)</f>
        <v>0.04</v>
      </c>
      <c r="E24" s="20" t="n">
        <v>10</v>
      </c>
      <c r="F24" s="24" t="n">
        <f aca="false">INDEX(C_Price,A24)*(1+D24)^(E24-1)</f>
        <v>19.7840341926586</v>
      </c>
      <c r="G24" s="24" t="n">
        <f aca="false">F24*Gongsi</f>
        <v>13.6509835929345</v>
      </c>
      <c r="H24" s="24" t="n">
        <f aca="false">G24*FairProp</f>
        <v>8.19059015576068</v>
      </c>
      <c r="I24" s="44" t="n">
        <f aca="false">IF(G24&lt;=SpcLimit,SUMPRODUCT((H24&gt;SLo)*(H24-SLo)*SD),SUMPRODUCT((H24&gt;GLo)*(H24-GLo)*GD))</f>
        <v>0.0264623606230427</v>
      </c>
      <c r="J24" s="44" t="n">
        <f aca="false">H24*CityRate</f>
        <v>0.0114668262180649</v>
      </c>
      <c r="K24" s="44" t="n">
        <f aca="false">I24*EduProp</f>
        <v>0.00529247212460854</v>
      </c>
      <c r="L24" s="24" t="n">
        <f aca="false">MAX(0,(G24-JongDeduct)*FairJong)</f>
        <v>0.990590155760676</v>
      </c>
      <c r="M24" s="44" t="n">
        <f aca="false">SUMPRODUCT((L24&gt;JLo)*(L24-JLo)*JD)</f>
        <v>0.00495295077880338</v>
      </c>
      <c r="N24" s="44" t="n">
        <f aca="false">M24*NongJong</f>
        <v>0.000990590155760677</v>
      </c>
      <c r="O24" s="45" t="n">
        <f aca="false">I24+J24+K24+M24+N24</f>
        <v>0.0491651999002803</v>
      </c>
    </row>
    <row r="25" customFormat="false" ht="15" hidden="false" customHeight="false" outlineLevel="0" collapsed="false">
      <c r="A25" s="20" t="n">
        <v>1</v>
      </c>
      <c r="B25" s="43" t="str">
        <f aca="false">INDEX(C_Name,A25)</f>
        <v>문래건영아파트 84㎡</v>
      </c>
      <c r="C25" s="20" t="n">
        <v>3</v>
      </c>
      <c r="D25" s="10" t="n">
        <f aca="false">CHOOSE(C25,GrowLo,GrowMid,GrowHi)</f>
        <v>0.06</v>
      </c>
      <c r="E25" s="20" t="n">
        <v>1</v>
      </c>
      <c r="F25" s="24" t="n">
        <f aca="false">INDEX(C_Price,A25)*(1+D25)^(E25-1)</f>
        <v>13.9</v>
      </c>
      <c r="G25" s="24" t="n">
        <f aca="false">F25*Gongsi</f>
        <v>9.591</v>
      </c>
      <c r="H25" s="24" t="n">
        <f aca="false">G25*FairProp</f>
        <v>5.7546</v>
      </c>
      <c r="I25" s="44" t="n">
        <f aca="false">IF(G25&lt;=SpcLimit,SUMPRODUCT((H25&gt;SLo)*(H25-SLo)*SD),SUMPRODUCT((H25&gt;GLo)*(H25-GLo)*GD))</f>
        <v>0.0167184</v>
      </c>
      <c r="J25" s="44" t="n">
        <f aca="false">H25*CityRate</f>
        <v>0.00805644</v>
      </c>
      <c r="K25" s="44" t="n">
        <f aca="false">I25*EduProp</f>
        <v>0.00334368</v>
      </c>
      <c r="L25" s="24" t="n">
        <f aca="false">MAX(0,(G25-JongDeduct)*FairJong)</f>
        <v>0</v>
      </c>
      <c r="M25" s="44" t="n">
        <f aca="false">SUMPRODUCT((L25&gt;JLo)*(L25-JLo)*JD)</f>
        <v>0</v>
      </c>
      <c r="N25" s="44" t="n">
        <f aca="false">M25*NongJong</f>
        <v>0</v>
      </c>
      <c r="O25" s="45" t="n">
        <f aca="false">I25+J25+K25+M25+N25</f>
        <v>0.02811852</v>
      </c>
    </row>
    <row r="26" customFormat="false" ht="15" hidden="false" customHeight="false" outlineLevel="0" collapsed="false">
      <c r="A26" s="20" t="n">
        <v>1</v>
      </c>
      <c r="B26" s="43" t="str">
        <f aca="false">INDEX(C_Name,A26)</f>
        <v>문래건영아파트 84㎡</v>
      </c>
      <c r="C26" s="20" t="n">
        <v>3</v>
      </c>
      <c r="D26" s="10" t="n">
        <f aca="false">CHOOSE(C26,GrowLo,GrowMid,GrowHi)</f>
        <v>0.06</v>
      </c>
      <c r="E26" s="20" t="n">
        <v>2</v>
      </c>
      <c r="F26" s="24" t="n">
        <f aca="false">INDEX(C_Price,A26)*(1+D26)^(E26-1)</f>
        <v>14.734</v>
      </c>
      <c r="G26" s="24" t="n">
        <f aca="false">F26*Gongsi</f>
        <v>10.16646</v>
      </c>
      <c r="H26" s="24" t="n">
        <f aca="false">G26*FairProp</f>
        <v>6.099876</v>
      </c>
      <c r="I26" s="44" t="n">
        <f aca="false">IF(G26&lt;=SpcLimit,SUMPRODUCT((H26&gt;SLo)*(H26-SLo)*SD),SUMPRODUCT((H26&gt;GLo)*(H26-GLo)*GD))</f>
        <v>0.018099504</v>
      </c>
      <c r="J26" s="44" t="n">
        <f aca="false">H26*CityRate</f>
        <v>0.0085398264</v>
      </c>
      <c r="K26" s="44" t="n">
        <f aca="false">I26*EduProp</f>
        <v>0.0036199008</v>
      </c>
      <c r="L26" s="24" t="n">
        <f aca="false">MAX(0,(G26-JongDeduct)*FairJong)</f>
        <v>0</v>
      </c>
      <c r="M26" s="44" t="n">
        <f aca="false">SUMPRODUCT((L26&gt;JLo)*(L26-JLo)*JD)</f>
        <v>0</v>
      </c>
      <c r="N26" s="44" t="n">
        <f aca="false">M26*NongJong</f>
        <v>0</v>
      </c>
      <c r="O26" s="45" t="n">
        <f aca="false">I26+J26+K26+M26+N26</f>
        <v>0.0302592312</v>
      </c>
    </row>
    <row r="27" customFormat="false" ht="15" hidden="false" customHeight="false" outlineLevel="0" collapsed="false">
      <c r="A27" s="20" t="n">
        <v>1</v>
      </c>
      <c r="B27" s="43" t="str">
        <f aca="false">INDEX(C_Name,A27)</f>
        <v>문래건영아파트 84㎡</v>
      </c>
      <c r="C27" s="20" t="n">
        <v>3</v>
      </c>
      <c r="D27" s="10" t="n">
        <f aca="false">CHOOSE(C27,GrowLo,GrowMid,GrowHi)</f>
        <v>0.06</v>
      </c>
      <c r="E27" s="20" t="n">
        <v>3</v>
      </c>
      <c r="F27" s="24" t="n">
        <f aca="false">INDEX(C_Price,A27)*(1+D27)^(E27-1)</f>
        <v>15.61804</v>
      </c>
      <c r="G27" s="24" t="n">
        <f aca="false">F27*Gongsi</f>
        <v>10.7764476</v>
      </c>
      <c r="H27" s="24" t="n">
        <f aca="false">G27*FairProp</f>
        <v>6.46586856</v>
      </c>
      <c r="I27" s="44" t="n">
        <f aca="false">IF(G27&lt;=SpcLimit,SUMPRODUCT((H27&gt;SLo)*(H27-SLo)*SD),SUMPRODUCT((H27&gt;GLo)*(H27-GLo)*GD))</f>
        <v>0.01956347424</v>
      </c>
      <c r="J27" s="44" t="n">
        <f aca="false">H27*CityRate</f>
        <v>0.009052215984</v>
      </c>
      <c r="K27" s="44" t="n">
        <f aca="false">I27*EduProp</f>
        <v>0.003912694848</v>
      </c>
      <c r="L27" s="24" t="n">
        <f aca="false">MAX(0,(G27-JongDeduct)*FairJong)</f>
        <v>0</v>
      </c>
      <c r="M27" s="44" t="n">
        <f aca="false">SUMPRODUCT((L27&gt;JLo)*(L27-JLo)*JD)</f>
        <v>0</v>
      </c>
      <c r="N27" s="44" t="n">
        <f aca="false">M27*NongJong</f>
        <v>0</v>
      </c>
      <c r="O27" s="45" t="n">
        <f aca="false">I27+J27+K27+M27+N27</f>
        <v>0.032528385072</v>
      </c>
    </row>
    <row r="28" customFormat="false" ht="15" hidden="false" customHeight="false" outlineLevel="0" collapsed="false">
      <c r="A28" s="20" t="n">
        <v>1</v>
      </c>
      <c r="B28" s="43" t="str">
        <f aca="false">INDEX(C_Name,A28)</f>
        <v>문래건영아파트 84㎡</v>
      </c>
      <c r="C28" s="20" t="n">
        <v>3</v>
      </c>
      <c r="D28" s="10" t="n">
        <f aca="false">CHOOSE(C28,GrowLo,GrowMid,GrowHi)</f>
        <v>0.06</v>
      </c>
      <c r="E28" s="20" t="n">
        <v>4</v>
      </c>
      <c r="F28" s="24" t="n">
        <f aca="false">INDEX(C_Price,A28)*(1+D28)^(E28-1)</f>
        <v>16.5551224</v>
      </c>
      <c r="G28" s="24" t="n">
        <f aca="false">F28*Gongsi</f>
        <v>11.423034456</v>
      </c>
      <c r="H28" s="24" t="n">
        <f aca="false">G28*FairProp</f>
        <v>6.8538206736</v>
      </c>
      <c r="I28" s="44" t="n">
        <f aca="false">IF(G28&lt;=SpcLimit,SUMPRODUCT((H28&gt;SLo)*(H28-SLo)*SD),SUMPRODUCT((H28&gt;GLo)*(H28-GLo)*GD))</f>
        <v>0.0211152826944</v>
      </c>
      <c r="J28" s="44" t="n">
        <f aca="false">H28*CityRate</f>
        <v>0.00959534894304</v>
      </c>
      <c r="K28" s="44" t="n">
        <f aca="false">I28*EduProp</f>
        <v>0.00422305653888</v>
      </c>
      <c r="L28" s="24" t="n">
        <f aca="false">MAX(0,(G28-JongDeduct)*FairJong)</f>
        <v>0</v>
      </c>
      <c r="M28" s="44" t="n">
        <f aca="false">SUMPRODUCT((L28&gt;JLo)*(L28-JLo)*JD)</f>
        <v>0</v>
      </c>
      <c r="N28" s="44" t="n">
        <f aca="false">M28*NongJong</f>
        <v>0</v>
      </c>
      <c r="O28" s="45" t="n">
        <f aca="false">I28+J28+K28+M28+N28</f>
        <v>0.03493368817632</v>
      </c>
    </row>
    <row r="29" customFormat="false" ht="15" hidden="false" customHeight="false" outlineLevel="0" collapsed="false">
      <c r="A29" s="20" t="n">
        <v>1</v>
      </c>
      <c r="B29" s="43" t="str">
        <f aca="false">INDEX(C_Name,A29)</f>
        <v>문래건영아파트 84㎡</v>
      </c>
      <c r="C29" s="20" t="n">
        <v>3</v>
      </c>
      <c r="D29" s="10" t="n">
        <f aca="false">CHOOSE(C29,GrowLo,GrowMid,GrowHi)</f>
        <v>0.06</v>
      </c>
      <c r="E29" s="20" t="n">
        <v>5</v>
      </c>
      <c r="F29" s="24" t="n">
        <f aca="false">INDEX(C_Price,A29)*(1+D29)^(E29-1)</f>
        <v>17.548429744</v>
      </c>
      <c r="G29" s="24" t="n">
        <f aca="false">F29*Gongsi</f>
        <v>12.10841652336</v>
      </c>
      <c r="H29" s="24" t="n">
        <f aca="false">G29*FairProp</f>
        <v>7.265049914016</v>
      </c>
      <c r="I29" s="44" t="n">
        <f aca="false">IF(G29&lt;=SpcLimit,SUMPRODUCT((H29&gt;SLo)*(H29-SLo)*SD),SUMPRODUCT((H29&gt;GLo)*(H29-GLo)*GD))</f>
        <v>0.022760199656064</v>
      </c>
      <c r="J29" s="44" t="n">
        <f aca="false">H29*CityRate</f>
        <v>0.0101710698796224</v>
      </c>
      <c r="K29" s="44" t="n">
        <f aca="false">I29*EduProp</f>
        <v>0.0045520399312128</v>
      </c>
      <c r="L29" s="24" t="n">
        <f aca="false">MAX(0,(G29-JongDeduct)*FairJong)</f>
        <v>0.0650499140160004</v>
      </c>
      <c r="M29" s="44" t="n">
        <f aca="false">SUMPRODUCT((L29&gt;JLo)*(L29-JLo)*JD)</f>
        <v>0.000325249570080002</v>
      </c>
      <c r="N29" s="44" t="n">
        <f aca="false">M29*NongJong</f>
        <v>6.50499140160004E-005</v>
      </c>
      <c r="O29" s="45" t="n">
        <f aca="false">I29+J29+K29+M29+N29</f>
        <v>0.0378736089509952</v>
      </c>
    </row>
    <row r="30" customFormat="false" ht="15" hidden="false" customHeight="false" outlineLevel="0" collapsed="false">
      <c r="A30" s="20" t="n">
        <v>1</v>
      </c>
      <c r="B30" s="43" t="str">
        <f aca="false">INDEX(C_Name,A30)</f>
        <v>문래건영아파트 84㎡</v>
      </c>
      <c r="C30" s="20" t="n">
        <v>3</v>
      </c>
      <c r="D30" s="10" t="n">
        <f aca="false">CHOOSE(C30,GrowLo,GrowMid,GrowHi)</f>
        <v>0.06</v>
      </c>
      <c r="E30" s="20" t="n">
        <v>6</v>
      </c>
      <c r="F30" s="24" t="n">
        <f aca="false">INDEX(C_Price,A30)*(1+D30)^(E30-1)</f>
        <v>18.60133552864</v>
      </c>
      <c r="G30" s="24" t="n">
        <f aca="false">F30*Gongsi</f>
        <v>12.8349215147616</v>
      </c>
      <c r="H30" s="24" t="n">
        <f aca="false">G30*FairProp</f>
        <v>7.70095290885696</v>
      </c>
      <c r="I30" s="44" t="n">
        <f aca="false">IF(G30&lt;=SpcLimit,SUMPRODUCT((H30&gt;SLo)*(H30-SLo)*SD),SUMPRODUCT((H30&gt;GLo)*(H30-GLo)*GD))</f>
        <v>0.0245038116354278</v>
      </c>
      <c r="J30" s="44" t="n">
        <f aca="false">H30*CityRate</f>
        <v>0.0107813340723997</v>
      </c>
      <c r="K30" s="44" t="n">
        <f aca="false">I30*EduProp</f>
        <v>0.00490076232708557</v>
      </c>
      <c r="L30" s="24" t="n">
        <f aca="false">MAX(0,(G30-JongDeduct)*FairJong)</f>
        <v>0.500952908856961</v>
      </c>
      <c r="M30" s="44" t="n">
        <f aca="false">SUMPRODUCT((L30&gt;JLo)*(L30-JLo)*JD)</f>
        <v>0.00250476454428481</v>
      </c>
      <c r="N30" s="44" t="n">
        <f aca="false">M30*NongJong</f>
        <v>0.000500952908856961</v>
      </c>
      <c r="O30" s="45" t="n">
        <f aca="false">I30+J30+K30+M30+N30</f>
        <v>0.0431916254880549</v>
      </c>
    </row>
    <row r="31" customFormat="false" ht="15" hidden="false" customHeight="false" outlineLevel="0" collapsed="false">
      <c r="A31" s="20" t="n">
        <v>1</v>
      </c>
      <c r="B31" s="43" t="str">
        <f aca="false">INDEX(C_Name,A31)</f>
        <v>문래건영아파트 84㎡</v>
      </c>
      <c r="C31" s="20" t="n">
        <v>3</v>
      </c>
      <c r="D31" s="10" t="n">
        <f aca="false">CHOOSE(C31,GrowLo,GrowMid,GrowHi)</f>
        <v>0.06</v>
      </c>
      <c r="E31" s="20" t="n">
        <v>7</v>
      </c>
      <c r="F31" s="24" t="n">
        <f aca="false">INDEX(C_Price,A31)*(1+D31)^(E31-1)</f>
        <v>19.7174156603584</v>
      </c>
      <c r="G31" s="24" t="n">
        <f aca="false">F31*Gongsi</f>
        <v>13.6050168056473</v>
      </c>
      <c r="H31" s="24" t="n">
        <f aca="false">G31*FairProp</f>
        <v>8.16301008338838</v>
      </c>
      <c r="I31" s="44" t="n">
        <f aca="false">IF(G31&lt;=SpcLimit,SUMPRODUCT((H31&gt;SLo)*(H31-SLo)*SD),SUMPRODUCT((H31&gt;GLo)*(H31-GLo)*GD))</f>
        <v>0.0263520403335535</v>
      </c>
      <c r="J31" s="44" t="n">
        <f aca="false">H31*CityRate</f>
        <v>0.0114282141167437</v>
      </c>
      <c r="K31" s="44" t="n">
        <f aca="false">I31*EduProp</f>
        <v>0.0052704080667107</v>
      </c>
      <c r="L31" s="24" t="n">
        <f aca="false">MAX(0,(G31-JongDeduct)*FairJong)</f>
        <v>0.96301008338838</v>
      </c>
      <c r="M31" s="44" t="n">
        <f aca="false">SUMPRODUCT((L31&gt;JLo)*(L31-JLo)*JD)</f>
        <v>0.0048150504169419</v>
      </c>
      <c r="N31" s="44" t="n">
        <f aca="false">M31*NongJong</f>
        <v>0.00096301008338838</v>
      </c>
      <c r="O31" s="45" t="n">
        <f aca="false">I31+J31+K31+M31+N31</f>
        <v>0.0488287230173382</v>
      </c>
    </row>
    <row r="32" customFormat="false" ht="15" hidden="false" customHeight="false" outlineLevel="0" collapsed="false">
      <c r="A32" s="20" t="n">
        <v>1</v>
      </c>
      <c r="B32" s="43" t="str">
        <f aca="false">INDEX(C_Name,A32)</f>
        <v>문래건영아파트 84㎡</v>
      </c>
      <c r="C32" s="20" t="n">
        <v>3</v>
      </c>
      <c r="D32" s="10" t="n">
        <f aca="false">CHOOSE(C32,GrowLo,GrowMid,GrowHi)</f>
        <v>0.06</v>
      </c>
      <c r="E32" s="20" t="n">
        <v>8</v>
      </c>
      <c r="F32" s="24" t="n">
        <f aca="false">INDEX(C_Price,A32)*(1+D32)^(E32-1)</f>
        <v>20.9004605999799</v>
      </c>
      <c r="G32" s="24" t="n">
        <f aca="false">F32*Gongsi</f>
        <v>14.4213178139861</v>
      </c>
      <c r="H32" s="24" t="n">
        <f aca="false">G32*FairProp</f>
        <v>8.65279068839168</v>
      </c>
      <c r="I32" s="44" t="n">
        <f aca="false">IF(G32&lt;=SpcLimit,SUMPRODUCT((H32&gt;SLo)*(H32-SLo)*SD),SUMPRODUCT((H32&gt;GLo)*(H32-GLo)*GD))</f>
        <v>0.0283111627535667</v>
      </c>
      <c r="J32" s="44" t="n">
        <f aca="false">H32*CityRate</f>
        <v>0.0121139069637484</v>
      </c>
      <c r="K32" s="44" t="n">
        <f aca="false">I32*EduProp</f>
        <v>0.00566223255071335</v>
      </c>
      <c r="L32" s="24" t="n">
        <f aca="false">MAX(0,(G32-JongDeduct)*FairJong)</f>
        <v>1.45279068839168</v>
      </c>
      <c r="M32" s="44" t="n">
        <f aca="false">SUMPRODUCT((L32&gt;JLo)*(L32-JLo)*JD)</f>
        <v>0.00726395344195841</v>
      </c>
      <c r="N32" s="44" t="n">
        <f aca="false">M32*NongJong</f>
        <v>0.00145279068839168</v>
      </c>
      <c r="O32" s="45" t="n">
        <f aca="false">I32+J32+K32+M32+N32</f>
        <v>0.0548040463983785</v>
      </c>
    </row>
    <row r="33" customFormat="false" ht="15" hidden="false" customHeight="false" outlineLevel="0" collapsed="false">
      <c r="A33" s="20" t="n">
        <v>1</v>
      </c>
      <c r="B33" s="43" t="str">
        <f aca="false">INDEX(C_Name,A33)</f>
        <v>문래건영아파트 84㎡</v>
      </c>
      <c r="C33" s="20" t="n">
        <v>3</v>
      </c>
      <c r="D33" s="10" t="n">
        <f aca="false">CHOOSE(C33,GrowLo,GrowMid,GrowHi)</f>
        <v>0.06</v>
      </c>
      <c r="E33" s="20" t="n">
        <v>9</v>
      </c>
      <c r="F33" s="24" t="n">
        <f aca="false">INDEX(C_Price,A33)*(1+D33)^(E33-1)</f>
        <v>22.1544882359787</v>
      </c>
      <c r="G33" s="24" t="n">
        <f aca="false">F33*Gongsi</f>
        <v>15.2865968828253</v>
      </c>
      <c r="H33" s="24" t="n">
        <f aca="false">G33*FairProp</f>
        <v>9.17195812969518</v>
      </c>
      <c r="I33" s="44" t="n">
        <f aca="false">IF(G33&lt;=SpcLimit,SUMPRODUCT((H33&gt;SLo)*(H33-SLo)*SD),SUMPRODUCT((H33&gt;GLo)*(H33-GLo)*GD))</f>
        <v>0.0303878325187807</v>
      </c>
      <c r="J33" s="44" t="n">
        <f aca="false">H33*CityRate</f>
        <v>0.0128407413815733</v>
      </c>
      <c r="K33" s="44" t="n">
        <f aca="false">I33*EduProp</f>
        <v>0.00607756650375615</v>
      </c>
      <c r="L33" s="24" t="n">
        <f aca="false">MAX(0,(G33-JongDeduct)*FairJong)</f>
        <v>1.97195812969518</v>
      </c>
      <c r="M33" s="44" t="n">
        <f aca="false">SUMPRODUCT((L33&gt;JLo)*(L33-JLo)*JD)</f>
        <v>0.00985979064847592</v>
      </c>
      <c r="N33" s="44" t="n">
        <f aca="false">M33*NongJong</f>
        <v>0.00197195812969518</v>
      </c>
      <c r="O33" s="45" t="n">
        <f aca="false">I33+J33+K33+M33+N33</f>
        <v>0.0611378891822812</v>
      </c>
    </row>
    <row r="34" customFormat="false" ht="15" hidden="false" customHeight="false" outlineLevel="0" collapsed="false">
      <c r="A34" s="20" t="n">
        <v>1</v>
      </c>
      <c r="B34" s="43" t="str">
        <f aca="false">INDEX(C_Name,A34)</f>
        <v>문래건영아파트 84㎡</v>
      </c>
      <c r="C34" s="20" t="n">
        <v>3</v>
      </c>
      <c r="D34" s="10" t="n">
        <f aca="false">CHOOSE(C34,GrowLo,GrowMid,GrowHi)</f>
        <v>0.06</v>
      </c>
      <c r="E34" s="20" t="n">
        <v>10</v>
      </c>
      <c r="F34" s="24" t="n">
        <f aca="false">INDEX(C_Price,A34)*(1+D34)^(E34-1)</f>
        <v>23.4837575301374</v>
      </c>
      <c r="G34" s="24" t="n">
        <f aca="false">F34*Gongsi</f>
        <v>16.2037926957948</v>
      </c>
      <c r="H34" s="24" t="n">
        <f aca="false">G34*FairProp</f>
        <v>9.7222756174769</v>
      </c>
      <c r="I34" s="44" t="n">
        <f aca="false">IF(G34&lt;=SpcLimit,SUMPRODUCT((H34&gt;SLo)*(H34-SLo)*SD),SUMPRODUCT((H34&gt;GLo)*(H34-GLo)*GD))</f>
        <v>0.0325891024699076</v>
      </c>
      <c r="J34" s="44" t="n">
        <f aca="false">H34*CityRate</f>
        <v>0.0136111858644677</v>
      </c>
      <c r="K34" s="44" t="n">
        <f aca="false">I34*EduProp</f>
        <v>0.00651782049398152</v>
      </c>
      <c r="L34" s="24" t="n">
        <f aca="false">MAX(0,(G34-JongDeduct)*FairJong)</f>
        <v>2.5222756174769</v>
      </c>
      <c r="M34" s="44" t="n">
        <f aca="false">SUMPRODUCT((L34&gt;JLo)*(L34-JLo)*JD)</f>
        <v>0.0126113780873845</v>
      </c>
      <c r="N34" s="44" t="n">
        <f aca="false">M34*NongJong</f>
        <v>0.0025222756174769</v>
      </c>
      <c r="O34" s="45" t="n">
        <f aca="false">I34+J34+K34+M34+N34</f>
        <v>0.0678517625332181</v>
      </c>
    </row>
    <row r="35" customFormat="false" ht="15" hidden="false" customHeight="false" outlineLevel="0" collapsed="false">
      <c r="A35" s="20" t="n">
        <v>2</v>
      </c>
      <c r="B35" s="43" t="str">
        <f aca="false">INDEX(C_Name,A35)</f>
        <v>e편한세상 문래 에듀플라츠 84.99㎡</v>
      </c>
      <c r="C35" s="20" t="n">
        <v>1</v>
      </c>
      <c r="D35" s="10" t="n">
        <f aca="false">CHOOSE(C35,GrowLo,GrowMid,GrowHi)</f>
        <v>0.02</v>
      </c>
      <c r="E35" s="20" t="n">
        <v>1</v>
      </c>
      <c r="F35" s="24" t="n">
        <f aca="false">INDEX(C_Price,A35)*(1+D35)^(E35-1)</f>
        <v>14.9</v>
      </c>
      <c r="G35" s="24" t="n">
        <f aca="false">F35*Gongsi</f>
        <v>10.281</v>
      </c>
      <c r="H35" s="24" t="n">
        <f aca="false">G35*FairProp</f>
        <v>6.1686</v>
      </c>
      <c r="I35" s="44" t="n">
        <f aca="false">IF(G35&lt;=SpcLimit,SUMPRODUCT((H35&gt;SLo)*(H35-SLo)*SD),SUMPRODUCT((H35&gt;GLo)*(H35-GLo)*GD))</f>
        <v>0.0183744</v>
      </c>
      <c r="J35" s="44" t="n">
        <f aca="false">H35*CityRate</f>
        <v>0.00863604</v>
      </c>
      <c r="K35" s="44" t="n">
        <f aca="false">I35*EduProp</f>
        <v>0.00367488</v>
      </c>
      <c r="L35" s="24" t="n">
        <f aca="false">MAX(0,(G35-JongDeduct)*FairJong)</f>
        <v>0</v>
      </c>
      <c r="M35" s="44" t="n">
        <f aca="false">SUMPRODUCT((L35&gt;JLo)*(L35-JLo)*JD)</f>
        <v>0</v>
      </c>
      <c r="N35" s="44" t="n">
        <f aca="false">M35*NongJong</f>
        <v>0</v>
      </c>
      <c r="O35" s="45" t="n">
        <f aca="false">I35+J35+K35+M35+N35</f>
        <v>0.03068532</v>
      </c>
    </row>
    <row r="36" customFormat="false" ht="15" hidden="false" customHeight="false" outlineLevel="0" collapsed="false">
      <c r="A36" s="20" t="n">
        <v>2</v>
      </c>
      <c r="B36" s="43" t="str">
        <f aca="false">INDEX(C_Name,A36)</f>
        <v>e편한세상 문래 에듀플라츠 84.99㎡</v>
      </c>
      <c r="C36" s="20" t="n">
        <v>1</v>
      </c>
      <c r="D36" s="10" t="n">
        <f aca="false">CHOOSE(C36,GrowLo,GrowMid,GrowHi)</f>
        <v>0.02</v>
      </c>
      <c r="E36" s="20" t="n">
        <v>2</v>
      </c>
      <c r="F36" s="24" t="n">
        <f aca="false">INDEX(C_Price,A36)*(1+D36)^(E36-1)</f>
        <v>15.198</v>
      </c>
      <c r="G36" s="24" t="n">
        <f aca="false">F36*Gongsi</f>
        <v>10.48662</v>
      </c>
      <c r="H36" s="24" t="n">
        <f aca="false">G36*FairProp</f>
        <v>6.291972</v>
      </c>
      <c r="I36" s="44" t="n">
        <f aca="false">IF(G36&lt;=SpcLimit,SUMPRODUCT((H36&gt;SLo)*(H36-SLo)*SD),SUMPRODUCT((H36&gt;GLo)*(H36-GLo)*GD))</f>
        <v>0.018867888</v>
      </c>
      <c r="J36" s="44" t="n">
        <f aca="false">H36*CityRate</f>
        <v>0.0088087608</v>
      </c>
      <c r="K36" s="44" t="n">
        <f aca="false">I36*EduProp</f>
        <v>0.0037735776</v>
      </c>
      <c r="L36" s="24" t="n">
        <f aca="false">MAX(0,(G36-JongDeduct)*FairJong)</f>
        <v>0</v>
      </c>
      <c r="M36" s="44" t="n">
        <f aca="false">SUMPRODUCT((L36&gt;JLo)*(L36-JLo)*JD)</f>
        <v>0</v>
      </c>
      <c r="N36" s="44" t="n">
        <f aca="false">M36*NongJong</f>
        <v>0</v>
      </c>
      <c r="O36" s="45" t="n">
        <f aca="false">I36+J36+K36+M36+N36</f>
        <v>0.0314502264</v>
      </c>
    </row>
    <row r="37" customFormat="false" ht="15" hidden="false" customHeight="false" outlineLevel="0" collapsed="false">
      <c r="A37" s="20" t="n">
        <v>2</v>
      </c>
      <c r="B37" s="43" t="str">
        <f aca="false">INDEX(C_Name,A37)</f>
        <v>e편한세상 문래 에듀플라츠 84.99㎡</v>
      </c>
      <c r="C37" s="20" t="n">
        <v>1</v>
      </c>
      <c r="D37" s="10" t="n">
        <f aca="false">CHOOSE(C37,GrowLo,GrowMid,GrowHi)</f>
        <v>0.02</v>
      </c>
      <c r="E37" s="20" t="n">
        <v>3</v>
      </c>
      <c r="F37" s="24" t="n">
        <f aca="false">INDEX(C_Price,A37)*(1+D37)^(E37-1)</f>
        <v>15.50196</v>
      </c>
      <c r="G37" s="24" t="n">
        <f aca="false">F37*Gongsi</f>
        <v>10.6963524</v>
      </c>
      <c r="H37" s="24" t="n">
        <f aca="false">G37*FairProp</f>
        <v>6.41781144</v>
      </c>
      <c r="I37" s="44" t="n">
        <f aca="false">IF(G37&lt;=SpcLimit,SUMPRODUCT((H37&gt;SLo)*(H37-SLo)*SD),SUMPRODUCT((H37&gt;GLo)*(H37-GLo)*GD))</f>
        <v>0.01937124576</v>
      </c>
      <c r="J37" s="44" t="n">
        <f aca="false">H37*CityRate</f>
        <v>0.008984936016</v>
      </c>
      <c r="K37" s="44" t="n">
        <f aca="false">I37*EduProp</f>
        <v>0.003874249152</v>
      </c>
      <c r="L37" s="24" t="n">
        <f aca="false">MAX(0,(G37-JongDeduct)*FairJong)</f>
        <v>0</v>
      </c>
      <c r="M37" s="44" t="n">
        <f aca="false">SUMPRODUCT((L37&gt;JLo)*(L37-JLo)*JD)</f>
        <v>0</v>
      </c>
      <c r="N37" s="44" t="n">
        <f aca="false">M37*NongJong</f>
        <v>0</v>
      </c>
      <c r="O37" s="45" t="n">
        <f aca="false">I37+J37+K37+M37+N37</f>
        <v>0.032230430928</v>
      </c>
    </row>
    <row r="38" customFormat="false" ht="15" hidden="false" customHeight="false" outlineLevel="0" collapsed="false">
      <c r="A38" s="20" t="n">
        <v>2</v>
      </c>
      <c r="B38" s="43" t="str">
        <f aca="false">INDEX(C_Name,A38)</f>
        <v>e편한세상 문래 에듀플라츠 84.99㎡</v>
      </c>
      <c r="C38" s="20" t="n">
        <v>1</v>
      </c>
      <c r="D38" s="10" t="n">
        <f aca="false">CHOOSE(C38,GrowLo,GrowMid,GrowHi)</f>
        <v>0.02</v>
      </c>
      <c r="E38" s="20" t="n">
        <v>4</v>
      </c>
      <c r="F38" s="24" t="n">
        <f aca="false">INDEX(C_Price,A38)*(1+D38)^(E38-1)</f>
        <v>15.8119992</v>
      </c>
      <c r="G38" s="24" t="n">
        <f aca="false">F38*Gongsi</f>
        <v>10.910279448</v>
      </c>
      <c r="H38" s="24" t="n">
        <f aca="false">G38*FairProp</f>
        <v>6.5461676688</v>
      </c>
      <c r="I38" s="44" t="n">
        <f aca="false">IF(G38&lt;=SpcLimit,SUMPRODUCT((H38&gt;SLo)*(H38-SLo)*SD),SUMPRODUCT((H38&gt;GLo)*(H38-GLo)*GD))</f>
        <v>0.0198846706752</v>
      </c>
      <c r="J38" s="44" t="n">
        <f aca="false">H38*CityRate</f>
        <v>0.00916463473632</v>
      </c>
      <c r="K38" s="44" t="n">
        <f aca="false">I38*EduProp</f>
        <v>0.00397693413504</v>
      </c>
      <c r="L38" s="24" t="n">
        <f aca="false">MAX(0,(G38-JongDeduct)*FairJong)</f>
        <v>0</v>
      </c>
      <c r="M38" s="44" t="n">
        <f aca="false">SUMPRODUCT((L38&gt;JLo)*(L38-JLo)*JD)</f>
        <v>0</v>
      </c>
      <c r="N38" s="44" t="n">
        <f aca="false">M38*NongJong</f>
        <v>0</v>
      </c>
      <c r="O38" s="45" t="n">
        <f aca="false">I38+J38+K38+M38+N38</f>
        <v>0.03302623954656</v>
      </c>
    </row>
    <row r="39" customFormat="false" ht="15" hidden="false" customHeight="false" outlineLevel="0" collapsed="false">
      <c r="A39" s="20" t="n">
        <v>2</v>
      </c>
      <c r="B39" s="43" t="str">
        <f aca="false">INDEX(C_Name,A39)</f>
        <v>e편한세상 문래 에듀플라츠 84.99㎡</v>
      </c>
      <c r="C39" s="20" t="n">
        <v>1</v>
      </c>
      <c r="D39" s="10" t="n">
        <f aca="false">CHOOSE(C39,GrowLo,GrowMid,GrowHi)</f>
        <v>0.02</v>
      </c>
      <c r="E39" s="20" t="n">
        <v>5</v>
      </c>
      <c r="F39" s="24" t="n">
        <f aca="false">INDEX(C_Price,A39)*(1+D39)^(E39-1)</f>
        <v>16.128239184</v>
      </c>
      <c r="G39" s="24" t="n">
        <f aca="false">F39*Gongsi</f>
        <v>11.12848503696</v>
      </c>
      <c r="H39" s="24" t="n">
        <f aca="false">G39*FairProp</f>
        <v>6.677091022176</v>
      </c>
      <c r="I39" s="44" t="n">
        <f aca="false">IF(G39&lt;=SpcLimit,SUMPRODUCT((H39&gt;SLo)*(H39-SLo)*SD),SUMPRODUCT((H39&gt;GLo)*(H39-GLo)*GD))</f>
        <v>0.020408364088704</v>
      </c>
      <c r="J39" s="44" t="n">
        <f aca="false">H39*CityRate</f>
        <v>0.0093479274310464</v>
      </c>
      <c r="K39" s="44" t="n">
        <f aca="false">I39*EduProp</f>
        <v>0.0040816728177408</v>
      </c>
      <c r="L39" s="24" t="n">
        <f aca="false">MAX(0,(G39-JongDeduct)*FairJong)</f>
        <v>0</v>
      </c>
      <c r="M39" s="44" t="n">
        <f aca="false">SUMPRODUCT((L39&gt;JLo)*(L39-JLo)*JD)</f>
        <v>0</v>
      </c>
      <c r="N39" s="44" t="n">
        <f aca="false">M39*NongJong</f>
        <v>0</v>
      </c>
      <c r="O39" s="45" t="n">
        <f aca="false">I39+J39+K39+M39+N39</f>
        <v>0.0338379643374912</v>
      </c>
    </row>
    <row r="40" customFormat="false" ht="15" hidden="false" customHeight="false" outlineLevel="0" collapsed="false">
      <c r="A40" s="20" t="n">
        <v>2</v>
      </c>
      <c r="B40" s="43" t="str">
        <f aca="false">INDEX(C_Name,A40)</f>
        <v>e편한세상 문래 에듀플라츠 84.99㎡</v>
      </c>
      <c r="C40" s="20" t="n">
        <v>1</v>
      </c>
      <c r="D40" s="10" t="n">
        <f aca="false">CHOOSE(C40,GrowLo,GrowMid,GrowHi)</f>
        <v>0.02</v>
      </c>
      <c r="E40" s="20" t="n">
        <v>6</v>
      </c>
      <c r="F40" s="24" t="n">
        <f aca="false">INDEX(C_Price,A40)*(1+D40)^(E40-1)</f>
        <v>16.45080396768</v>
      </c>
      <c r="G40" s="24" t="n">
        <f aca="false">F40*Gongsi</f>
        <v>11.3510547376992</v>
      </c>
      <c r="H40" s="24" t="n">
        <f aca="false">G40*FairProp</f>
        <v>6.81063284261952</v>
      </c>
      <c r="I40" s="44" t="n">
        <f aca="false">IF(G40&lt;=SpcLimit,SUMPRODUCT((H40&gt;SLo)*(H40-SLo)*SD),SUMPRODUCT((H40&gt;GLo)*(H40-GLo)*GD))</f>
        <v>0.0209425313704781</v>
      </c>
      <c r="J40" s="44" t="n">
        <f aca="false">H40*CityRate</f>
        <v>0.00953488597966733</v>
      </c>
      <c r="K40" s="44" t="n">
        <f aca="false">I40*EduProp</f>
        <v>0.00418850627409562</v>
      </c>
      <c r="L40" s="24" t="n">
        <f aca="false">MAX(0,(G40-JongDeduct)*FairJong)</f>
        <v>0</v>
      </c>
      <c r="M40" s="44" t="n">
        <f aca="false">SUMPRODUCT((L40&gt;JLo)*(L40-JLo)*JD)</f>
        <v>0</v>
      </c>
      <c r="N40" s="44" t="n">
        <f aca="false">M40*NongJong</f>
        <v>0</v>
      </c>
      <c r="O40" s="45" t="n">
        <f aca="false">I40+J40+K40+M40+N40</f>
        <v>0.034665923624241</v>
      </c>
    </row>
    <row r="41" customFormat="false" ht="15" hidden="false" customHeight="false" outlineLevel="0" collapsed="false">
      <c r="A41" s="20" t="n">
        <v>2</v>
      </c>
      <c r="B41" s="43" t="str">
        <f aca="false">INDEX(C_Name,A41)</f>
        <v>e편한세상 문래 에듀플라츠 84.99㎡</v>
      </c>
      <c r="C41" s="20" t="n">
        <v>1</v>
      </c>
      <c r="D41" s="10" t="n">
        <f aca="false">CHOOSE(C41,GrowLo,GrowMid,GrowHi)</f>
        <v>0.02</v>
      </c>
      <c r="E41" s="20" t="n">
        <v>7</v>
      </c>
      <c r="F41" s="24" t="n">
        <f aca="false">INDEX(C_Price,A41)*(1+D41)^(E41-1)</f>
        <v>16.7798200470336</v>
      </c>
      <c r="G41" s="24" t="n">
        <f aca="false">F41*Gongsi</f>
        <v>11.5780758324532</v>
      </c>
      <c r="H41" s="24" t="n">
        <f aca="false">G41*FairProp</f>
        <v>6.94684549947191</v>
      </c>
      <c r="I41" s="44" t="n">
        <f aca="false">IF(G41&lt;=SpcLimit,SUMPRODUCT((H41&gt;SLo)*(H41-SLo)*SD),SUMPRODUCT((H41&gt;GLo)*(H41-GLo)*GD))</f>
        <v>0.0214873819978876</v>
      </c>
      <c r="J41" s="44" t="n">
        <f aca="false">H41*CityRate</f>
        <v>0.00972558369926068</v>
      </c>
      <c r="K41" s="44" t="n">
        <f aca="false">I41*EduProp</f>
        <v>0.00429747639957753</v>
      </c>
      <c r="L41" s="24" t="n">
        <f aca="false">MAX(0,(G41-JongDeduct)*FairJong)</f>
        <v>0</v>
      </c>
      <c r="M41" s="44" t="n">
        <f aca="false">SUMPRODUCT((L41&gt;JLo)*(L41-JLo)*JD)</f>
        <v>0</v>
      </c>
      <c r="N41" s="44" t="n">
        <f aca="false">M41*NongJong</f>
        <v>0</v>
      </c>
      <c r="O41" s="45" t="n">
        <f aca="false">I41+J41+K41+M41+N41</f>
        <v>0.0355104420967259</v>
      </c>
    </row>
    <row r="42" customFormat="false" ht="15" hidden="false" customHeight="false" outlineLevel="0" collapsed="false">
      <c r="A42" s="20" t="n">
        <v>2</v>
      </c>
      <c r="B42" s="43" t="str">
        <f aca="false">INDEX(C_Name,A42)</f>
        <v>e편한세상 문래 에듀플라츠 84.99㎡</v>
      </c>
      <c r="C42" s="20" t="n">
        <v>1</v>
      </c>
      <c r="D42" s="10" t="n">
        <f aca="false">CHOOSE(C42,GrowLo,GrowMid,GrowHi)</f>
        <v>0.02</v>
      </c>
      <c r="E42" s="20" t="n">
        <v>8</v>
      </c>
      <c r="F42" s="24" t="n">
        <f aca="false">INDEX(C_Price,A42)*(1+D42)^(E42-1)</f>
        <v>17.1154164479743</v>
      </c>
      <c r="G42" s="24" t="n">
        <f aca="false">F42*Gongsi</f>
        <v>11.8096373491022</v>
      </c>
      <c r="H42" s="24" t="n">
        <f aca="false">G42*FairProp</f>
        <v>7.08578240946135</v>
      </c>
      <c r="I42" s="44" t="n">
        <f aca="false">IF(G42&lt;=SpcLimit,SUMPRODUCT((H42&gt;SLo)*(H42-SLo)*SD),SUMPRODUCT((H42&gt;GLo)*(H42-GLo)*GD))</f>
        <v>0.0220431296378454</v>
      </c>
      <c r="J42" s="44" t="n">
        <f aca="false">H42*CityRate</f>
        <v>0.00992009537324589</v>
      </c>
      <c r="K42" s="44" t="n">
        <f aca="false">I42*EduProp</f>
        <v>0.00440862592756908</v>
      </c>
      <c r="L42" s="24" t="n">
        <f aca="false">MAX(0,(G42-JongDeduct)*FairJong)</f>
        <v>0</v>
      </c>
      <c r="M42" s="44" t="n">
        <f aca="false">SUMPRODUCT((L42&gt;JLo)*(L42-JLo)*JD)</f>
        <v>0</v>
      </c>
      <c r="N42" s="44" t="n">
        <f aca="false">M42*NongJong</f>
        <v>0</v>
      </c>
      <c r="O42" s="45" t="n">
        <f aca="false">I42+J42+K42+M42+N42</f>
        <v>0.0363718509386604</v>
      </c>
    </row>
    <row r="43" customFormat="false" ht="15" hidden="false" customHeight="false" outlineLevel="0" collapsed="false">
      <c r="A43" s="20" t="n">
        <v>2</v>
      </c>
      <c r="B43" s="43" t="str">
        <f aca="false">INDEX(C_Name,A43)</f>
        <v>e편한세상 문래 에듀플라츠 84.99㎡</v>
      </c>
      <c r="C43" s="20" t="n">
        <v>1</v>
      </c>
      <c r="D43" s="10" t="n">
        <f aca="false">CHOOSE(C43,GrowLo,GrowMid,GrowHi)</f>
        <v>0.02</v>
      </c>
      <c r="E43" s="20" t="n">
        <v>9</v>
      </c>
      <c r="F43" s="24" t="n">
        <f aca="false">INDEX(C_Price,A43)*(1+D43)^(E43-1)</f>
        <v>17.4577247769338</v>
      </c>
      <c r="G43" s="24" t="n">
        <f aca="false">F43*Gongsi</f>
        <v>12.0458300960843</v>
      </c>
      <c r="H43" s="24" t="n">
        <f aca="false">G43*FairProp</f>
        <v>7.22749805765058</v>
      </c>
      <c r="I43" s="44" t="n">
        <f aca="false">IF(G43&lt;=SpcLimit,SUMPRODUCT((H43&gt;SLo)*(H43-SLo)*SD),SUMPRODUCT((H43&gt;GLo)*(H43-GLo)*GD))</f>
        <v>0.0226099922306023</v>
      </c>
      <c r="J43" s="44" t="n">
        <f aca="false">H43*CityRate</f>
        <v>0.0101184972807108</v>
      </c>
      <c r="K43" s="44" t="n">
        <f aca="false">I43*EduProp</f>
        <v>0.00452199844612046</v>
      </c>
      <c r="L43" s="24" t="n">
        <f aca="false">MAX(0,(G43-JongDeduct)*FairJong)</f>
        <v>0.0274980576505758</v>
      </c>
      <c r="M43" s="44" t="n">
        <f aca="false">SUMPRODUCT((L43&gt;JLo)*(L43-JLo)*JD)</f>
        <v>0.000137490288252879</v>
      </c>
      <c r="N43" s="44" t="n">
        <f aca="false">M43*NongJong</f>
        <v>2.74980576505758E-005</v>
      </c>
      <c r="O43" s="45" t="n">
        <f aca="false">I43+J43+K43+M43+N43</f>
        <v>0.037415476303337</v>
      </c>
    </row>
    <row r="44" customFormat="false" ht="15" hidden="false" customHeight="false" outlineLevel="0" collapsed="false">
      <c r="A44" s="20" t="n">
        <v>2</v>
      </c>
      <c r="B44" s="43" t="str">
        <f aca="false">INDEX(C_Name,A44)</f>
        <v>e편한세상 문래 에듀플라츠 84.99㎡</v>
      </c>
      <c r="C44" s="20" t="n">
        <v>1</v>
      </c>
      <c r="D44" s="10" t="n">
        <f aca="false">CHOOSE(C44,GrowLo,GrowMid,GrowHi)</f>
        <v>0.02</v>
      </c>
      <c r="E44" s="20" t="n">
        <v>10</v>
      </c>
      <c r="F44" s="24" t="n">
        <f aca="false">INDEX(C_Price,A44)*(1+D44)^(E44-1)</f>
        <v>17.8068792724724</v>
      </c>
      <c r="G44" s="24" t="n">
        <f aca="false">F44*Gongsi</f>
        <v>12.286746698006</v>
      </c>
      <c r="H44" s="24" t="n">
        <f aca="false">G44*FairProp</f>
        <v>7.37204801880359</v>
      </c>
      <c r="I44" s="44" t="n">
        <f aca="false">IF(G44&lt;=SpcLimit,SUMPRODUCT((H44&gt;SLo)*(H44-SLo)*SD),SUMPRODUCT((H44&gt;GLo)*(H44-GLo)*GD))</f>
        <v>0.0231881920752144</v>
      </c>
      <c r="J44" s="44" t="n">
        <f aca="false">H44*CityRate</f>
        <v>0.010320867226325</v>
      </c>
      <c r="K44" s="44" t="n">
        <f aca="false">I44*EduProp</f>
        <v>0.00463763841504287</v>
      </c>
      <c r="L44" s="24" t="n">
        <f aca="false">MAX(0,(G44-JongDeduct)*FairJong)</f>
        <v>0.172048018803588</v>
      </c>
      <c r="M44" s="44" t="n">
        <f aca="false">SUMPRODUCT((L44&gt;JLo)*(L44-JLo)*JD)</f>
        <v>0.000860240094017938</v>
      </c>
      <c r="N44" s="44" t="n">
        <f aca="false">M44*NongJong</f>
        <v>0.000172048018803588</v>
      </c>
      <c r="O44" s="45" t="n">
        <f aca="false">I44+J44+K44+M44+N44</f>
        <v>0.0391789858294038</v>
      </c>
    </row>
    <row r="45" customFormat="false" ht="15" hidden="false" customHeight="false" outlineLevel="0" collapsed="false">
      <c r="A45" s="20" t="n">
        <v>2</v>
      </c>
      <c r="B45" s="43" t="str">
        <f aca="false">INDEX(C_Name,A45)</f>
        <v>e편한세상 문래 에듀플라츠 84.99㎡</v>
      </c>
      <c r="C45" s="20" t="n">
        <v>2</v>
      </c>
      <c r="D45" s="10" t="n">
        <f aca="false">CHOOSE(C45,GrowLo,GrowMid,GrowHi)</f>
        <v>0.04</v>
      </c>
      <c r="E45" s="20" t="n">
        <v>1</v>
      </c>
      <c r="F45" s="24" t="n">
        <f aca="false">INDEX(C_Price,A45)*(1+D45)^(E45-1)</f>
        <v>14.9</v>
      </c>
      <c r="G45" s="24" t="n">
        <f aca="false">F45*Gongsi</f>
        <v>10.281</v>
      </c>
      <c r="H45" s="24" t="n">
        <f aca="false">G45*FairProp</f>
        <v>6.1686</v>
      </c>
      <c r="I45" s="44" t="n">
        <f aca="false">IF(G45&lt;=SpcLimit,SUMPRODUCT((H45&gt;SLo)*(H45-SLo)*SD),SUMPRODUCT((H45&gt;GLo)*(H45-GLo)*GD))</f>
        <v>0.0183744</v>
      </c>
      <c r="J45" s="44" t="n">
        <f aca="false">H45*CityRate</f>
        <v>0.00863604</v>
      </c>
      <c r="K45" s="44" t="n">
        <f aca="false">I45*EduProp</f>
        <v>0.00367488</v>
      </c>
      <c r="L45" s="24" t="n">
        <f aca="false">MAX(0,(G45-JongDeduct)*FairJong)</f>
        <v>0</v>
      </c>
      <c r="M45" s="44" t="n">
        <f aca="false">SUMPRODUCT((L45&gt;JLo)*(L45-JLo)*JD)</f>
        <v>0</v>
      </c>
      <c r="N45" s="44" t="n">
        <f aca="false">M45*NongJong</f>
        <v>0</v>
      </c>
      <c r="O45" s="45" t="n">
        <f aca="false">I45+J45+K45+M45+N45</f>
        <v>0.03068532</v>
      </c>
    </row>
    <row r="46" customFormat="false" ht="15" hidden="false" customHeight="false" outlineLevel="0" collapsed="false">
      <c r="A46" s="20" t="n">
        <v>2</v>
      </c>
      <c r="B46" s="43" t="str">
        <f aca="false">INDEX(C_Name,A46)</f>
        <v>e편한세상 문래 에듀플라츠 84.99㎡</v>
      </c>
      <c r="C46" s="20" t="n">
        <v>2</v>
      </c>
      <c r="D46" s="10" t="n">
        <f aca="false">CHOOSE(C46,GrowLo,GrowMid,GrowHi)</f>
        <v>0.04</v>
      </c>
      <c r="E46" s="20" t="n">
        <v>2</v>
      </c>
      <c r="F46" s="24" t="n">
        <f aca="false">INDEX(C_Price,A46)*(1+D46)^(E46-1)</f>
        <v>15.496</v>
      </c>
      <c r="G46" s="24" t="n">
        <f aca="false">F46*Gongsi</f>
        <v>10.69224</v>
      </c>
      <c r="H46" s="24" t="n">
        <f aca="false">G46*FairProp</f>
        <v>6.415344</v>
      </c>
      <c r="I46" s="44" t="n">
        <f aca="false">IF(G46&lt;=SpcLimit,SUMPRODUCT((H46&gt;SLo)*(H46-SLo)*SD),SUMPRODUCT((H46&gt;GLo)*(H46-GLo)*GD))</f>
        <v>0.019361376</v>
      </c>
      <c r="J46" s="44" t="n">
        <f aca="false">H46*CityRate</f>
        <v>0.0089814816</v>
      </c>
      <c r="K46" s="44" t="n">
        <f aca="false">I46*EduProp</f>
        <v>0.0038722752</v>
      </c>
      <c r="L46" s="24" t="n">
        <f aca="false">MAX(0,(G46-JongDeduct)*FairJong)</f>
        <v>0</v>
      </c>
      <c r="M46" s="44" t="n">
        <f aca="false">SUMPRODUCT((L46&gt;JLo)*(L46-JLo)*JD)</f>
        <v>0</v>
      </c>
      <c r="N46" s="44" t="n">
        <f aca="false">M46*NongJong</f>
        <v>0</v>
      </c>
      <c r="O46" s="45" t="n">
        <f aca="false">I46+J46+K46+M46+N46</f>
        <v>0.0322151328</v>
      </c>
    </row>
    <row r="47" customFormat="false" ht="15" hidden="false" customHeight="false" outlineLevel="0" collapsed="false">
      <c r="A47" s="20" t="n">
        <v>2</v>
      </c>
      <c r="B47" s="43" t="str">
        <f aca="false">INDEX(C_Name,A47)</f>
        <v>e편한세상 문래 에듀플라츠 84.99㎡</v>
      </c>
      <c r="C47" s="20" t="n">
        <v>2</v>
      </c>
      <c r="D47" s="10" t="n">
        <f aca="false">CHOOSE(C47,GrowLo,GrowMid,GrowHi)</f>
        <v>0.04</v>
      </c>
      <c r="E47" s="20" t="n">
        <v>3</v>
      </c>
      <c r="F47" s="24" t="n">
        <f aca="false">INDEX(C_Price,A47)*(1+D47)^(E47-1)</f>
        <v>16.11584</v>
      </c>
      <c r="G47" s="24" t="n">
        <f aca="false">F47*Gongsi</f>
        <v>11.1199296</v>
      </c>
      <c r="H47" s="24" t="n">
        <f aca="false">G47*FairProp</f>
        <v>6.67195776</v>
      </c>
      <c r="I47" s="44" t="n">
        <f aca="false">IF(G47&lt;=SpcLimit,SUMPRODUCT((H47&gt;SLo)*(H47-SLo)*SD),SUMPRODUCT((H47&gt;GLo)*(H47-GLo)*GD))</f>
        <v>0.02038783104</v>
      </c>
      <c r="J47" s="44" t="n">
        <f aca="false">H47*CityRate</f>
        <v>0.009340740864</v>
      </c>
      <c r="K47" s="44" t="n">
        <f aca="false">I47*EduProp</f>
        <v>0.004077566208</v>
      </c>
      <c r="L47" s="24" t="n">
        <f aca="false">MAX(0,(G47-JongDeduct)*FairJong)</f>
        <v>0</v>
      </c>
      <c r="M47" s="44" t="n">
        <f aca="false">SUMPRODUCT((L47&gt;JLo)*(L47-JLo)*JD)</f>
        <v>0</v>
      </c>
      <c r="N47" s="44" t="n">
        <f aca="false">M47*NongJong</f>
        <v>0</v>
      </c>
      <c r="O47" s="45" t="n">
        <f aca="false">I47+J47+K47+M47+N47</f>
        <v>0.033806138112</v>
      </c>
    </row>
    <row r="48" customFormat="false" ht="15" hidden="false" customHeight="false" outlineLevel="0" collapsed="false">
      <c r="A48" s="20" t="n">
        <v>2</v>
      </c>
      <c r="B48" s="43" t="str">
        <f aca="false">INDEX(C_Name,A48)</f>
        <v>e편한세상 문래 에듀플라츠 84.99㎡</v>
      </c>
      <c r="C48" s="20" t="n">
        <v>2</v>
      </c>
      <c r="D48" s="10" t="n">
        <f aca="false">CHOOSE(C48,GrowLo,GrowMid,GrowHi)</f>
        <v>0.04</v>
      </c>
      <c r="E48" s="20" t="n">
        <v>4</v>
      </c>
      <c r="F48" s="24" t="n">
        <f aca="false">INDEX(C_Price,A48)*(1+D48)^(E48-1)</f>
        <v>16.7604736</v>
      </c>
      <c r="G48" s="24" t="n">
        <f aca="false">F48*Gongsi</f>
        <v>11.564726784</v>
      </c>
      <c r="H48" s="24" t="n">
        <f aca="false">G48*FairProp</f>
        <v>6.9388360704</v>
      </c>
      <c r="I48" s="44" t="n">
        <f aca="false">IF(G48&lt;=SpcLimit,SUMPRODUCT((H48&gt;SLo)*(H48-SLo)*SD),SUMPRODUCT((H48&gt;GLo)*(H48-GLo)*GD))</f>
        <v>0.0214553442816</v>
      </c>
      <c r="J48" s="44" t="n">
        <f aca="false">H48*CityRate</f>
        <v>0.00971437049856</v>
      </c>
      <c r="K48" s="44" t="n">
        <f aca="false">I48*EduProp</f>
        <v>0.00429106885632</v>
      </c>
      <c r="L48" s="24" t="n">
        <f aca="false">MAX(0,(G48-JongDeduct)*FairJong)</f>
        <v>0</v>
      </c>
      <c r="M48" s="44" t="n">
        <f aca="false">SUMPRODUCT((L48&gt;JLo)*(L48-JLo)*JD)</f>
        <v>0</v>
      </c>
      <c r="N48" s="44" t="n">
        <f aca="false">M48*NongJong</f>
        <v>0</v>
      </c>
      <c r="O48" s="45" t="n">
        <f aca="false">I48+J48+K48+M48+N48</f>
        <v>0.03546078363648</v>
      </c>
    </row>
    <row r="49" customFormat="false" ht="15" hidden="false" customHeight="false" outlineLevel="0" collapsed="false">
      <c r="A49" s="20" t="n">
        <v>2</v>
      </c>
      <c r="B49" s="43" t="str">
        <f aca="false">INDEX(C_Name,A49)</f>
        <v>e편한세상 문래 에듀플라츠 84.99㎡</v>
      </c>
      <c r="C49" s="20" t="n">
        <v>2</v>
      </c>
      <c r="D49" s="10" t="n">
        <f aca="false">CHOOSE(C49,GrowLo,GrowMid,GrowHi)</f>
        <v>0.04</v>
      </c>
      <c r="E49" s="20" t="n">
        <v>5</v>
      </c>
      <c r="F49" s="24" t="n">
        <f aca="false">INDEX(C_Price,A49)*(1+D49)^(E49-1)</f>
        <v>17.430892544</v>
      </c>
      <c r="G49" s="24" t="n">
        <f aca="false">F49*Gongsi</f>
        <v>12.02731585536</v>
      </c>
      <c r="H49" s="24" t="n">
        <f aca="false">G49*FairProp</f>
        <v>7.216389513216</v>
      </c>
      <c r="I49" s="44" t="n">
        <f aca="false">IF(G49&lt;=SpcLimit,SUMPRODUCT((H49&gt;SLo)*(H49-SLo)*SD),SUMPRODUCT((H49&gt;GLo)*(H49-GLo)*GD))</f>
        <v>0.022565558052864</v>
      </c>
      <c r="J49" s="44" t="n">
        <f aca="false">H49*CityRate</f>
        <v>0.0101029453185024</v>
      </c>
      <c r="K49" s="44" t="n">
        <f aca="false">I49*EduProp</f>
        <v>0.0045131116105728</v>
      </c>
      <c r="L49" s="24" t="n">
        <f aca="false">MAX(0,(G49-JongDeduct)*FairJong)</f>
        <v>0.0163895132160008</v>
      </c>
      <c r="M49" s="44" t="n">
        <f aca="false">SUMPRODUCT((L49&gt;JLo)*(L49-JLo)*JD)</f>
        <v>8.19475660800038E-005</v>
      </c>
      <c r="N49" s="44" t="n">
        <f aca="false">M49*NongJong</f>
        <v>1.63895132160008E-005</v>
      </c>
      <c r="O49" s="45" t="n">
        <f aca="false">I49+J49+K49+M49+N49</f>
        <v>0.0372799520612352</v>
      </c>
    </row>
    <row r="50" customFormat="false" ht="15" hidden="false" customHeight="false" outlineLevel="0" collapsed="false">
      <c r="A50" s="20" t="n">
        <v>2</v>
      </c>
      <c r="B50" s="43" t="str">
        <f aca="false">INDEX(C_Name,A50)</f>
        <v>e편한세상 문래 에듀플라츠 84.99㎡</v>
      </c>
      <c r="C50" s="20" t="n">
        <v>2</v>
      </c>
      <c r="D50" s="10" t="n">
        <f aca="false">CHOOSE(C50,GrowLo,GrowMid,GrowHi)</f>
        <v>0.04</v>
      </c>
      <c r="E50" s="20" t="n">
        <v>6</v>
      </c>
      <c r="F50" s="24" t="n">
        <f aca="false">INDEX(C_Price,A50)*(1+D50)^(E50-1)</f>
        <v>18.12812824576</v>
      </c>
      <c r="G50" s="24" t="n">
        <f aca="false">F50*Gongsi</f>
        <v>12.5084084895744</v>
      </c>
      <c r="H50" s="24" t="n">
        <f aca="false">G50*FairProp</f>
        <v>7.50504509374464</v>
      </c>
      <c r="I50" s="44" t="n">
        <f aca="false">IF(G50&lt;=SpcLimit,SUMPRODUCT((H50&gt;SLo)*(H50-SLo)*SD),SUMPRODUCT((H50&gt;GLo)*(H50-GLo)*GD))</f>
        <v>0.0237201803749786</v>
      </c>
      <c r="J50" s="44" t="n">
        <f aca="false">H50*CityRate</f>
        <v>0.0105070631312425</v>
      </c>
      <c r="K50" s="44" t="n">
        <f aca="false">I50*EduProp</f>
        <v>0.00474403607499571</v>
      </c>
      <c r="L50" s="24" t="n">
        <f aca="false">MAX(0,(G50-JongDeduct)*FairJong)</f>
        <v>0.305045093744641</v>
      </c>
      <c r="M50" s="44" t="n">
        <f aca="false">SUMPRODUCT((L50&gt;JLo)*(L50-JLo)*JD)</f>
        <v>0.00152522546872321</v>
      </c>
      <c r="N50" s="44" t="n">
        <f aca="false">M50*NongJong</f>
        <v>0.000305045093744641</v>
      </c>
      <c r="O50" s="45" t="n">
        <f aca="false">I50+J50+K50+M50+N50</f>
        <v>0.0408015501436846</v>
      </c>
    </row>
    <row r="51" customFormat="false" ht="15" hidden="false" customHeight="false" outlineLevel="0" collapsed="false">
      <c r="A51" s="20" t="n">
        <v>2</v>
      </c>
      <c r="B51" s="43" t="str">
        <f aca="false">INDEX(C_Name,A51)</f>
        <v>e편한세상 문래 에듀플라츠 84.99㎡</v>
      </c>
      <c r="C51" s="20" t="n">
        <v>2</v>
      </c>
      <c r="D51" s="10" t="n">
        <f aca="false">CHOOSE(C51,GrowLo,GrowMid,GrowHi)</f>
        <v>0.04</v>
      </c>
      <c r="E51" s="20" t="n">
        <v>7</v>
      </c>
      <c r="F51" s="24" t="n">
        <f aca="false">INDEX(C_Price,A51)*(1+D51)^(E51-1)</f>
        <v>18.8532533755904</v>
      </c>
      <c r="G51" s="24" t="n">
        <f aca="false">F51*Gongsi</f>
        <v>13.0087448291574</v>
      </c>
      <c r="H51" s="24" t="n">
        <f aca="false">G51*FairProp</f>
        <v>7.80524689749443</v>
      </c>
      <c r="I51" s="44" t="n">
        <f aca="false">IF(G51&lt;=SpcLimit,SUMPRODUCT((H51&gt;SLo)*(H51-SLo)*SD),SUMPRODUCT((H51&gt;GLo)*(H51-GLo)*GD))</f>
        <v>0.0249209875899777</v>
      </c>
      <c r="J51" s="44" t="n">
        <f aca="false">H51*CityRate</f>
        <v>0.0109273456564922</v>
      </c>
      <c r="K51" s="44" t="n">
        <f aca="false">I51*EduProp</f>
        <v>0.00498419751799554</v>
      </c>
      <c r="L51" s="24" t="n">
        <f aca="false">MAX(0,(G51-JongDeduct)*FairJong)</f>
        <v>0.605246897494428</v>
      </c>
      <c r="M51" s="44" t="n">
        <f aca="false">SUMPRODUCT((L51&gt;JLo)*(L51-JLo)*JD)</f>
        <v>0.00302623448747214</v>
      </c>
      <c r="N51" s="44" t="n">
        <f aca="false">M51*NongJong</f>
        <v>0.000605246897494428</v>
      </c>
      <c r="O51" s="45" t="n">
        <f aca="false">I51+J51+K51+M51+N51</f>
        <v>0.044464012149432</v>
      </c>
    </row>
    <row r="52" customFormat="false" ht="15" hidden="false" customHeight="false" outlineLevel="0" collapsed="false">
      <c r="A52" s="20" t="n">
        <v>2</v>
      </c>
      <c r="B52" s="43" t="str">
        <f aca="false">INDEX(C_Name,A52)</f>
        <v>e편한세상 문래 에듀플라츠 84.99㎡</v>
      </c>
      <c r="C52" s="20" t="n">
        <v>2</v>
      </c>
      <c r="D52" s="10" t="n">
        <f aca="false">CHOOSE(C52,GrowLo,GrowMid,GrowHi)</f>
        <v>0.04</v>
      </c>
      <c r="E52" s="20" t="n">
        <v>8</v>
      </c>
      <c r="F52" s="24" t="n">
        <f aca="false">INDEX(C_Price,A52)*(1+D52)^(E52-1)</f>
        <v>19.607383510614</v>
      </c>
      <c r="G52" s="24" t="n">
        <f aca="false">F52*Gongsi</f>
        <v>13.5290946223237</v>
      </c>
      <c r="H52" s="24" t="n">
        <f aca="false">G52*FairProp</f>
        <v>8.1174567733942</v>
      </c>
      <c r="I52" s="44" t="n">
        <f aca="false">IF(G52&lt;=SpcLimit,SUMPRODUCT((H52&gt;SLo)*(H52-SLo)*SD),SUMPRODUCT((H52&gt;GLo)*(H52-GLo)*GD))</f>
        <v>0.0261698270935768</v>
      </c>
      <c r="J52" s="44" t="n">
        <f aca="false">H52*CityRate</f>
        <v>0.0113644394827519</v>
      </c>
      <c r="K52" s="44" t="n">
        <f aca="false">I52*EduProp</f>
        <v>0.00523396541871537</v>
      </c>
      <c r="L52" s="24" t="n">
        <f aca="false">MAX(0,(G52-JongDeduct)*FairJong)</f>
        <v>0.917456773394204</v>
      </c>
      <c r="M52" s="44" t="n">
        <f aca="false">SUMPRODUCT((L52&gt;JLo)*(L52-JLo)*JD)</f>
        <v>0.00458728386697102</v>
      </c>
      <c r="N52" s="44" t="n">
        <f aca="false">M52*NongJong</f>
        <v>0.000917456773394205</v>
      </c>
      <c r="O52" s="45" t="n">
        <f aca="false">I52+J52+K52+M52+N52</f>
        <v>0.0482729726354093</v>
      </c>
    </row>
    <row r="53" customFormat="false" ht="15" hidden="false" customHeight="false" outlineLevel="0" collapsed="false">
      <c r="A53" s="20" t="n">
        <v>2</v>
      </c>
      <c r="B53" s="43" t="str">
        <f aca="false">INDEX(C_Name,A53)</f>
        <v>e편한세상 문래 에듀플라츠 84.99㎡</v>
      </c>
      <c r="C53" s="20" t="n">
        <v>2</v>
      </c>
      <c r="D53" s="10" t="n">
        <f aca="false">CHOOSE(C53,GrowLo,GrowMid,GrowHi)</f>
        <v>0.04</v>
      </c>
      <c r="E53" s="20" t="n">
        <v>9</v>
      </c>
      <c r="F53" s="24" t="n">
        <f aca="false">INDEX(C_Price,A53)*(1+D53)^(E53-1)</f>
        <v>20.3916788510386</v>
      </c>
      <c r="G53" s="24" t="n">
        <f aca="false">F53*Gongsi</f>
        <v>14.0702584072166</v>
      </c>
      <c r="H53" s="24" t="n">
        <f aca="false">G53*FairProp</f>
        <v>8.44215504432997</v>
      </c>
      <c r="I53" s="44" t="n">
        <f aca="false">IF(G53&lt;=SpcLimit,SUMPRODUCT((H53&gt;SLo)*(H53-SLo)*SD),SUMPRODUCT((H53&gt;GLo)*(H53-GLo)*GD))</f>
        <v>0.0274686201773199</v>
      </c>
      <c r="J53" s="44" t="n">
        <f aca="false">H53*CityRate</f>
        <v>0.011819017062062</v>
      </c>
      <c r="K53" s="44" t="n">
        <f aca="false">I53*EduProp</f>
        <v>0.00549372403546398</v>
      </c>
      <c r="L53" s="24" t="n">
        <f aca="false">MAX(0,(G53-JongDeduct)*FairJong)</f>
        <v>1.24215504432997</v>
      </c>
      <c r="M53" s="44" t="n">
        <f aca="false">SUMPRODUCT((L53&gt;JLo)*(L53-JLo)*JD)</f>
        <v>0.00621077522164986</v>
      </c>
      <c r="N53" s="44" t="n">
        <f aca="false">M53*NongJong</f>
        <v>0.00124215504432997</v>
      </c>
      <c r="O53" s="45" t="n">
        <f aca="false">I53+J53+K53+M53+N53</f>
        <v>0.0522342915408257</v>
      </c>
    </row>
    <row r="54" customFormat="false" ht="15" hidden="false" customHeight="false" outlineLevel="0" collapsed="false">
      <c r="A54" s="20" t="n">
        <v>2</v>
      </c>
      <c r="B54" s="43" t="str">
        <f aca="false">INDEX(C_Name,A54)</f>
        <v>e편한세상 문래 에듀플라츠 84.99㎡</v>
      </c>
      <c r="C54" s="20" t="n">
        <v>2</v>
      </c>
      <c r="D54" s="10" t="n">
        <f aca="false">CHOOSE(C54,GrowLo,GrowMid,GrowHi)</f>
        <v>0.04</v>
      </c>
      <c r="E54" s="20" t="n">
        <v>10</v>
      </c>
      <c r="F54" s="24" t="n">
        <f aca="false">INDEX(C_Price,A54)*(1+D54)^(E54-1)</f>
        <v>21.2073460050801</v>
      </c>
      <c r="G54" s="24" t="n">
        <f aca="false">F54*Gongsi</f>
        <v>14.6330687435053</v>
      </c>
      <c r="H54" s="24" t="n">
        <f aca="false">G54*FairProp</f>
        <v>8.77984124610317</v>
      </c>
      <c r="I54" s="44" t="n">
        <f aca="false">IF(G54&lt;=SpcLimit,SUMPRODUCT((H54&gt;SLo)*(H54-SLo)*SD),SUMPRODUCT((H54&gt;GLo)*(H54-GLo)*GD))</f>
        <v>0.0288193649844127</v>
      </c>
      <c r="J54" s="44" t="n">
        <f aca="false">H54*CityRate</f>
        <v>0.0122917777445444</v>
      </c>
      <c r="K54" s="44" t="n">
        <f aca="false">I54*EduProp</f>
        <v>0.00576387299688254</v>
      </c>
      <c r="L54" s="24" t="n">
        <f aca="false">MAX(0,(G54-JongDeduct)*FairJong)</f>
        <v>1.57984124610317</v>
      </c>
      <c r="M54" s="44" t="n">
        <f aca="false">SUMPRODUCT((L54&gt;JLo)*(L54-JLo)*JD)</f>
        <v>0.00789920623051586</v>
      </c>
      <c r="N54" s="44" t="n">
        <f aca="false">M54*NongJong</f>
        <v>0.00157984124610317</v>
      </c>
      <c r="O54" s="45" t="n">
        <f aca="false">I54+J54+K54+M54+N54</f>
        <v>0.0563540632024587</v>
      </c>
    </row>
    <row r="55" customFormat="false" ht="15" hidden="false" customHeight="false" outlineLevel="0" collapsed="false">
      <c r="A55" s="20" t="n">
        <v>2</v>
      </c>
      <c r="B55" s="43" t="str">
        <f aca="false">INDEX(C_Name,A55)</f>
        <v>e편한세상 문래 에듀플라츠 84.99㎡</v>
      </c>
      <c r="C55" s="20" t="n">
        <v>3</v>
      </c>
      <c r="D55" s="10" t="n">
        <f aca="false">CHOOSE(C55,GrowLo,GrowMid,GrowHi)</f>
        <v>0.06</v>
      </c>
      <c r="E55" s="20" t="n">
        <v>1</v>
      </c>
      <c r="F55" s="24" t="n">
        <f aca="false">INDEX(C_Price,A55)*(1+D55)^(E55-1)</f>
        <v>14.9</v>
      </c>
      <c r="G55" s="24" t="n">
        <f aca="false">F55*Gongsi</f>
        <v>10.281</v>
      </c>
      <c r="H55" s="24" t="n">
        <f aca="false">G55*FairProp</f>
        <v>6.1686</v>
      </c>
      <c r="I55" s="44" t="n">
        <f aca="false">IF(G55&lt;=SpcLimit,SUMPRODUCT((H55&gt;SLo)*(H55-SLo)*SD),SUMPRODUCT((H55&gt;GLo)*(H55-GLo)*GD))</f>
        <v>0.0183744</v>
      </c>
      <c r="J55" s="44" t="n">
        <f aca="false">H55*CityRate</f>
        <v>0.00863604</v>
      </c>
      <c r="K55" s="44" t="n">
        <f aca="false">I55*EduProp</f>
        <v>0.00367488</v>
      </c>
      <c r="L55" s="24" t="n">
        <f aca="false">MAX(0,(G55-JongDeduct)*FairJong)</f>
        <v>0</v>
      </c>
      <c r="M55" s="44" t="n">
        <f aca="false">SUMPRODUCT((L55&gt;JLo)*(L55-JLo)*JD)</f>
        <v>0</v>
      </c>
      <c r="N55" s="44" t="n">
        <f aca="false">M55*NongJong</f>
        <v>0</v>
      </c>
      <c r="O55" s="45" t="n">
        <f aca="false">I55+J55+K55+M55+N55</f>
        <v>0.03068532</v>
      </c>
    </row>
    <row r="56" customFormat="false" ht="15" hidden="false" customHeight="false" outlineLevel="0" collapsed="false">
      <c r="A56" s="20" t="n">
        <v>2</v>
      </c>
      <c r="B56" s="43" t="str">
        <f aca="false">INDEX(C_Name,A56)</f>
        <v>e편한세상 문래 에듀플라츠 84.99㎡</v>
      </c>
      <c r="C56" s="20" t="n">
        <v>3</v>
      </c>
      <c r="D56" s="10" t="n">
        <f aca="false">CHOOSE(C56,GrowLo,GrowMid,GrowHi)</f>
        <v>0.06</v>
      </c>
      <c r="E56" s="20" t="n">
        <v>2</v>
      </c>
      <c r="F56" s="24" t="n">
        <f aca="false">INDEX(C_Price,A56)*(1+D56)^(E56-1)</f>
        <v>15.794</v>
      </c>
      <c r="G56" s="24" t="n">
        <f aca="false">F56*Gongsi</f>
        <v>10.89786</v>
      </c>
      <c r="H56" s="24" t="n">
        <f aca="false">G56*FairProp</f>
        <v>6.538716</v>
      </c>
      <c r="I56" s="44" t="n">
        <f aca="false">IF(G56&lt;=SpcLimit,SUMPRODUCT((H56&gt;SLo)*(H56-SLo)*SD),SUMPRODUCT((H56&gt;GLo)*(H56-GLo)*GD))</f>
        <v>0.019854864</v>
      </c>
      <c r="J56" s="44" t="n">
        <f aca="false">H56*CityRate</f>
        <v>0.0091542024</v>
      </c>
      <c r="K56" s="44" t="n">
        <f aca="false">I56*EduProp</f>
        <v>0.0039709728</v>
      </c>
      <c r="L56" s="24" t="n">
        <f aca="false">MAX(0,(G56-JongDeduct)*FairJong)</f>
        <v>0</v>
      </c>
      <c r="M56" s="44" t="n">
        <f aca="false">SUMPRODUCT((L56&gt;JLo)*(L56-JLo)*JD)</f>
        <v>0</v>
      </c>
      <c r="N56" s="44" t="n">
        <f aca="false">M56*NongJong</f>
        <v>0</v>
      </c>
      <c r="O56" s="45" t="n">
        <f aca="false">I56+J56+K56+M56+N56</f>
        <v>0.0329800392</v>
      </c>
    </row>
    <row r="57" customFormat="false" ht="15" hidden="false" customHeight="false" outlineLevel="0" collapsed="false">
      <c r="A57" s="20" t="n">
        <v>2</v>
      </c>
      <c r="B57" s="43" t="str">
        <f aca="false">INDEX(C_Name,A57)</f>
        <v>e편한세상 문래 에듀플라츠 84.99㎡</v>
      </c>
      <c r="C57" s="20" t="n">
        <v>3</v>
      </c>
      <c r="D57" s="10" t="n">
        <f aca="false">CHOOSE(C57,GrowLo,GrowMid,GrowHi)</f>
        <v>0.06</v>
      </c>
      <c r="E57" s="20" t="n">
        <v>3</v>
      </c>
      <c r="F57" s="24" t="n">
        <f aca="false">INDEX(C_Price,A57)*(1+D57)^(E57-1)</f>
        <v>16.74164</v>
      </c>
      <c r="G57" s="24" t="n">
        <f aca="false">F57*Gongsi</f>
        <v>11.5517316</v>
      </c>
      <c r="H57" s="24" t="n">
        <f aca="false">G57*FairProp</f>
        <v>6.93103896</v>
      </c>
      <c r="I57" s="44" t="n">
        <f aca="false">IF(G57&lt;=SpcLimit,SUMPRODUCT((H57&gt;SLo)*(H57-SLo)*SD),SUMPRODUCT((H57&gt;GLo)*(H57-GLo)*GD))</f>
        <v>0.02142415584</v>
      </c>
      <c r="J57" s="44" t="n">
        <f aca="false">H57*CityRate</f>
        <v>0.009703454544</v>
      </c>
      <c r="K57" s="44" t="n">
        <f aca="false">I57*EduProp</f>
        <v>0.004284831168</v>
      </c>
      <c r="L57" s="24" t="n">
        <f aca="false">MAX(0,(G57-JongDeduct)*FairJong)</f>
        <v>0</v>
      </c>
      <c r="M57" s="44" t="n">
        <f aca="false">SUMPRODUCT((L57&gt;JLo)*(L57-JLo)*JD)</f>
        <v>0</v>
      </c>
      <c r="N57" s="44" t="n">
        <f aca="false">M57*NongJong</f>
        <v>0</v>
      </c>
      <c r="O57" s="45" t="n">
        <f aca="false">I57+J57+K57+M57+N57</f>
        <v>0.035412441552</v>
      </c>
    </row>
    <row r="58" customFormat="false" ht="15" hidden="false" customHeight="false" outlineLevel="0" collapsed="false">
      <c r="A58" s="20" t="n">
        <v>2</v>
      </c>
      <c r="B58" s="43" t="str">
        <f aca="false">INDEX(C_Name,A58)</f>
        <v>e편한세상 문래 에듀플라츠 84.99㎡</v>
      </c>
      <c r="C58" s="20" t="n">
        <v>3</v>
      </c>
      <c r="D58" s="10" t="n">
        <f aca="false">CHOOSE(C58,GrowLo,GrowMid,GrowHi)</f>
        <v>0.06</v>
      </c>
      <c r="E58" s="20" t="n">
        <v>4</v>
      </c>
      <c r="F58" s="24" t="n">
        <f aca="false">INDEX(C_Price,A58)*(1+D58)^(E58-1)</f>
        <v>17.7461384</v>
      </c>
      <c r="G58" s="24" t="n">
        <f aca="false">F58*Gongsi</f>
        <v>12.244835496</v>
      </c>
      <c r="H58" s="24" t="n">
        <f aca="false">G58*FairProp</f>
        <v>7.3469012976</v>
      </c>
      <c r="I58" s="44" t="n">
        <f aca="false">IF(G58&lt;=SpcLimit,SUMPRODUCT((H58&gt;SLo)*(H58-SLo)*SD),SUMPRODUCT((H58&gt;GLo)*(H58-GLo)*GD))</f>
        <v>0.0230876051904</v>
      </c>
      <c r="J58" s="44" t="n">
        <f aca="false">H58*CityRate</f>
        <v>0.01028566181664</v>
      </c>
      <c r="K58" s="44" t="n">
        <f aca="false">I58*EduProp</f>
        <v>0.00461752103808</v>
      </c>
      <c r="L58" s="24" t="n">
        <f aca="false">MAX(0,(G58-JongDeduct)*FairJong)</f>
        <v>0.1469012976</v>
      </c>
      <c r="M58" s="44" t="n">
        <f aca="false">SUMPRODUCT((L58&gt;JLo)*(L58-JLo)*JD)</f>
        <v>0.000734506488000001</v>
      </c>
      <c r="N58" s="44" t="n">
        <f aca="false">M58*NongJong</f>
        <v>0.0001469012976</v>
      </c>
      <c r="O58" s="45" t="n">
        <f aca="false">I58+J58+K58+M58+N58</f>
        <v>0.03887219583072</v>
      </c>
    </row>
    <row r="59" customFormat="false" ht="15" hidden="false" customHeight="false" outlineLevel="0" collapsed="false">
      <c r="A59" s="20" t="n">
        <v>2</v>
      </c>
      <c r="B59" s="43" t="str">
        <f aca="false">INDEX(C_Name,A59)</f>
        <v>e편한세상 문래 에듀플라츠 84.99㎡</v>
      </c>
      <c r="C59" s="20" t="n">
        <v>3</v>
      </c>
      <c r="D59" s="10" t="n">
        <f aca="false">CHOOSE(C59,GrowLo,GrowMid,GrowHi)</f>
        <v>0.06</v>
      </c>
      <c r="E59" s="20" t="n">
        <v>5</v>
      </c>
      <c r="F59" s="24" t="n">
        <f aca="false">INDEX(C_Price,A59)*(1+D59)^(E59-1)</f>
        <v>18.810906704</v>
      </c>
      <c r="G59" s="24" t="n">
        <f aca="false">F59*Gongsi</f>
        <v>12.97952562576</v>
      </c>
      <c r="H59" s="24" t="n">
        <f aca="false">G59*FairProp</f>
        <v>7.787715375456</v>
      </c>
      <c r="I59" s="44" t="n">
        <f aca="false">IF(G59&lt;=SpcLimit,SUMPRODUCT((H59&gt;SLo)*(H59-SLo)*SD),SUMPRODUCT((H59&gt;GLo)*(H59-GLo)*GD))</f>
        <v>0.024850861501824</v>
      </c>
      <c r="J59" s="44" t="n">
        <f aca="false">H59*CityRate</f>
        <v>0.0109028015256384</v>
      </c>
      <c r="K59" s="44" t="n">
        <f aca="false">I59*EduProp</f>
        <v>0.0049701723003648</v>
      </c>
      <c r="L59" s="24" t="n">
        <f aca="false">MAX(0,(G59-JongDeduct)*FairJong)</f>
        <v>0.587715375456002</v>
      </c>
      <c r="M59" s="44" t="n">
        <f aca="false">SUMPRODUCT((L59&gt;JLo)*(L59-JLo)*JD)</f>
        <v>0.00293857687728001</v>
      </c>
      <c r="N59" s="44" t="n">
        <f aca="false">M59*NongJong</f>
        <v>0.000587715375456002</v>
      </c>
      <c r="O59" s="45" t="n">
        <f aca="false">I59+J59+K59+M59+N59</f>
        <v>0.0442501275805632</v>
      </c>
    </row>
    <row r="60" customFormat="false" ht="15" hidden="false" customHeight="false" outlineLevel="0" collapsed="false">
      <c r="A60" s="20" t="n">
        <v>2</v>
      </c>
      <c r="B60" s="43" t="str">
        <f aca="false">INDEX(C_Name,A60)</f>
        <v>e편한세상 문래 에듀플라츠 84.99㎡</v>
      </c>
      <c r="C60" s="20" t="n">
        <v>3</v>
      </c>
      <c r="D60" s="10" t="n">
        <f aca="false">CHOOSE(C60,GrowLo,GrowMid,GrowHi)</f>
        <v>0.06</v>
      </c>
      <c r="E60" s="20" t="n">
        <v>6</v>
      </c>
      <c r="F60" s="24" t="n">
        <f aca="false">INDEX(C_Price,A60)*(1+D60)^(E60-1)</f>
        <v>19.93956110624</v>
      </c>
      <c r="G60" s="24" t="n">
        <f aca="false">F60*Gongsi</f>
        <v>13.7582971633056</v>
      </c>
      <c r="H60" s="24" t="n">
        <f aca="false">G60*FairProp</f>
        <v>8.25497829798336</v>
      </c>
      <c r="I60" s="44" t="n">
        <f aca="false">IF(G60&lt;=SpcLimit,SUMPRODUCT((H60&gt;SLo)*(H60-SLo)*SD),SUMPRODUCT((H60&gt;GLo)*(H60-GLo)*GD))</f>
        <v>0.0267199131919334</v>
      </c>
      <c r="J60" s="44" t="n">
        <f aca="false">H60*CityRate</f>
        <v>0.0115569696171767</v>
      </c>
      <c r="K60" s="44" t="n">
        <f aca="false">I60*EduProp</f>
        <v>0.00534398263838669</v>
      </c>
      <c r="L60" s="24" t="n">
        <f aca="false">MAX(0,(G60-JongDeduct)*FairJong)</f>
        <v>1.05497829798336</v>
      </c>
      <c r="M60" s="44" t="n">
        <f aca="false">SUMPRODUCT((L60&gt;JLo)*(L60-JLo)*JD)</f>
        <v>0.0052748914899168</v>
      </c>
      <c r="N60" s="44" t="n">
        <f aca="false">M60*NongJong</f>
        <v>0.00105497829798336</v>
      </c>
      <c r="O60" s="45" t="n">
        <f aca="false">I60+J60+K60+M60+N60</f>
        <v>0.049950735235397</v>
      </c>
    </row>
    <row r="61" customFormat="false" ht="15" hidden="false" customHeight="false" outlineLevel="0" collapsed="false">
      <c r="A61" s="20" t="n">
        <v>2</v>
      </c>
      <c r="B61" s="43" t="str">
        <f aca="false">INDEX(C_Name,A61)</f>
        <v>e편한세상 문래 에듀플라츠 84.99㎡</v>
      </c>
      <c r="C61" s="20" t="n">
        <v>3</v>
      </c>
      <c r="D61" s="10" t="n">
        <f aca="false">CHOOSE(C61,GrowLo,GrowMid,GrowHi)</f>
        <v>0.06</v>
      </c>
      <c r="E61" s="20" t="n">
        <v>7</v>
      </c>
      <c r="F61" s="24" t="n">
        <f aca="false">INDEX(C_Price,A61)*(1+D61)^(E61-1)</f>
        <v>21.1359347726144</v>
      </c>
      <c r="G61" s="24" t="n">
        <f aca="false">F61*Gongsi</f>
        <v>14.5837949931039</v>
      </c>
      <c r="H61" s="24" t="n">
        <f aca="false">G61*FairProp</f>
        <v>8.75027699586236</v>
      </c>
      <c r="I61" s="44" t="n">
        <f aca="false">IF(G61&lt;=SpcLimit,SUMPRODUCT((H61&gt;SLo)*(H61-SLo)*SD),SUMPRODUCT((H61&gt;GLo)*(H61-GLo)*GD))</f>
        <v>0.0287011079834495</v>
      </c>
      <c r="J61" s="44" t="n">
        <f aca="false">H61*CityRate</f>
        <v>0.0122503877942073</v>
      </c>
      <c r="K61" s="44" t="n">
        <f aca="false">I61*EduProp</f>
        <v>0.00574022159668989</v>
      </c>
      <c r="L61" s="24" t="n">
        <f aca="false">MAX(0,(G61-JongDeduct)*FairJong)</f>
        <v>1.55027699586236</v>
      </c>
      <c r="M61" s="44" t="n">
        <f aca="false">SUMPRODUCT((L61&gt;JLo)*(L61-JLo)*JD)</f>
        <v>0.00775138497931181</v>
      </c>
      <c r="N61" s="44" t="n">
        <f aca="false">M61*NongJong</f>
        <v>0.00155027699586236</v>
      </c>
      <c r="O61" s="45" t="n">
        <f aca="false">I61+J61+K61+M61+N61</f>
        <v>0.0559933793495208</v>
      </c>
    </row>
    <row r="62" customFormat="false" ht="15" hidden="false" customHeight="false" outlineLevel="0" collapsed="false">
      <c r="A62" s="20" t="n">
        <v>2</v>
      </c>
      <c r="B62" s="43" t="str">
        <f aca="false">INDEX(C_Name,A62)</f>
        <v>e편한세상 문래 에듀플라츠 84.99㎡</v>
      </c>
      <c r="C62" s="20" t="n">
        <v>3</v>
      </c>
      <c r="D62" s="10" t="n">
        <f aca="false">CHOOSE(C62,GrowLo,GrowMid,GrowHi)</f>
        <v>0.06</v>
      </c>
      <c r="E62" s="20" t="n">
        <v>8</v>
      </c>
      <c r="F62" s="24" t="n">
        <f aca="false">INDEX(C_Price,A62)*(1+D62)^(E62-1)</f>
        <v>22.4040908589713</v>
      </c>
      <c r="G62" s="24" t="n">
        <f aca="false">F62*Gongsi</f>
        <v>15.4588226926902</v>
      </c>
      <c r="H62" s="24" t="n">
        <f aca="false">G62*FairProp</f>
        <v>9.27529361561411</v>
      </c>
      <c r="I62" s="44" t="n">
        <f aca="false">IF(G62&lt;=SpcLimit,SUMPRODUCT((H62&gt;SLo)*(H62-SLo)*SD),SUMPRODUCT((H62&gt;GLo)*(H62-GLo)*GD))</f>
        <v>0.0308011744624564</v>
      </c>
      <c r="J62" s="44" t="n">
        <f aca="false">H62*CityRate</f>
        <v>0.0129854110618597</v>
      </c>
      <c r="K62" s="44" t="n">
        <f aca="false">I62*EduProp</f>
        <v>0.00616023489249128</v>
      </c>
      <c r="L62" s="24" t="n">
        <f aca="false">MAX(0,(G62-JongDeduct)*FairJong)</f>
        <v>2.07529361561411</v>
      </c>
      <c r="M62" s="44" t="n">
        <f aca="false">SUMPRODUCT((L62&gt;JLo)*(L62-JLo)*JD)</f>
        <v>0.0103764680780705</v>
      </c>
      <c r="N62" s="44" t="n">
        <f aca="false">M62*NongJong</f>
        <v>0.00207529361561411</v>
      </c>
      <c r="O62" s="45" t="n">
        <f aca="false">I62+J62+K62+M62+N62</f>
        <v>0.0623985821104921</v>
      </c>
    </row>
    <row r="63" customFormat="false" ht="15" hidden="false" customHeight="false" outlineLevel="0" collapsed="false">
      <c r="A63" s="20" t="n">
        <v>2</v>
      </c>
      <c r="B63" s="43" t="str">
        <f aca="false">INDEX(C_Name,A63)</f>
        <v>e편한세상 문래 에듀플라츠 84.99㎡</v>
      </c>
      <c r="C63" s="20" t="n">
        <v>3</v>
      </c>
      <c r="D63" s="10" t="n">
        <f aca="false">CHOOSE(C63,GrowLo,GrowMid,GrowHi)</f>
        <v>0.06</v>
      </c>
      <c r="E63" s="20" t="n">
        <v>9</v>
      </c>
      <c r="F63" s="24" t="n">
        <f aca="false">INDEX(C_Price,A63)*(1+D63)^(E63-1)</f>
        <v>23.7483363105096</v>
      </c>
      <c r="G63" s="24" t="n">
        <f aca="false">F63*Gongsi</f>
        <v>16.3863520542516</v>
      </c>
      <c r="H63" s="24" t="n">
        <f aca="false">G63*FairProp</f>
        <v>9.83181123255095</v>
      </c>
      <c r="I63" s="44" t="n">
        <f aca="false">IF(G63&lt;=SpcLimit,SUMPRODUCT((H63&gt;SLo)*(H63-SLo)*SD),SUMPRODUCT((H63&gt;GLo)*(H63-GLo)*GD))</f>
        <v>0.0330272449302038</v>
      </c>
      <c r="J63" s="44" t="n">
        <f aca="false">H63*CityRate</f>
        <v>0.0137645357255713</v>
      </c>
      <c r="K63" s="44" t="n">
        <f aca="false">I63*EduProp</f>
        <v>0.00660544898604076</v>
      </c>
      <c r="L63" s="24" t="n">
        <f aca="false">MAX(0,(G63-JongDeduct)*FairJong)</f>
        <v>2.63181123255095</v>
      </c>
      <c r="M63" s="44" t="n">
        <f aca="false">SUMPRODUCT((L63&gt;JLo)*(L63-JLo)*JD)</f>
        <v>0.0131590561627548</v>
      </c>
      <c r="N63" s="44" t="n">
        <f aca="false">M63*NongJong</f>
        <v>0.00263181123255095</v>
      </c>
      <c r="O63" s="45" t="n">
        <f aca="false">I63+J63+K63+M63+N63</f>
        <v>0.0691880970371216</v>
      </c>
    </row>
    <row r="64" customFormat="false" ht="15" hidden="false" customHeight="false" outlineLevel="0" collapsed="false">
      <c r="A64" s="20" t="n">
        <v>2</v>
      </c>
      <c r="B64" s="43" t="str">
        <f aca="false">INDEX(C_Name,A64)</f>
        <v>e편한세상 문래 에듀플라츠 84.99㎡</v>
      </c>
      <c r="C64" s="20" t="n">
        <v>3</v>
      </c>
      <c r="D64" s="10" t="n">
        <f aca="false">CHOOSE(C64,GrowLo,GrowMid,GrowHi)</f>
        <v>0.06</v>
      </c>
      <c r="E64" s="20" t="n">
        <v>10</v>
      </c>
      <c r="F64" s="24" t="n">
        <f aca="false">INDEX(C_Price,A64)*(1+D64)^(E64-1)</f>
        <v>25.1732364891401</v>
      </c>
      <c r="G64" s="24" t="n">
        <f aca="false">F64*Gongsi</f>
        <v>17.3695331775067</v>
      </c>
      <c r="H64" s="24" t="n">
        <f aca="false">G64*FairProp</f>
        <v>10.421719906504</v>
      </c>
      <c r="I64" s="44" t="n">
        <f aca="false">IF(G64&lt;=SpcLimit,SUMPRODUCT((H64&gt;SLo)*(H64-SLo)*SD),SUMPRODUCT((H64&gt;GLo)*(H64-GLo)*GD))</f>
        <v>0.0353868796260161</v>
      </c>
      <c r="J64" s="44" t="n">
        <f aca="false">H64*CityRate</f>
        <v>0.0145904078691056</v>
      </c>
      <c r="K64" s="44" t="n">
        <f aca="false">I64*EduProp</f>
        <v>0.00707737592520321</v>
      </c>
      <c r="L64" s="24" t="n">
        <f aca="false">MAX(0,(G64-JongDeduct)*FairJong)</f>
        <v>3.22171990650401</v>
      </c>
      <c r="M64" s="44" t="n">
        <f aca="false">SUMPRODUCT((L64&gt;JLo)*(L64-JLo)*JD)</f>
        <v>0.0165520393455281</v>
      </c>
      <c r="N64" s="44" t="n">
        <f aca="false">M64*NongJong</f>
        <v>0.00331040786910562</v>
      </c>
      <c r="O64" s="45" t="n">
        <f aca="false">I64+J64+K64+M64+N64</f>
        <v>0.0769171106349586</v>
      </c>
    </row>
    <row r="65" customFormat="false" ht="15" hidden="false" customHeight="false" outlineLevel="0" collapsed="false">
      <c r="A65" s="20" t="n">
        <v>3</v>
      </c>
      <c r="B65" s="43" t="str">
        <f aca="false">INDEX(C_Name,A65)</f>
        <v>문래자이 84㎡</v>
      </c>
      <c r="C65" s="20" t="n">
        <v>1</v>
      </c>
      <c r="D65" s="10" t="n">
        <f aca="false">CHOOSE(C65,GrowLo,GrowMid,GrowHi)</f>
        <v>0.02</v>
      </c>
      <c r="E65" s="20" t="n">
        <v>1</v>
      </c>
      <c r="F65" s="24" t="n">
        <f aca="false">INDEX(C_Price,A65)*(1+D65)^(E65-1)</f>
        <v>19.5</v>
      </c>
      <c r="G65" s="24" t="n">
        <f aca="false">F65*Gongsi</f>
        <v>13.455</v>
      </c>
      <c r="H65" s="24" t="n">
        <f aca="false">G65*FairProp</f>
        <v>8.073</v>
      </c>
      <c r="I65" s="44" t="n">
        <f aca="false">IF(G65&lt;=SpcLimit,SUMPRODUCT((H65&gt;SLo)*(H65-SLo)*SD),SUMPRODUCT((H65&gt;GLo)*(H65-GLo)*GD))</f>
        <v>0.025992</v>
      </c>
      <c r="J65" s="44" t="n">
        <f aca="false">H65*CityRate</f>
        <v>0.0113022</v>
      </c>
      <c r="K65" s="44" t="n">
        <f aca="false">I65*EduProp</f>
        <v>0.0051984</v>
      </c>
      <c r="L65" s="24" t="n">
        <f aca="false">MAX(0,(G65-JongDeduct)*FairJong)</f>
        <v>0.872999999999999</v>
      </c>
      <c r="M65" s="44" t="n">
        <f aca="false">SUMPRODUCT((L65&gt;JLo)*(L65-JLo)*JD)</f>
        <v>0.004365</v>
      </c>
      <c r="N65" s="44" t="n">
        <f aca="false">M65*NongJong</f>
        <v>0.000872999999999999</v>
      </c>
      <c r="O65" s="45" t="n">
        <f aca="false">I65+J65+K65+M65+N65</f>
        <v>0.0477306</v>
      </c>
    </row>
    <row r="66" customFormat="false" ht="15" hidden="false" customHeight="false" outlineLevel="0" collapsed="false">
      <c r="A66" s="20" t="n">
        <v>3</v>
      </c>
      <c r="B66" s="43" t="str">
        <f aca="false">INDEX(C_Name,A66)</f>
        <v>문래자이 84㎡</v>
      </c>
      <c r="C66" s="20" t="n">
        <v>1</v>
      </c>
      <c r="D66" s="10" t="n">
        <f aca="false">CHOOSE(C66,GrowLo,GrowMid,GrowHi)</f>
        <v>0.02</v>
      </c>
      <c r="E66" s="20" t="n">
        <v>2</v>
      </c>
      <c r="F66" s="24" t="n">
        <f aca="false">INDEX(C_Price,A66)*(1+D66)^(E66-1)</f>
        <v>19.89</v>
      </c>
      <c r="G66" s="24" t="n">
        <f aca="false">F66*Gongsi</f>
        <v>13.7241</v>
      </c>
      <c r="H66" s="24" t="n">
        <f aca="false">G66*FairProp</f>
        <v>8.23446</v>
      </c>
      <c r="I66" s="44" t="n">
        <f aca="false">IF(G66&lt;=SpcLimit,SUMPRODUCT((H66&gt;SLo)*(H66-SLo)*SD),SUMPRODUCT((H66&gt;GLo)*(H66-GLo)*GD))</f>
        <v>0.02663784</v>
      </c>
      <c r="J66" s="44" t="n">
        <f aca="false">H66*CityRate</f>
        <v>0.011528244</v>
      </c>
      <c r="K66" s="44" t="n">
        <f aca="false">I66*EduProp</f>
        <v>0.005327568</v>
      </c>
      <c r="L66" s="24" t="n">
        <f aca="false">MAX(0,(G66-JongDeduct)*FairJong)</f>
        <v>1.03446</v>
      </c>
      <c r="M66" s="44" t="n">
        <f aca="false">SUMPRODUCT((L66&gt;JLo)*(L66-JLo)*JD)</f>
        <v>0.0051723</v>
      </c>
      <c r="N66" s="44" t="n">
        <f aca="false">M66*NongJong</f>
        <v>0.00103446</v>
      </c>
      <c r="O66" s="45" t="n">
        <f aca="false">I66+J66+K66+M66+N66</f>
        <v>0.049700412</v>
      </c>
    </row>
    <row r="67" customFormat="false" ht="15" hidden="false" customHeight="false" outlineLevel="0" collapsed="false">
      <c r="A67" s="20" t="n">
        <v>3</v>
      </c>
      <c r="B67" s="43" t="str">
        <f aca="false">INDEX(C_Name,A67)</f>
        <v>문래자이 84㎡</v>
      </c>
      <c r="C67" s="20" t="n">
        <v>1</v>
      </c>
      <c r="D67" s="10" t="n">
        <f aca="false">CHOOSE(C67,GrowLo,GrowMid,GrowHi)</f>
        <v>0.02</v>
      </c>
      <c r="E67" s="20" t="n">
        <v>3</v>
      </c>
      <c r="F67" s="24" t="n">
        <f aca="false">INDEX(C_Price,A67)*(1+D67)^(E67-1)</f>
        <v>20.2878</v>
      </c>
      <c r="G67" s="24" t="n">
        <f aca="false">F67*Gongsi</f>
        <v>13.998582</v>
      </c>
      <c r="H67" s="24" t="n">
        <f aca="false">G67*FairProp</f>
        <v>8.3991492</v>
      </c>
      <c r="I67" s="44" t="n">
        <f aca="false">IF(G67&lt;=SpcLimit,SUMPRODUCT((H67&gt;SLo)*(H67-SLo)*SD),SUMPRODUCT((H67&gt;GLo)*(H67-GLo)*GD))</f>
        <v>0.0272965968</v>
      </c>
      <c r="J67" s="44" t="n">
        <f aca="false">H67*CityRate</f>
        <v>0.01175880888</v>
      </c>
      <c r="K67" s="44" t="n">
        <f aca="false">I67*EduProp</f>
        <v>0.00545931936</v>
      </c>
      <c r="L67" s="24" t="n">
        <f aca="false">MAX(0,(G67-JongDeduct)*FairJong)</f>
        <v>1.1991492</v>
      </c>
      <c r="M67" s="44" t="n">
        <f aca="false">SUMPRODUCT((L67&gt;JLo)*(L67-JLo)*JD)</f>
        <v>0.005995746</v>
      </c>
      <c r="N67" s="44" t="n">
        <f aca="false">M67*NongJong</f>
        <v>0.0011991492</v>
      </c>
      <c r="O67" s="45" t="n">
        <f aca="false">I67+J67+K67+M67+N67</f>
        <v>0.05170962024</v>
      </c>
    </row>
    <row r="68" customFormat="false" ht="15" hidden="false" customHeight="false" outlineLevel="0" collapsed="false">
      <c r="A68" s="20" t="n">
        <v>3</v>
      </c>
      <c r="B68" s="43" t="str">
        <f aca="false">INDEX(C_Name,A68)</f>
        <v>문래자이 84㎡</v>
      </c>
      <c r="C68" s="20" t="n">
        <v>1</v>
      </c>
      <c r="D68" s="10" t="n">
        <f aca="false">CHOOSE(C68,GrowLo,GrowMid,GrowHi)</f>
        <v>0.02</v>
      </c>
      <c r="E68" s="20" t="n">
        <v>4</v>
      </c>
      <c r="F68" s="24" t="n">
        <f aca="false">INDEX(C_Price,A68)*(1+D68)^(E68-1)</f>
        <v>20.693556</v>
      </c>
      <c r="G68" s="24" t="n">
        <f aca="false">F68*Gongsi</f>
        <v>14.27855364</v>
      </c>
      <c r="H68" s="24" t="n">
        <f aca="false">G68*FairProp</f>
        <v>8.567132184</v>
      </c>
      <c r="I68" s="44" t="n">
        <f aca="false">IF(G68&lt;=SpcLimit,SUMPRODUCT((H68&gt;SLo)*(H68-SLo)*SD),SUMPRODUCT((H68&gt;GLo)*(H68-GLo)*GD))</f>
        <v>0.027968528736</v>
      </c>
      <c r="J68" s="44" t="n">
        <f aca="false">H68*CityRate</f>
        <v>0.0119939850576</v>
      </c>
      <c r="K68" s="44" t="n">
        <f aca="false">I68*EduProp</f>
        <v>0.0055937057472</v>
      </c>
      <c r="L68" s="24" t="n">
        <f aca="false">MAX(0,(G68-JongDeduct)*FairJong)</f>
        <v>1.367132184</v>
      </c>
      <c r="M68" s="44" t="n">
        <f aca="false">SUMPRODUCT((L68&gt;JLo)*(L68-JLo)*JD)</f>
        <v>0.00683566092000001</v>
      </c>
      <c r="N68" s="44" t="n">
        <f aca="false">M68*NongJong</f>
        <v>0.001367132184</v>
      </c>
      <c r="O68" s="45" t="n">
        <f aca="false">I68+J68+K68+M68+N68</f>
        <v>0.0537590126448</v>
      </c>
    </row>
    <row r="69" customFormat="false" ht="15" hidden="false" customHeight="false" outlineLevel="0" collapsed="false">
      <c r="A69" s="20" t="n">
        <v>3</v>
      </c>
      <c r="B69" s="43" t="str">
        <f aca="false">INDEX(C_Name,A69)</f>
        <v>문래자이 84㎡</v>
      </c>
      <c r="C69" s="20" t="n">
        <v>1</v>
      </c>
      <c r="D69" s="10" t="n">
        <f aca="false">CHOOSE(C69,GrowLo,GrowMid,GrowHi)</f>
        <v>0.02</v>
      </c>
      <c r="E69" s="20" t="n">
        <v>5</v>
      </c>
      <c r="F69" s="24" t="n">
        <f aca="false">INDEX(C_Price,A69)*(1+D69)^(E69-1)</f>
        <v>21.10742712</v>
      </c>
      <c r="G69" s="24" t="n">
        <f aca="false">F69*Gongsi</f>
        <v>14.5641247128</v>
      </c>
      <c r="H69" s="24" t="n">
        <f aca="false">G69*FairProp</f>
        <v>8.73847482768</v>
      </c>
      <c r="I69" s="44" t="n">
        <f aca="false">IF(G69&lt;=SpcLimit,SUMPRODUCT((H69&gt;SLo)*(H69-SLo)*SD),SUMPRODUCT((H69&gt;GLo)*(H69-GLo)*GD))</f>
        <v>0.02865389931072</v>
      </c>
      <c r="J69" s="44" t="n">
        <f aca="false">H69*CityRate</f>
        <v>0.012233864758752</v>
      </c>
      <c r="K69" s="44" t="n">
        <f aca="false">I69*EduProp</f>
        <v>0.005730779862144</v>
      </c>
      <c r="L69" s="24" t="n">
        <f aca="false">MAX(0,(G69-JongDeduct)*FairJong)</f>
        <v>1.53847482768</v>
      </c>
      <c r="M69" s="44" t="n">
        <f aca="false">SUMPRODUCT((L69&gt;JLo)*(L69-JLo)*JD)</f>
        <v>0.0076923741384</v>
      </c>
      <c r="N69" s="44" t="n">
        <f aca="false">M69*NongJong</f>
        <v>0.00153847482768</v>
      </c>
      <c r="O69" s="45" t="n">
        <f aca="false">I69+J69+K69+M69+N69</f>
        <v>0.055849392897696</v>
      </c>
    </row>
    <row r="70" customFormat="false" ht="15" hidden="false" customHeight="false" outlineLevel="0" collapsed="false">
      <c r="A70" s="20" t="n">
        <v>3</v>
      </c>
      <c r="B70" s="43" t="str">
        <f aca="false">INDEX(C_Name,A70)</f>
        <v>문래자이 84㎡</v>
      </c>
      <c r="C70" s="20" t="n">
        <v>1</v>
      </c>
      <c r="D70" s="10" t="n">
        <f aca="false">CHOOSE(C70,GrowLo,GrowMid,GrowHi)</f>
        <v>0.02</v>
      </c>
      <c r="E70" s="20" t="n">
        <v>6</v>
      </c>
      <c r="F70" s="24" t="n">
        <f aca="false">INDEX(C_Price,A70)*(1+D70)^(E70-1)</f>
        <v>21.5295756624</v>
      </c>
      <c r="G70" s="24" t="n">
        <f aca="false">F70*Gongsi</f>
        <v>14.855407207056</v>
      </c>
      <c r="H70" s="24" t="n">
        <f aca="false">G70*FairProp</f>
        <v>8.9132443242336</v>
      </c>
      <c r="I70" s="44" t="n">
        <f aca="false">IF(G70&lt;=SpcLimit,SUMPRODUCT((H70&gt;SLo)*(H70-SLo)*SD),SUMPRODUCT((H70&gt;GLo)*(H70-GLo)*GD))</f>
        <v>0.0293529772969344</v>
      </c>
      <c r="J70" s="44" t="n">
        <f aca="false">H70*CityRate</f>
        <v>0.012478542053927</v>
      </c>
      <c r="K70" s="44" t="n">
        <f aca="false">I70*EduProp</f>
        <v>0.00587059545938688</v>
      </c>
      <c r="L70" s="24" t="n">
        <f aca="false">MAX(0,(G70-JongDeduct)*FairJong)</f>
        <v>1.7132443242336</v>
      </c>
      <c r="M70" s="44" t="n">
        <f aca="false">SUMPRODUCT((L70&gt;JLo)*(L70-JLo)*JD)</f>
        <v>0.008566221621168</v>
      </c>
      <c r="N70" s="44" t="n">
        <f aca="false">M70*NongJong</f>
        <v>0.0017132443242336</v>
      </c>
      <c r="O70" s="45" t="n">
        <f aca="false">I70+J70+K70+M70+N70</f>
        <v>0.0579815807556499</v>
      </c>
    </row>
    <row r="71" customFormat="false" ht="15" hidden="false" customHeight="false" outlineLevel="0" collapsed="false">
      <c r="A71" s="20" t="n">
        <v>3</v>
      </c>
      <c r="B71" s="43" t="str">
        <f aca="false">INDEX(C_Name,A71)</f>
        <v>문래자이 84㎡</v>
      </c>
      <c r="C71" s="20" t="n">
        <v>1</v>
      </c>
      <c r="D71" s="10" t="n">
        <f aca="false">CHOOSE(C71,GrowLo,GrowMid,GrowHi)</f>
        <v>0.02</v>
      </c>
      <c r="E71" s="20" t="n">
        <v>7</v>
      </c>
      <c r="F71" s="24" t="n">
        <f aca="false">INDEX(C_Price,A71)*(1+D71)^(E71-1)</f>
        <v>21.960167175648</v>
      </c>
      <c r="G71" s="24" t="n">
        <f aca="false">F71*Gongsi</f>
        <v>15.1525153511971</v>
      </c>
      <c r="H71" s="24" t="n">
        <f aca="false">G71*FairProp</f>
        <v>9.09150921071827</v>
      </c>
      <c r="I71" s="44" t="n">
        <f aca="false">IF(G71&lt;=SpcLimit,SUMPRODUCT((H71&gt;SLo)*(H71-SLo)*SD),SUMPRODUCT((H71&gt;GLo)*(H71-GLo)*GD))</f>
        <v>0.0300660368428731</v>
      </c>
      <c r="J71" s="44" t="n">
        <f aca="false">H71*CityRate</f>
        <v>0.0127281128950056</v>
      </c>
      <c r="K71" s="44" t="n">
        <f aca="false">I71*EduProp</f>
        <v>0.00601320736857462</v>
      </c>
      <c r="L71" s="24" t="n">
        <f aca="false">MAX(0,(G71-JongDeduct)*FairJong)</f>
        <v>1.89150921071827</v>
      </c>
      <c r="M71" s="44" t="n">
        <f aca="false">SUMPRODUCT((L71&gt;JLo)*(L71-JLo)*JD)</f>
        <v>0.00945754605359136</v>
      </c>
      <c r="N71" s="44" t="n">
        <f aca="false">M71*NongJong</f>
        <v>0.00189150921071827</v>
      </c>
      <c r="O71" s="45" t="n">
        <f aca="false">I71+J71+K71+M71+N71</f>
        <v>0.0601564123707629</v>
      </c>
    </row>
    <row r="72" customFormat="false" ht="15" hidden="false" customHeight="false" outlineLevel="0" collapsed="false">
      <c r="A72" s="20" t="n">
        <v>3</v>
      </c>
      <c r="B72" s="43" t="str">
        <f aca="false">INDEX(C_Name,A72)</f>
        <v>문래자이 84㎡</v>
      </c>
      <c r="C72" s="20" t="n">
        <v>1</v>
      </c>
      <c r="D72" s="10" t="n">
        <f aca="false">CHOOSE(C72,GrowLo,GrowMid,GrowHi)</f>
        <v>0.02</v>
      </c>
      <c r="E72" s="20" t="n">
        <v>8</v>
      </c>
      <c r="F72" s="24" t="n">
        <f aca="false">INDEX(C_Price,A72)*(1+D72)^(E72-1)</f>
        <v>22.399370519161</v>
      </c>
      <c r="G72" s="24" t="n">
        <f aca="false">F72*Gongsi</f>
        <v>15.4555656582211</v>
      </c>
      <c r="H72" s="24" t="n">
        <f aca="false">G72*FairProp</f>
        <v>9.27333939493264</v>
      </c>
      <c r="I72" s="44" t="n">
        <f aca="false">IF(G72&lt;=SpcLimit,SUMPRODUCT((H72&gt;SLo)*(H72-SLo)*SD),SUMPRODUCT((H72&gt;GLo)*(H72-GLo)*GD))</f>
        <v>0.0307933575797305</v>
      </c>
      <c r="J72" s="44" t="n">
        <f aca="false">H72*CityRate</f>
        <v>0.0129826751529057</v>
      </c>
      <c r="K72" s="44" t="n">
        <f aca="false">I72*EduProp</f>
        <v>0.00615867151594611</v>
      </c>
      <c r="L72" s="24" t="n">
        <f aca="false">MAX(0,(G72-JongDeduct)*FairJong)</f>
        <v>2.07333939493264</v>
      </c>
      <c r="M72" s="44" t="n">
        <f aca="false">SUMPRODUCT((L72&gt;JLo)*(L72-JLo)*JD)</f>
        <v>0.0103666969746632</v>
      </c>
      <c r="N72" s="44" t="n">
        <f aca="false">M72*NongJong</f>
        <v>0.00207333939493264</v>
      </c>
      <c r="O72" s="45" t="n">
        <f aca="false">I72+J72+K72+M72+N72</f>
        <v>0.0623747406181782</v>
      </c>
    </row>
    <row r="73" customFormat="false" ht="15" hidden="false" customHeight="false" outlineLevel="0" collapsed="false">
      <c r="A73" s="20" t="n">
        <v>3</v>
      </c>
      <c r="B73" s="43" t="str">
        <f aca="false">INDEX(C_Name,A73)</f>
        <v>문래자이 84㎡</v>
      </c>
      <c r="C73" s="20" t="n">
        <v>1</v>
      </c>
      <c r="D73" s="10" t="n">
        <f aca="false">CHOOSE(C73,GrowLo,GrowMid,GrowHi)</f>
        <v>0.02</v>
      </c>
      <c r="E73" s="20" t="n">
        <v>9</v>
      </c>
      <c r="F73" s="24" t="n">
        <f aca="false">INDEX(C_Price,A73)*(1+D73)^(E73-1)</f>
        <v>22.8473579295442</v>
      </c>
      <c r="G73" s="24" t="n">
        <f aca="false">F73*Gongsi</f>
        <v>15.7646769713855</v>
      </c>
      <c r="H73" s="24" t="n">
        <f aca="false">G73*FairProp</f>
        <v>9.45880618283129</v>
      </c>
      <c r="I73" s="44" t="n">
        <f aca="false">IF(G73&lt;=SpcLimit,SUMPRODUCT((H73&gt;SLo)*(H73-SLo)*SD),SUMPRODUCT((H73&gt;GLo)*(H73-GLo)*GD))</f>
        <v>0.0315352247313252</v>
      </c>
      <c r="J73" s="44" t="n">
        <f aca="false">H73*CityRate</f>
        <v>0.0132423286559638</v>
      </c>
      <c r="K73" s="44" t="n">
        <f aca="false">I73*EduProp</f>
        <v>0.00630704494626503</v>
      </c>
      <c r="L73" s="24" t="n">
        <f aca="false">MAX(0,(G73-JongDeduct)*FairJong)</f>
        <v>2.25880618283129</v>
      </c>
      <c r="M73" s="44" t="n">
        <f aca="false">SUMPRODUCT((L73&gt;JLo)*(L73-JLo)*JD)</f>
        <v>0.0112940309141565</v>
      </c>
      <c r="N73" s="44" t="n">
        <f aca="false">M73*NongJong</f>
        <v>0.00225880618283129</v>
      </c>
      <c r="O73" s="45" t="n">
        <f aca="false">I73+J73+K73+M73+N73</f>
        <v>0.0646374354305417</v>
      </c>
    </row>
    <row r="74" customFormat="false" ht="15" hidden="false" customHeight="false" outlineLevel="0" collapsed="false">
      <c r="A74" s="20" t="n">
        <v>3</v>
      </c>
      <c r="B74" s="43" t="str">
        <f aca="false">INDEX(C_Name,A74)</f>
        <v>문래자이 84㎡</v>
      </c>
      <c r="C74" s="20" t="n">
        <v>1</v>
      </c>
      <c r="D74" s="10" t="n">
        <f aca="false">CHOOSE(C74,GrowLo,GrowMid,GrowHi)</f>
        <v>0.02</v>
      </c>
      <c r="E74" s="20" t="n">
        <v>10</v>
      </c>
      <c r="F74" s="24" t="n">
        <f aca="false">INDEX(C_Price,A74)*(1+D74)^(E74-1)</f>
        <v>23.3043050881351</v>
      </c>
      <c r="G74" s="24" t="n">
        <f aca="false">F74*Gongsi</f>
        <v>16.0799705108132</v>
      </c>
      <c r="H74" s="24" t="n">
        <f aca="false">G74*FairProp</f>
        <v>9.64798230648792</v>
      </c>
      <c r="I74" s="44" t="n">
        <f aca="false">IF(G74&lt;=SpcLimit,SUMPRODUCT((H74&gt;SLo)*(H74-SLo)*SD),SUMPRODUCT((H74&gt;GLo)*(H74-GLo)*GD))</f>
        <v>0.0322919292259517</v>
      </c>
      <c r="J74" s="44" t="n">
        <f aca="false">H74*CityRate</f>
        <v>0.0135071752290831</v>
      </c>
      <c r="K74" s="44" t="n">
        <f aca="false">I74*EduProp</f>
        <v>0.00645838584519033</v>
      </c>
      <c r="L74" s="24" t="n">
        <f aca="false">MAX(0,(G74-JongDeduct)*FairJong)</f>
        <v>2.44798230648792</v>
      </c>
      <c r="M74" s="44" t="n">
        <f aca="false">SUMPRODUCT((L74&gt;JLo)*(L74-JLo)*JD)</f>
        <v>0.0122399115324396</v>
      </c>
      <c r="N74" s="44" t="n">
        <f aca="false">M74*NongJong</f>
        <v>0.00244798230648792</v>
      </c>
      <c r="O74" s="45" t="n">
        <f aca="false">I74+J74+K74+M74+N74</f>
        <v>0.0669453841391526</v>
      </c>
    </row>
    <row r="75" customFormat="false" ht="15" hidden="false" customHeight="false" outlineLevel="0" collapsed="false">
      <c r="A75" s="20" t="n">
        <v>3</v>
      </c>
      <c r="B75" s="43" t="str">
        <f aca="false">INDEX(C_Name,A75)</f>
        <v>문래자이 84㎡</v>
      </c>
      <c r="C75" s="20" t="n">
        <v>2</v>
      </c>
      <c r="D75" s="10" t="n">
        <f aca="false">CHOOSE(C75,GrowLo,GrowMid,GrowHi)</f>
        <v>0.04</v>
      </c>
      <c r="E75" s="20" t="n">
        <v>1</v>
      </c>
      <c r="F75" s="24" t="n">
        <f aca="false">INDEX(C_Price,A75)*(1+D75)^(E75-1)</f>
        <v>19.5</v>
      </c>
      <c r="G75" s="24" t="n">
        <f aca="false">F75*Gongsi</f>
        <v>13.455</v>
      </c>
      <c r="H75" s="24" t="n">
        <f aca="false">G75*FairProp</f>
        <v>8.073</v>
      </c>
      <c r="I75" s="44" t="n">
        <f aca="false">IF(G75&lt;=SpcLimit,SUMPRODUCT((H75&gt;SLo)*(H75-SLo)*SD),SUMPRODUCT((H75&gt;GLo)*(H75-GLo)*GD))</f>
        <v>0.025992</v>
      </c>
      <c r="J75" s="44" t="n">
        <f aca="false">H75*CityRate</f>
        <v>0.0113022</v>
      </c>
      <c r="K75" s="44" t="n">
        <f aca="false">I75*EduProp</f>
        <v>0.0051984</v>
      </c>
      <c r="L75" s="24" t="n">
        <f aca="false">MAX(0,(G75-JongDeduct)*FairJong)</f>
        <v>0.872999999999999</v>
      </c>
      <c r="M75" s="44" t="n">
        <f aca="false">SUMPRODUCT((L75&gt;JLo)*(L75-JLo)*JD)</f>
        <v>0.004365</v>
      </c>
      <c r="N75" s="44" t="n">
        <f aca="false">M75*NongJong</f>
        <v>0.000872999999999999</v>
      </c>
      <c r="O75" s="45" t="n">
        <f aca="false">I75+J75+K75+M75+N75</f>
        <v>0.0477306</v>
      </c>
    </row>
    <row r="76" customFormat="false" ht="15" hidden="false" customHeight="false" outlineLevel="0" collapsed="false">
      <c r="A76" s="20" t="n">
        <v>3</v>
      </c>
      <c r="B76" s="43" t="str">
        <f aca="false">INDEX(C_Name,A76)</f>
        <v>문래자이 84㎡</v>
      </c>
      <c r="C76" s="20" t="n">
        <v>2</v>
      </c>
      <c r="D76" s="10" t="n">
        <f aca="false">CHOOSE(C76,GrowLo,GrowMid,GrowHi)</f>
        <v>0.04</v>
      </c>
      <c r="E76" s="20" t="n">
        <v>2</v>
      </c>
      <c r="F76" s="24" t="n">
        <f aca="false">INDEX(C_Price,A76)*(1+D76)^(E76-1)</f>
        <v>20.28</v>
      </c>
      <c r="G76" s="24" t="n">
        <f aca="false">F76*Gongsi</f>
        <v>13.9932</v>
      </c>
      <c r="H76" s="24" t="n">
        <f aca="false">G76*FairProp</f>
        <v>8.39592</v>
      </c>
      <c r="I76" s="44" t="n">
        <f aca="false">IF(G76&lt;=SpcLimit,SUMPRODUCT((H76&gt;SLo)*(H76-SLo)*SD),SUMPRODUCT((H76&gt;GLo)*(H76-GLo)*GD))</f>
        <v>0.02728368</v>
      </c>
      <c r="J76" s="44" t="n">
        <f aca="false">H76*CityRate</f>
        <v>0.011754288</v>
      </c>
      <c r="K76" s="44" t="n">
        <f aca="false">I76*EduProp</f>
        <v>0.005456736</v>
      </c>
      <c r="L76" s="24" t="n">
        <f aca="false">MAX(0,(G76-JongDeduct)*FairJong)</f>
        <v>1.19592</v>
      </c>
      <c r="M76" s="44" t="n">
        <f aca="false">SUMPRODUCT((L76&gt;JLo)*(L76-JLo)*JD)</f>
        <v>0.0059796</v>
      </c>
      <c r="N76" s="44" t="n">
        <f aca="false">M76*NongJong</f>
        <v>0.00119592</v>
      </c>
      <c r="O76" s="45" t="n">
        <f aca="false">I76+J76+K76+M76+N76</f>
        <v>0.051670224</v>
      </c>
    </row>
    <row r="77" customFormat="false" ht="15" hidden="false" customHeight="false" outlineLevel="0" collapsed="false">
      <c r="A77" s="20" t="n">
        <v>3</v>
      </c>
      <c r="B77" s="43" t="str">
        <f aca="false">INDEX(C_Name,A77)</f>
        <v>문래자이 84㎡</v>
      </c>
      <c r="C77" s="20" t="n">
        <v>2</v>
      </c>
      <c r="D77" s="10" t="n">
        <f aca="false">CHOOSE(C77,GrowLo,GrowMid,GrowHi)</f>
        <v>0.04</v>
      </c>
      <c r="E77" s="20" t="n">
        <v>3</v>
      </c>
      <c r="F77" s="24" t="n">
        <f aca="false">INDEX(C_Price,A77)*(1+D77)^(E77-1)</f>
        <v>21.0912</v>
      </c>
      <c r="G77" s="24" t="n">
        <f aca="false">F77*Gongsi</f>
        <v>14.552928</v>
      </c>
      <c r="H77" s="24" t="n">
        <f aca="false">G77*FairProp</f>
        <v>8.7317568</v>
      </c>
      <c r="I77" s="44" t="n">
        <f aca="false">IF(G77&lt;=SpcLimit,SUMPRODUCT((H77&gt;SLo)*(H77-SLo)*SD),SUMPRODUCT((H77&gt;GLo)*(H77-GLo)*GD))</f>
        <v>0.0286270272</v>
      </c>
      <c r="J77" s="44" t="n">
        <f aca="false">H77*CityRate</f>
        <v>0.01222445952</v>
      </c>
      <c r="K77" s="44" t="n">
        <f aca="false">I77*EduProp</f>
        <v>0.00572540544</v>
      </c>
      <c r="L77" s="24" t="n">
        <f aca="false">MAX(0,(G77-JongDeduct)*FairJong)</f>
        <v>1.5317568</v>
      </c>
      <c r="M77" s="44" t="n">
        <f aca="false">SUMPRODUCT((L77&gt;JLo)*(L77-JLo)*JD)</f>
        <v>0.007658784</v>
      </c>
      <c r="N77" s="44" t="n">
        <f aca="false">M77*NongJong</f>
        <v>0.0015317568</v>
      </c>
      <c r="O77" s="45" t="n">
        <f aca="false">I77+J77+K77+M77+N77</f>
        <v>0.05576743296</v>
      </c>
    </row>
    <row r="78" customFormat="false" ht="15" hidden="false" customHeight="false" outlineLevel="0" collapsed="false">
      <c r="A78" s="20" t="n">
        <v>3</v>
      </c>
      <c r="B78" s="43" t="str">
        <f aca="false">INDEX(C_Name,A78)</f>
        <v>문래자이 84㎡</v>
      </c>
      <c r="C78" s="20" t="n">
        <v>2</v>
      </c>
      <c r="D78" s="10" t="n">
        <f aca="false">CHOOSE(C78,GrowLo,GrowMid,GrowHi)</f>
        <v>0.04</v>
      </c>
      <c r="E78" s="20" t="n">
        <v>4</v>
      </c>
      <c r="F78" s="24" t="n">
        <f aca="false">INDEX(C_Price,A78)*(1+D78)^(E78-1)</f>
        <v>21.934848</v>
      </c>
      <c r="G78" s="24" t="n">
        <f aca="false">F78*Gongsi</f>
        <v>15.13504512</v>
      </c>
      <c r="H78" s="24" t="n">
        <f aca="false">G78*FairProp</f>
        <v>9.081027072</v>
      </c>
      <c r="I78" s="44" t="n">
        <f aca="false">IF(G78&lt;=SpcLimit,SUMPRODUCT((H78&gt;SLo)*(H78-SLo)*SD),SUMPRODUCT((H78&gt;GLo)*(H78-GLo)*GD))</f>
        <v>0.030024108288</v>
      </c>
      <c r="J78" s="44" t="n">
        <f aca="false">H78*CityRate</f>
        <v>0.0127134379008</v>
      </c>
      <c r="K78" s="44" t="n">
        <f aca="false">I78*EduProp</f>
        <v>0.0060048216576</v>
      </c>
      <c r="L78" s="24" t="n">
        <f aca="false">MAX(0,(G78-JongDeduct)*FairJong)</f>
        <v>1.881027072</v>
      </c>
      <c r="M78" s="44" t="n">
        <f aca="false">SUMPRODUCT((L78&gt;JLo)*(L78-JLo)*JD)</f>
        <v>0.00940513536</v>
      </c>
      <c r="N78" s="44" t="n">
        <f aca="false">M78*NongJong</f>
        <v>0.001881027072</v>
      </c>
      <c r="O78" s="45" t="n">
        <f aca="false">I78+J78+K78+M78+N78</f>
        <v>0.0600285302784</v>
      </c>
    </row>
    <row r="79" customFormat="false" ht="15" hidden="false" customHeight="false" outlineLevel="0" collapsed="false">
      <c r="A79" s="20" t="n">
        <v>3</v>
      </c>
      <c r="B79" s="43" t="str">
        <f aca="false">INDEX(C_Name,A79)</f>
        <v>문래자이 84㎡</v>
      </c>
      <c r="C79" s="20" t="n">
        <v>2</v>
      </c>
      <c r="D79" s="10" t="n">
        <f aca="false">CHOOSE(C79,GrowLo,GrowMid,GrowHi)</f>
        <v>0.04</v>
      </c>
      <c r="E79" s="20" t="n">
        <v>5</v>
      </c>
      <c r="F79" s="24" t="n">
        <f aca="false">INDEX(C_Price,A79)*(1+D79)^(E79-1)</f>
        <v>22.81224192</v>
      </c>
      <c r="G79" s="24" t="n">
        <f aca="false">F79*Gongsi</f>
        <v>15.7404469248</v>
      </c>
      <c r="H79" s="24" t="n">
        <f aca="false">G79*FairProp</f>
        <v>9.44426815488</v>
      </c>
      <c r="I79" s="44" t="n">
        <f aca="false">IF(G79&lt;=SpcLimit,SUMPRODUCT((H79&gt;SLo)*(H79-SLo)*SD),SUMPRODUCT((H79&gt;GLo)*(H79-GLo)*GD))</f>
        <v>0.03147707261952</v>
      </c>
      <c r="J79" s="44" t="n">
        <f aca="false">H79*CityRate</f>
        <v>0.013221975416832</v>
      </c>
      <c r="K79" s="44" t="n">
        <f aca="false">I79*EduProp</f>
        <v>0.006295414523904</v>
      </c>
      <c r="L79" s="24" t="n">
        <f aca="false">MAX(0,(G79-JongDeduct)*FairJong)</f>
        <v>2.24426815488</v>
      </c>
      <c r="M79" s="44" t="n">
        <f aca="false">SUMPRODUCT((L79&gt;JLo)*(L79-JLo)*JD)</f>
        <v>0.0112213407744</v>
      </c>
      <c r="N79" s="44" t="n">
        <f aca="false">M79*NongJong</f>
        <v>0.00224426815488</v>
      </c>
      <c r="O79" s="45" t="n">
        <f aca="false">I79+J79+K79+M79+N79</f>
        <v>0.064460071489536</v>
      </c>
    </row>
    <row r="80" customFormat="false" ht="15" hidden="false" customHeight="false" outlineLevel="0" collapsed="false">
      <c r="A80" s="20" t="n">
        <v>3</v>
      </c>
      <c r="B80" s="43" t="str">
        <f aca="false">INDEX(C_Name,A80)</f>
        <v>문래자이 84㎡</v>
      </c>
      <c r="C80" s="20" t="n">
        <v>2</v>
      </c>
      <c r="D80" s="10" t="n">
        <f aca="false">CHOOSE(C80,GrowLo,GrowMid,GrowHi)</f>
        <v>0.04</v>
      </c>
      <c r="E80" s="20" t="n">
        <v>6</v>
      </c>
      <c r="F80" s="24" t="n">
        <f aca="false">INDEX(C_Price,A80)*(1+D80)^(E80-1)</f>
        <v>23.7247315968</v>
      </c>
      <c r="G80" s="24" t="n">
        <f aca="false">F80*Gongsi</f>
        <v>16.370064801792</v>
      </c>
      <c r="H80" s="24" t="n">
        <f aca="false">G80*FairProp</f>
        <v>9.8220388810752</v>
      </c>
      <c r="I80" s="44" t="n">
        <f aca="false">IF(G80&lt;=SpcLimit,SUMPRODUCT((H80&gt;SLo)*(H80-SLo)*SD),SUMPRODUCT((H80&gt;GLo)*(H80-GLo)*GD))</f>
        <v>0.0329881555243008</v>
      </c>
      <c r="J80" s="44" t="n">
        <f aca="false">H80*CityRate</f>
        <v>0.0137508544335053</v>
      </c>
      <c r="K80" s="44" t="n">
        <f aca="false">I80*EduProp</f>
        <v>0.00659763110486016</v>
      </c>
      <c r="L80" s="24" t="n">
        <f aca="false">MAX(0,(G80-JongDeduct)*FairJong)</f>
        <v>2.6220388810752</v>
      </c>
      <c r="M80" s="44" t="n">
        <f aca="false">SUMPRODUCT((L80&gt;JLo)*(L80-JLo)*JD)</f>
        <v>0.013110194405376</v>
      </c>
      <c r="N80" s="44" t="n">
        <f aca="false">M80*NongJong</f>
        <v>0.0026220388810752</v>
      </c>
      <c r="O80" s="45" t="n">
        <f aca="false">I80+J80+K80+M80+N80</f>
        <v>0.0690688743491175</v>
      </c>
    </row>
    <row r="81" customFormat="false" ht="15" hidden="false" customHeight="false" outlineLevel="0" collapsed="false">
      <c r="A81" s="20" t="n">
        <v>3</v>
      </c>
      <c r="B81" s="43" t="str">
        <f aca="false">INDEX(C_Name,A81)</f>
        <v>문래자이 84㎡</v>
      </c>
      <c r="C81" s="20" t="n">
        <v>2</v>
      </c>
      <c r="D81" s="10" t="n">
        <f aca="false">CHOOSE(C81,GrowLo,GrowMid,GrowHi)</f>
        <v>0.04</v>
      </c>
      <c r="E81" s="20" t="n">
        <v>7</v>
      </c>
      <c r="F81" s="24" t="n">
        <f aca="false">INDEX(C_Price,A81)*(1+D81)^(E81-1)</f>
        <v>24.673720860672</v>
      </c>
      <c r="G81" s="24" t="n">
        <f aca="false">F81*Gongsi</f>
        <v>17.0248673938637</v>
      </c>
      <c r="H81" s="24" t="n">
        <f aca="false">G81*FairProp</f>
        <v>10.2149204363182</v>
      </c>
      <c r="I81" s="44" t="n">
        <f aca="false">IF(G81&lt;=SpcLimit,SUMPRODUCT((H81&gt;SLo)*(H81-SLo)*SD),SUMPRODUCT((H81&gt;GLo)*(H81-GLo)*GD))</f>
        <v>0.0345596817452728</v>
      </c>
      <c r="J81" s="44" t="n">
        <f aca="false">H81*CityRate</f>
        <v>0.0143008886108455</v>
      </c>
      <c r="K81" s="44" t="n">
        <f aca="false">I81*EduProp</f>
        <v>0.00691193634905457</v>
      </c>
      <c r="L81" s="24" t="n">
        <f aca="false">MAX(0,(G81-JongDeduct)*FairJong)</f>
        <v>3.01492043631821</v>
      </c>
      <c r="M81" s="44" t="n">
        <f aca="false">SUMPRODUCT((L81&gt;JLo)*(L81-JLo)*JD)</f>
        <v>0.0151044430542275</v>
      </c>
      <c r="N81" s="44" t="n">
        <f aca="false">M81*NongJong</f>
        <v>0.00302088861084549</v>
      </c>
      <c r="O81" s="45" t="n">
        <f aca="false">I81+J81+K81+M81+N81</f>
        <v>0.0738978383702459</v>
      </c>
    </row>
    <row r="82" customFormat="false" ht="15" hidden="false" customHeight="false" outlineLevel="0" collapsed="false">
      <c r="A82" s="20" t="n">
        <v>3</v>
      </c>
      <c r="B82" s="43" t="str">
        <f aca="false">INDEX(C_Name,A82)</f>
        <v>문래자이 84㎡</v>
      </c>
      <c r="C82" s="20" t="n">
        <v>2</v>
      </c>
      <c r="D82" s="10" t="n">
        <f aca="false">CHOOSE(C82,GrowLo,GrowMid,GrowHi)</f>
        <v>0.04</v>
      </c>
      <c r="E82" s="20" t="n">
        <v>8</v>
      </c>
      <c r="F82" s="24" t="n">
        <f aca="false">INDEX(C_Price,A82)*(1+D82)^(E82-1)</f>
        <v>25.6606696950989</v>
      </c>
      <c r="G82" s="24" t="n">
        <f aca="false">F82*Gongsi</f>
        <v>17.7058620896182</v>
      </c>
      <c r="H82" s="24" t="n">
        <f aca="false">G82*FairProp</f>
        <v>10.6235172537709</v>
      </c>
      <c r="I82" s="44" t="n">
        <f aca="false">IF(G82&lt;=SpcLimit,SUMPRODUCT((H82&gt;SLo)*(H82-SLo)*SD),SUMPRODUCT((H82&gt;GLo)*(H82-GLo)*GD))</f>
        <v>0.0361940690150838</v>
      </c>
      <c r="J82" s="44" t="n">
        <f aca="false">H82*CityRate</f>
        <v>0.0148729241552793</v>
      </c>
      <c r="K82" s="44" t="n">
        <f aca="false">I82*EduProp</f>
        <v>0.00723881380301675</v>
      </c>
      <c r="L82" s="24" t="n">
        <f aca="false">MAX(0,(G82-JongDeduct)*FairJong)</f>
        <v>3.42351725377094</v>
      </c>
      <c r="M82" s="44" t="n">
        <f aca="false">SUMPRODUCT((L82&gt;JLo)*(L82-JLo)*JD)</f>
        <v>0.0179646207763966</v>
      </c>
      <c r="N82" s="44" t="n">
        <f aca="false">M82*NongJong</f>
        <v>0.00359292415527931</v>
      </c>
      <c r="O82" s="45" t="n">
        <f aca="false">I82+J82+K82+M82+N82</f>
        <v>0.0798633519050557</v>
      </c>
    </row>
    <row r="83" customFormat="false" ht="15" hidden="false" customHeight="false" outlineLevel="0" collapsed="false">
      <c r="A83" s="20" t="n">
        <v>3</v>
      </c>
      <c r="B83" s="43" t="str">
        <f aca="false">INDEX(C_Name,A83)</f>
        <v>문래자이 84㎡</v>
      </c>
      <c r="C83" s="20" t="n">
        <v>2</v>
      </c>
      <c r="D83" s="10" t="n">
        <f aca="false">CHOOSE(C83,GrowLo,GrowMid,GrowHi)</f>
        <v>0.04</v>
      </c>
      <c r="E83" s="20" t="n">
        <v>9</v>
      </c>
      <c r="F83" s="24" t="n">
        <f aca="false">INDEX(C_Price,A83)*(1+D83)^(E83-1)</f>
        <v>26.6870964829028</v>
      </c>
      <c r="G83" s="24" t="n">
        <f aca="false">F83*Gongsi</f>
        <v>18.414096573203</v>
      </c>
      <c r="H83" s="24" t="n">
        <f aca="false">G83*FairProp</f>
        <v>11.0484579439218</v>
      </c>
      <c r="I83" s="44" t="n">
        <f aca="false">IF(G83&lt;=SpcLimit,SUMPRODUCT((H83&gt;SLo)*(H83-SLo)*SD),SUMPRODUCT((H83&gt;GLo)*(H83-GLo)*GD))</f>
        <v>0.0378938317756871</v>
      </c>
      <c r="J83" s="44" t="n">
        <f aca="false">H83*CityRate</f>
        <v>0.0154678411214905</v>
      </c>
      <c r="K83" s="44" t="n">
        <f aca="false">I83*EduProp</f>
        <v>0.00757876635513742</v>
      </c>
      <c r="L83" s="24" t="n">
        <f aca="false">MAX(0,(G83-JongDeduct)*FairJong)</f>
        <v>3.84845794392177</v>
      </c>
      <c r="M83" s="44" t="n">
        <f aca="false">SUMPRODUCT((L83&gt;JLo)*(L83-JLo)*JD)</f>
        <v>0.0209392056074524</v>
      </c>
      <c r="N83" s="44" t="n">
        <f aca="false">M83*NongJong</f>
        <v>0.00418784112149049</v>
      </c>
      <c r="O83" s="45" t="n">
        <f aca="false">I83+J83+K83+M83+N83</f>
        <v>0.0860674859812579</v>
      </c>
    </row>
    <row r="84" customFormat="false" ht="15" hidden="false" customHeight="false" outlineLevel="0" collapsed="false">
      <c r="A84" s="20" t="n">
        <v>3</v>
      </c>
      <c r="B84" s="43" t="str">
        <f aca="false">INDEX(C_Name,A84)</f>
        <v>문래자이 84㎡</v>
      </c>
      <c r="C84" s="20" t="n">
        <v>2</v>
      </c>
      <c r="D84" s="10" t="n">
        <f aca="false">CHOOSE(C84,GrowLo,GrowMid,GrowHi)</f>
        <v>0.04</v>
      </c>
      <c r="E84" s="20" t="n">
        <v>10</v>
      </c>
      <c r="F84" s="24" t="n">
        <f aca="false">INDEX(C_Price,A84)*(1+D84)^(E84-1)</f>
        <v>27.754580342219</v>
      </c>
      <c r="G84" s="24" t="n">
        <f aca="false">F84*Gongsi</f>
        <v>19.1506604361311</v>
      </c>
      <c r="H84" s="24" t="n">
        <f aca="false">G84*FairProp</f>
        <v>11.4903962616786</v>
      </c>
      <c r="I84" s="44" t="n">
        <f aca="false">IF(G84&lt;=SpcLimit,SUMPRODUCT((H84&gt;SLo)*(H84-SLo)*SD),SUMPRODUCT((H84&gt;GLo)*(H84-GLo)*GD))</f>
        <v>0.0396615850467146</v>
      </c>
      <c r="J84" s="44" t="n">
        <f aca="false">H84*CityRate</f>
        <v>0.0160865547663501</v>
      </c>
      <c r="K84" s="44" t="n">
        <f aca="false">I84*EduProp</f>
        <v>0.00793231700934292</v>
      </c>
      <c r="L84" s="24" t="n">
        <f aca="false">MAX(0,(G84-JongDeduct)*FairJong)</f>
        <v>4.29039626167865</v>
      </c>
      <c r="M84" s="44" t="n">
        <f aca="false">SUMPRODUCT((L84&gt;JLo)*(L84-JLo)*JD)</f>
        <v>0.0240327738317505</v>
      </c>
      <c r="N84" s="44" t="n">
        <f aca="false">M84*NongJong</f>
        <v>0.00480655476635011</v>
      </c>
      <c r="O84" s="45" t="n">
        <f aca="false">I84+J84+K84+M84+N84</f>
        <v>0.0925197854205083</v>
      </c>
    </row>
    <row r="85" customFormat="false" ht="15" hidden="false" customHeight="false" outlineLevel="0" collapsed="false">
      <c r="A85" s="20" t="n">
        <v>3</v>
      </c>
      <c r="B85" s="43" t="str">
        <f aca="false">INDEX(C_Name,A85)</f>
        <v>문래자이 84㎡</v>
      </c>
      <c r="C85" s="20" t="n">
        <v>3</v>
      </c>
      <c r="D85" s="10" t="n">
        <f aca="false">CHOOSE(C85,GrowLo,GrowMid,GrowHi)</f>
        <v>0.06</v>
      </c>
      <c r="E85" s="20" t="n">
        <v>1</v>
      </c>
      <c r="F85" s="24" t="n">
        <f aca="false">INDEX(C_Price,A85)*(1+D85)^(E85-1)</f>
        <v>19.5</v>
      </c>
      <c r="G85" s="24" t="n">
        <f aca="false">F85*Gongsi</f>
        <v>13.455</v>
      </c>
      <c r="H85" s="24" t="n">
        <f aca="false">G85*FairProp</f>
        <v>8.073</v>
      </c>
      <c r="I85" s="44" t="n">
        <f aca="false">IF(G85&lt;=SpcLimit,SUMPRODUCT((H85&gt;SLo)*(H85-SLo)*SD),SUMPRODUCT((H85&gt;GLo)*(H85-GLo)*GD))</f>
        <v>0.025992</v>
      </c>
      <c r="J85" s="44" t="n">
        <f aca="false">H85*CityRate</f>
        <v>0.0113022</v>
      </c>
      <c r="K85" s="44" t="n">
        <f aca="false">I85*EduProp</f>
        <v>0.0051984</v>
      </c>
      <c r="L85" s="24" t="n">
        <f aca="false">MAX(0,(G85-JongDeduct)*FairJong)</f>
        <v>0.872999999999999</v>
      </c>
      <c r="M85" s="44" t="n">
        <f aca="false">SUMPRODUCT((L85&gt;JLo)*(L85-JLo)*JD)</f>
        <v>0.004365</v>
      </c>
      <c r="N85" s="44" t="n">
        <f aca="false">M85*NongJong</f>
        <v>0.000872999999999999</v>
      </c>
      <c r="O85" s="45" t="n">
        <f aca="false">I85+J85+K85+M85+N85</f>
        <v>0.0477306</v>
      </c>
    </row>
    <row r="86" customFormat="false" ht="15" hidden="false" customHeight="false" outlineLevel="0" collapsed="false">
      <c r="A86" s="20" t="n">
        <v>3</v>
      </c>
      <c r="B86" s="43" t="str">
        <f aca="false">INDEX(C_Name,A86)</f>
        <v>문래자이 84㎡</v>
      </c>
      <c r="C86" s="20" t="n">
        <v>3</v>
      </c>
      <c r="D86" s="10" t="n">
        <f aca="false">CHOOSE(C86,GrowLo,GrowMid,GrowHi)</f>
        <v>0.06</v>
      </c>
      <c r="E86" s="20" t="n">
        <v>2</v>
      </c>
      <c r="F86" s="24" t="n">
        <f aca="false">INDEX(C_Price,A86)*(1+D86)^(E86-1)</f>
        <v>20.67</v>
      </c>
      <c r="G86" s="24" t="n">
        <f aca="false">F86*Gongsi</f>
        <v>14.2623</v>
      </c>
      <c r="H86" s="24" t="n">
        <f aca="false">G86*FairProp</f>
        <v>8.55738</v>
      </c>
      <c r="I86" s="44" t="n">
        <f aca="false">IF(G86&lt;=SpcLimit,SUMPRODUCT((H86&gt;SLo)*(H86-SLo)*SD),SUMPRODUCT((H86&gt;GLo)*(H86-GLo)*GD))</f>
        <v>0.02792952</v>
      </c>
      <c r="J86" s="44" t="n">
        <f aca="false">H86*CityRate</f>
        <v>0.011980332</v>
      </c>
      <c r="K86" s="44" t="n">
        <f aca="false">I86*EduProp</f>
        <v>0.005585904</v>
      </c>
      <c r="L86" s="24" t="n">
        <f aca="false">MAX(0,(G86-JongDeduct)*FairJong)</f>
        <v>1.35738</v>
      </c>
      <c r="M86" s="44" t="n">
        <f aca="false">SUMPRODUCT((L86&gt;JLo)*(L86-JLo)*JD)</f>
        <v>0.0067869</v>
      </c>
      <c r="N86" s="44" t="n">
        <f aca="false">M86*NongJong</f>
        <v>0.00135738</v>
      </c>
      <c r="O86" s="45" t="n">
        <f aca="false">I86+J86+K86+M86+N86</f>
        <v>0.053640036</v>
      </c>
    </row>
    <row r="87" customFormat="false" ht="15" hidden="false" customHeight="false" outlineLevel="0" collapsed="false">
      <c r="A87" s="20" t="n">
        <v>3</v>
      </c>
      <c r="B87" s="43" t="str">
        <f aca="false">INDEX(C_Name,A87)</f>
        <v>문래자이 84㎡</v>
      </c>
      <c r="C87" s="20" t="n">
        <v>3</v>
      </c>
      <c r="D87" s="10" t="n">
        <f aca="false">CHOOSE(C87,GrowLo,GrowMid,GrowHi)</f>
        <v>0.06</v>
      </c>
      <c r="E87" s="20" t="n">
        <v>3</v>
      </c>
      <c r="F87" s="24" t="n">
        <f aca="false">INDEX(C_Price,A87)*(1+D87)^(E87-1)</f>
        <v>21.9102</v>
      </c>
      <c r="G87" s="24" t="n">
        <f aca="false">F87*Gongsi</f>
        <v>15.118038</v>
      </c>
      <c r="H87" s="24" t="n">
        <f aca="false">G87*FairProp</f>
        <v>9.0708228</v>
      </c>
      <c r="I87" s="44" t="n">
        <f aca="false">IF(G87&lt;=SpcLimit,SUMPRODUCT((H87&gt;SLo)*(H87-SLo)*SD),SUMPRODUCT((H87&gt;GLo)*(H87-GLo)*GD))</f>
        <v>0.0299832912</v>
      </c>
      <c r="J87" s="44" t="n">
        <f aca="false">H87*CityRate</f>
        <v>0.01269915192</v>
      </c>
      <c r="K87" s="44" t="n">
        <f aca="false">I87*EduProp</f>
        <v>0.00599665824</v>
      </c>
      <c r="L87" s="24" t="n">
        <f aca="false">MAX(0,(G87-JongDeduct)*FairJong)</f>
        <v>1.8708228</v>
      </c>
      <c r="M87" s="44" t="n">
        <f aca="false">SUMPRODUCT((L87&gt;JLo)*(L87-JLo)*JD)</f>
        <v>0.009354114</v>
      </c>
      <c r="N87" s="44" t="n">
        <f aca="false">M87*NongJong</f>
        <v>0.0018708228</v>
      </c>
      <c r="O87" s="45" t="n">
        <f aca="false">I87+J87+K87+M87+N87</f>
        <v>0.05990403816</v>
      </c>
    </row>
    <row r="88" customFormat="false" ht="15" hidden="false" customHeight="false" outlineLevel="0" collapsed="false">
      <c r="A88" s="20" t="n">
        <v>3</v>
      </c>
      <c r="B88" s="43" t="str">
        <f aca="false">INDEX(C_Name,A88)</f>
        <v>문래자이 84㎡</v>
      </c>
      <c r="C88" s="20" t="n">
        <v>3</v>
      </c>
      <c r="D88" s="10" t="n">
        <f aca="false">CHOOSE(C88,GrowLo,GrowMid,GrowHi)</f>
        <v>0.06</v>
      </c>
      <c r="E88" s="20" t="n">
        <v>4</v>
      </c>
      <c r="F88" s="24" t="n">
        <f aca="false">INDEX(C_Price,A88)*(1+D88)^(E88-1)</f>
        <v>23.224812</v>
      </c>
      <c r="G88" s="24" t="n">
        <f aca="false">F88*Gongsi</f>
        <v>16.02512028</v>
      </c>
      <c r="H88" s="24" t="n">
        <f aca="false">G88*FairProp</f>
        <v>9.615072168</v>
      </c>
      <c r="I88" s="44" t="n">
        <f aca="false">IF(G88&lt;=SpcLimit,SUMPRODUCT((H88&gt;SLo)*(H88-SLo)*SD),SUMPRODUCT((H88&gt;GLo)*(H88-GLo)*GD))</f>
        <v>0.032160288672</v>
      </c>
      <c r="J88" s="44" t="n">
        <f aca="false">H88*CityRate</f>
        <v>0.0134611010352</v>
      </c>
      <c r="K88" s="44" t="n">
        <f aca="false">I88*EduProp</f>
        <v>0.0064320577344</v>
      </c>
      <c r="L88" s="24" t="n">
        <f aca="false">MAX(0,(G88-JongDeduct)*FairJong)</f>
        <v>2.415072168</v>
      </c>
      <c r="M88" s="44" t="n">
        <f aca="false">SUMPRODUCT((L88&gt;JLo)*(L88-JLo)*JD)</f>
        <v>0.01207536084</v>
      </c>
      <c r="N88" s="44" t="n">
        <f aca="false">M88*NongJong</f>
        <v>0.002415072168</v>
      </c>
      <c r="O88" s="45" t="n">
        <f aca="false">I88+J88+K88+M88+N88</f>
        <v>0.0665438804496</v>
      </c>
    </row>
    <row r="89" customFormat="false" ht="15" hidden="false" customHeight="false" outlineLevel="0" collapsed="false">
      <c r="A89" s="20" t="n">
        <v>3</v>
      </c>
      <c r="B89" s="43" t="str">
        <f aca="false">INDEX(C_Name,A89)</f>
        <v>문래자이 84㎡</v>
      </c>
      <c r="C89" s="20" t="n">
        <v>3</v>
      </c>
      <c r="D89" s="10" t="n">
        <f aca="false">CHOOSE(C89,GrowLo,GrowMid,GrowHi)</f>
        <v>0.06</v>
      </c>
      <c r="E89" s="20" t="n">
        <v>5</v>
      </c>
      <c r="F89" s="24" t="n">
        <f aca="false">INDEX(C_Price,A89)*(1+D89)^(E89-1)</f>
        <v>24.61830072</v>
      </c>
      <c r="G89" s="24" t="n">
        <f aca="false">F89*Gongsi</f>
        <v>16.9866274968</v>
      </c>
      <c r="H89" s="24" t="n">
        <f aca="false">G89*FairProp</f>
        <v>10.19197649808</v>
      </c>
      <c r="I89" s="44" t="n">
        <f aca="false">IF(G89&lt;=SpcLimit,SUMPRODUCT((H89&gt;SLo)*(H89-SLo)*SD),SUMPRODUCT((H89&gt;GLo)*(H89-GLo)*GD))</f>
        <v>0.03446790599232</v>
      </c>
      <c r="J89" s="44" t="n">
        <f aca="false">H89*CityRate</f>
        <v>0.014268767097312</v>
      </c>
      <c r="K89" s="44" t="n">
        <f aca="false">I89*EduProp</f>
        <v>0.006893581198464</v>
      </c>
      <c r="L89" s="24" t="n">
        <f aca="false">MAX(0,(G89-JongDeduct)*FairJong)</f>
        <v>2.99197649808</v>
      </c>
      <c r="M89" s="44" t="n">
        <f aca="false">SUMPRODUCT((L89&gt;JLo)*(L89-JLo)*JD)</f>
        <v>0.0149598824904</v>
      </c>
      <c r="N89" s="44" t="n">
        <f aca="false">M89*NongJong</f>
        <v>0.00299197649808</v>
      </c>
      <c r="O89" s="45" t="n">
        <f aca="false">I89+J89+K89+M89+N89</f>
        <v>0.073582113276576</v>
      </c>
    </row>
    <row r="90" customFormat="false" ht="15" hidden="false" customHeight="false" outlineLevel="0" collapsed="false">
      <c r="A90" s="20" t="n">
        <v>3</v>
      </c>
      <c r="B90" s="43" t="str">
        <f aca="false">INDEX(C_Name,A90)</f>
        <v>문래자이 84㎡</v>
      </c>
      <c r="C90" s="20" t="n">
        <v>3</v>
      </c>
      <c r="D90" s="10" t="n">
        <f aca="false">CHOOSE(C90,GrowLo,GrowMid,GrowHi)</f>
        <v>0.06</v>
      </c>
      <c r="E90" s="20" t="n">
        <v>6</v>
      </c>
      <c r="F90" s="24" t="n">
        <f aca="false">INDEX(C_Price,A90)*(1+D90)^(E90-1)</f>
        <v>26.0953987632</v>
      </c>
      <c r="G90" s="24" t="n">
        <f aca="false">F90*Gongsi</f>
        <v>18.005825146608</v>
      </c>
      <c r="H90" s="24" t="n">
        <f aca="false">G90*FairProp</f>
        <v>10.8034950879648</v>
      </c>
      <c r="I90" s="44" t="n">
        <f aca="false">IF(G90&lt;=SpcLimit,SUMPRODUCT((H90&gt;SLo)*(H90-SLo)*SD),SUMPRODUCT((H90&gt;GLo)*(H90-GLo)*GD))</f>
        <v>0.0369139803518592</v>
      </c>
      <c r="J90" s="44" t="n">
        <f aca="false">H90*CityRate</f>
        <v>0.0151248931231507</v>
      </c>
      <c r="K90" s="44" t="n">
        <f aca="false">I90*EduProp</f>
        <v>0.00738279607037184</v>
      </c>
      <c r="L90" s="24" t="n">
        <f aca="false">MAX(0,(G90-JongDeduct)*FairJong)</f>
        <v>3.6034950879648</v>
      </c>
      <c r="M90" s="44" t="n">
        <f aca="false">SUMPRODUCT((L90&gt;JLo)*(L90-JLo)*JD)</f>
        <v>0.0192244656157536</v>
      </c>
      <c r="N90" s="44" t="n">
        <f aca="false">M90*NongJong</f>
        <v>0.00384489312315072</v>
      </c>
      <c r="O90" s="45" t="n">
        <f aca="false">I90+J90+K90+M90+N90</f>
        <v>0.0824910282842861</v>
      </c>
    </row>
    <row r="91" customFormat="false" ht="15" hidden="false" customHeight="false" outlineLevel="0" collapsed="false">
      <c r="A91" s="20" t="n">
        <v>3</v>
      </c>
      <c r="B91" s="43" t="str">
        <f aca="false">INDEX(C_Name,A91)</f>
        <v>문래자이 84㎡</v>
      </c>
      <c r="C91" s="20" t="n">
        <v>3</v>
      </c>
      <c r="D91" s="10" t="n">
        <f aca="false">CHOOSE(C91,GrowLo,GrowMid,GrowHi)</f>
        <v>0.06</v>
      </c>
      <c r="E91" s="20" t="n">
        <v>7</v>
      </c>
      <c r="F91" s="24" t="n">
        <f aca="false">INDEX(C_Price,A91)*(1+D91)^(E91-1)</f>
        <v>27.661122688992</v>
      </c>
      <c r="G91" s="24" t="n">
        <f aca="false">F91*Gongsi</f>
        <v>19.0861746554045</v>
      </c>
      <c r="H91" s="24" t="n">
        <f aca="false">G91*FairProp</f>
        <v>11.4517047932427</v>
      </c>
      <c r="I91" s="44" t="n">
        <f aca="false">IF(G91&lt;=SpcLimit,SUMPRODUCT((H91&gt;SLo)*(H91-SLo)*SD),SUMPRODUCT((H91&gt;GLo)*(H91-GLo)*GD))</f>
        <v>0.0395068191729708</v>
      </c>
      <c r="J91" s="44" t="n">
        <f aca="false">H91*CityRate</f>
        <v>0.0160323867105398</v>
      </c>
      <c r="K91" s="44" t="n">
        <f aca="false">I91*EduProp</f>
        <v>0.00790136383459415</v>
      </c>
      <c r="L91" s="24" t="n">
        <f aca="false">MAX(0,(G91-JongDeduct)*FairJong)</f>
        <v>4.25170479324269</v>
      </c>
      <c r="M91" s="44" t="n">
        <f aca="false">SUMPRODUCT((L91&gt;JLo)*(L91-JLo)*JD)</f>
        <v>0.0237619335526988</v>
      </c>
      <c r="N91" s="44" t="n">
        <f aca="false">M91*NongJong</f>
        <v>0.00475238671053976</v>
      </c>
      <c r="O91" s="45" t="n">
        <f aca="false">I91+J91+K91+M91+N91</f>
        <v>0.0919548899813433</v>
      </c>
    </row>
    <row r="92" customFormat="false" ht="15" hidden="false" customHeight="false" outlineLevel="0" collapsed="false">
      <c r="A92" s="20" t="n">
        <v>3</v>
      </c>
      <c r="B92" s="43" t="str">
        <f aca="false">INDEX(C_Name,A92)</f>
        <v>문래자이 84㎡</v>
      </c>
      <c r="C92" s="20" t="n">
        <v>3</v>
      </c>
      <c r="D92" s="10" t="n">
        <f aca="false">CHOOSE(C92,GrowLo,GrowMid,GrowHi)</f>
        <v>0.06</v>
      </c>
      <c r="E92" s="20" t="n">
        <v>8</v>
      </c>
      <c r="F92" s="24" t="n">
        <f aca="false">INDEX(C_Price,A92)*(1+D92)^(E92-1)</f>
        <v>29.3207900503315</v>
      </c>
      <c r="G92" s="24" t="n">
        <f aca="false">F92*Gongsi</f>
        <v>20.2313451347288</v>
      </c>
      <c r="H92" s="24" t="n">
        <f aca="false">G92*FairProp</f>
        <v>12.1388070808373</v>
      </c>
      <c r="I92" s="44" t="n">
        <f aca="false">IF(G92&lt;=SpcLimit,SUMPRODUCT((H92&gt;SLo)*(H92-SLo)*SD),SUMPRODUCT((H92&gt;GLo)*(H92-GLo)*GD))</f>
        <v>0.042255228323349</v>
      </c>
      <c r="J92" s="44" t="n">
        <f aca="false">H92*CityRate</f>
        <v>0.0169943299131722</v>
      </c>
      <c r="K92" s="44" t="n">
        <f aca="false">I92*EduProp</f>
        <v>0.0084510456646698</v>
      </c>
      <c r="L92" s="24" t="n">
        <f aca="false">MAX(0,(G92-JongDeduct)*FairJong)</f>
        <v>4.93880708083725</v>
      </c>
      <c r="M92" s="44" t="n">
        <f aca="false">SUMPRODUCT((L92&gt;JLo)*(L92-JLo)*JD)</f>
        <v>0.0285716495658608</v>
      </c>
      <c r="N92" s="44" t="n">
        <f aca="false">M92*NongJong</f>
        <v>0.00571432991317216</v>
      </c>
      <c r="O92" s="45" t="n">
        <f aca="false">I92+J92+K92+M92+N92</f>
        <v>0.101986583380224</v>
      </c>
    </row>
    <row r="93" customFormat="false" ht="15" hidden="false" customHeight="false" outlineLevel="0" collapsed="false">
      <c r="A93" s="20" t="n">
        <v>3</v>
      </c>
      <c r="B93" s="43" t="str">
        <f aca="false">INDEX(C_Name,A93)</f>
        <v>문래자이 84㎡</v>
      </c>
      <c r="C93" s="20" t="n">
        <v>3</v>
      </c>
      <c r="D93" s="10" t="n">
        <f aca="false">CHOOSE(C93,GrowLo,GrowMid,GrowHi)</f>
        <v>0.06</v>
      </c>
      <c r="E93" s="20" t="n">
        <v>9</v>
      </c>
      <c r="F93" s="24" t="n">
        <f aca="false">INDEX(C_Price,A93)*(1+D93)^(E93-1)</f>
        <v>31.0800374533514</v>
      </c>
      <c r="G93" s="24" t="n">
        <f aca="false">F93*Gongsi</f>
        <v>21.4452258428125</v>
      </c>
      <c r="H93" s="24" t="n">
        <f aca="false">G93*FairProp</f>
        <v>12.8671355056875</v>
      </c>
      <c r="I93" s="44" t="n">
        <f aca="false">IF(G93&lt;=SpcLimit,SUMPRODUCT((H93&gt;SLo)*(H93-SLo)*SD),SUMPRODUCT((H93&gt;GLo)*(H93-GLo)*GD))</f>
        <v>0.04516854202275</v>
      </c>
      <c r="J93" s="44" t="n">
        <f aca="false">H93*CityRate</f>
        <v>0.0180139897079625</v>
      </c>
      <c r="K93" s="44" t="n">
        <f aca="false">I93*EduProp</f>
        <v>0.00903370840454999</v>
      </c>
      <c r="L93" s="24" t="n">
        <f aca="false">MAX(0,(G93-JongDeduct)*FairJong)</f>
        <v>5.66713550568749</v>
      </c>
      <c r="M93" s="44" t="n">
        <f aca="false">SUMPRODUCT((L93&gt;JLo)*(L93-JLo)*JD)</f>
        <v>0.0336699485398124</v>
      </c>
      <c r="N93" s="44" t="n">
        <f aca="false">M93*NongJong</f>
        <v>0.00673398970796249</v>
      </c>
      <c r="O93" s="45" t="n">
        <f aca="false">I93+J93+K93+M93+N93</f>
        <v>0.112620178383037</v>
      </c>
    </row>
    <row r="94" customFormat="false" ht="15" hidden="false" customHeight="false" outlineLevel="0" collapsed="false">
      <c r="A94" s="20" t="n">
        <v>3</v>
      </c>
      <c r="B94" s="43" t="str">
        <f aca="false">INDEX(C_Name,A94)</f>
        <v>문래자이 84㎡</v>
      </c>
      <c r="C94" s="20" t="n">
        <v>3</v>
      </c>
      <c r="D94" s="10" t="n">
        <f aca="false">CHOOSE(C94,GrowLo,GrowMid,GrowHi)</f>
        <v>0.06</v>
      </c>
      <c r="E94" s="20" t="n">
        <v>10</v>
      </c>
      <c r="F94" s="24" t="n">
        <f aca="false">INDEX(C_Price,A94)*(1+D94)^(E94-1)</f>
        <v>32.9448397005525</v>
      </c>
      <c r="G94" s="24" t="n">
        <f aca="false">F94*Gongsi</f>
        <v>22.7319393933812</v>
      </c>
      <c r="H94" s="24" t="n">
        <f aca="false">G94*FairProp</f>
        <v>13.6391636360287</v>
      </c>
      <c r="I94" s="44" t="n">
        <f aca="false">IF(G94&lt;=SpcLimit,SUMPRODUCT((H94&gt;SLo)*(H94-SLo)*SD),SUMPRODUCT((H94&gt;GLo)*(H94-GLo)*GD))</f>
        <v>0.048256654544115</v>
      </c>
      <c r="J94" s="44" t="n">
        <f aca="false">H94*CityRate</f>
        <v>0.0190948290904402</v>
      </c>
      <c r="K94" s="44" t="n">
        <f aca="false">I94*EduProp</f>
        <v>0.00965133090882299</v>
      </c>
      <c r="L94" s="24" t="n">
        <f aca="false">MAX(0,(G94-JongDeduct)*FairJong)</f>
        <v>6.43916363602874</v>
      </c>
      <c r="M94" s="44" t="n">
        <f aca="false">SUMPRODUCT((L94&gt;JLo)*(L94-JLo)*JD)</f>
        <v>0.0403916363602874</v>
      </c>
      <c r="N94" s="44" t="n">
        <f aca="false">M94*NongJong</f>
        <v>0.00807832727205748</v>
      </c>
      <c r="O94" s="45" t="n">
        <f aca="false">I94+J94+K94+M94+N94</f>
        <v>0.125472778175723</v>
      </c>
    </row>
    <row r="95" customFormat="false" ht="15" hidden="false" customHeight="false" outlineLevel="0" collapsed="false">
      <c r="A95" s="20" t="n">
        <v>4</v>
      </c>
      <c r="B95" s="43" t="str">
        <f aca="false">INDEX(C_Name,A95)</f>
        <v>신길삼성래미안 84㎡</v>
      </c>
      <c r="C95" s="20" t="n">
        <v>1</v>
      </c>
      <c r="D95" s="10" t="n">
        <f aca="false">CHOOSE(C95,GrowLo,GrowMid,GrowHi)</f>
        <v>0.02</v>
      </c>
      <c r="E95" s="20" t="n">
        <v>1</v>
      </c>
      <c r="F95" s="24" t="n">
        <f aca="false">INDEX(C_Price,A95)*(1+D95)^(E95-1)</f>
        <v>13</v>
      </c>
      <c r="G95" s="24" t="n">
        <f aca="false">F95*Gongsi</f>
        <v>8.97</v>
      </c>
      <c r="H95" s="24" t="n">
        <f aca="false">G95*FairProp</f>
        <v>5.382</v>
      </c>
      <c r="I95" s="44" t="n">
        <f aca="false">IF(G95&lt;=SpcLimit,SUMPRODUCT((H95&gt;SLo)*(H95-SLo)*SD),SUMPRODUCT((H95&gt;GLo)*(H95-GLo)*GD))</f>
        <v>0.012537</v>
      </c>
      <c r="J95" s="44" t="n">
        <f aca="false">H95*CityRate</f>
        <v>0.0075348</v>
      </c>
      <c r="K95" s="44" t="n">
        <f aca="false">I95*EduProp</f>
        <v>0.0025074</v>
      </c>
      <c r="L95" s="24" t="n">
        <f aca="false">MAX(0,(G95-JongDeduct)*FairJong)</f>
        <v>0</v>
      </c>
      <c r="M95" s="44" t="n">
        <f aca="false">SUMPRODUCT((L95&gt;JLo)*(L95-JLo)*JD)</f>
        <v>0</v>
      </c>
      <c r="N95" s="44" t="n">
        <f aca="false">M95*NongJong</f>
        <v>0</v>
      </c>
      <c r="O95" s="45" t="n">
        <f aca="false">I95+J95+K95+M95+N95</f>
        <v>0.0225792</v>
      </c>
    </row>
    <row r="96" customFormat="false" ht="15" hidden="false" customHeight="false" outlineLevel="0" collapsed="false">
      <c r="A96" s="20" t="n">
        <v>4</v>
      </c>
      <c r="B96" s="43" t="str">
        <f aca="false">INDEX(C_Name,A96)</f>
        <v>신길삼성래미안 84㎡</v>
      </c>
      <c r="C96" s="20" t="n">
        <v>1</v>
      </c>
      <c r="D96" s="10" t="n">
        <f aca="false">CHOOSE(C96,GrowLo,GrowMid,GrowHi)</f>
        <v>0.02</v>
      </c>
      <c r="E96" s="20" t="n">
        <v>2</v>
      </c>
      <c r="F96" s="24" t="n">
        <f aca="false">INDEX(C_Price,A96)*(1+D96)^(E96-1)</f>
        <v>13.26</v>
      </c>
      <c r="G96" s="24" t="n">
        <f aca="false">F96*Gongsi</f>
        <v>9.1494</v>
      </c>
      <c r="H96" s="24" t="n">
        <f aca="false">G96*FairProp</f>
        <v>5.48964</v>
      </c>
      <c r="I96" s="44" t="n">
        <f aca="false">IF(G96&lt;=SpcLimit,SUMPRODUCT((H96&gt;SLo)*(H96-SLo)*SD),SUMPRODUCT((H96&gt;GLo)*(H96-GLo)*GD))</f>
        <v>0.01565856</v>
      </c>
      <c r="J96" s="44" t="n">
        <f aca="false">H96*CityRate</f>
        <v>0.007685496</v>
      </c>
      <c r="K96" s="44" t="n">
        <f aca="false">I96*EduProp</f>
        <v>0.003131712</v>
      </c>
      <c r="L96" s="24" t="n">
        <f aca="false">MAX(0,(G96-JongDeduct)*FairJong)</f>
        <v>0</v>
      </c>
      <c r="M96" s="44" t="n">
        <f aca="false">SUMPRODUCT((L96&gt;JLo)*(L96-JLo)*JD)</f>
        <v>0</v>
      </c>
      <c r="N96" s="44" t="n">
        <f aca="false">M96*NongJong</f>
        <v>0</v>
      </c>
      <c r="O96" s="45" t="n">
        <f aca="false">I96+J96+K96+M96+N96</f>
        <v>0.026475768</v>
      </c>
    </row>
    <row r="97" customFormat="false" ht="15" hidden="false" customHeight="false" outlineLevel="0" collapsed="false">
      <c r="A97" s="20" t="n">
        <v>4</v>
      </c>
      <c r="B97" s="43" t="str">
        <f aca="false">INDEX(C_Name,A97)</f>
        <v>신길삼성래미안 84㎡</v>
      </c>
      <c r="C97" s="20" t="n">
        <v>1</v>
      </c>
      <c r="D97" s="10" t="n">
        <f aca="false">CHOOSE(C97,GrowLo,GrowMid,GrowHi)</f>
        <v>0.02</v>
      </c>
      <c r="E97" s="20" t="n">
        <v>3</v>
      </c>
      <c r="F97" s="24" t="n">
        <f aca="false">INDEX(C_Price,A97)*(1+D97)^(E97-1)</f>
        <v>13.5252</v>
      </c>
      <c r="G97" s="24" t="n">
        <f aca="false">F97*Gongsi</f>
        <v>9.332388</v>
      </c>
      <c r="H97" s="24" t="n">
        <f aca="false">G97*FairProp</f>
        <v>5.5994328</v>
      </c>
      <c r="I97" s="44" t="n">
        <f aca="false">IF(G97&lt;=SpcLimit,SUMPRODUCT((H97&gt;SLo)*(H97-SLo)*SD),SUMPRODUCT((H97&gt;GLo)*(H97-GLo)*GD))</f>
        <v>0.0160977312</v>
      </c>
      <c r="J97" s="44" t="n">
        <f aca="false">H97*CityRate</f>
        <v>0.00783920592</v>
      </c>
      <c r="K97" s="44" t="n">
        <f aca="false">I97*EduProp</f>
        <v>0.00321954624</v>
      </c>
      <c r="L97" s="24" t="n">
        <f aca="false">MAX(0,(G97-JongDeduct)*FairJong)</f>
        <v>0</v>
      </c>
      <c r="M97" s="44" t="n">
        <f aca="false">SUMPRODUCT((L97&gt;JLo)*(L97-JLo)*JD)</f>
        <v>0</v>
      </c>
      <c r="N97" s="44" t="n">
        <f aca="false">M97*NongJong</f>
        <v>0</v>
      </c>
      <c r="O97" s="45" t="n">
        <f aca="false">I97+J97+K97+M97+N97</f>
        <v>0.02715648336</v>
      </c>
    </row>
    <row r="98" customFormat="false" ht="15" hidden="false" customHeight="false" outlineLevel="0" collapsed="false">
      <c r="A98" s="20" t="n">
        <v>4</v>
      </c>
      <c r="B98" s="43" t="str">
        <f aca="false">INDEX(C_Name,A98)</f>
        <v>신길삼성래미안 84㎡</v>
      </c>
      <c r="C98" s="20" t="n">
        <v>1</v>
      </c>
      <c r="D98" s="10" t="n">
        <f aca="false">CHOOSE(C98,GrowLo,GrowMid,GrowHi)</f>
        <v>0.02</v>
      </c>
      <c r="E98" s="20" t="n">
        <v>4</v>
      </c>
      <c r="F98" s="24" t="n">
        <f aca="false">INDEX(C_Price,A98)*(1+D98)^(E98-1)</f>
        <v>13.795704</v>
      </c>
      <c r="G98" s="24" t="n">
        <f aca="false">F98*Gongsi</f>
        <v>9.51903576</v>
      </c>
      <c r="H98" s="24" t="n">
        <f aca="false">G98*FairProp</f>
        <v>5.711421456</v>
      </c>
      <c r="I98" s="44" t="n">
        <f aca="false">IF(G98&lt;=SpcLimit,SUMPRODUCT((H98&gt;SLo)*(H98-SLo)*SD),SUMPRODUCT((H98&gt;GLo)*(H98-GLo)*GD))</f>
        <v>0.016545685824</v>
      </c>
      <c r="J98" s="44" t="n">
        <f aca="false">H98*CityRate</f>
        <v>0.0079959900384</v>
      </c>
      <c r="K98" s="44" t="n">
        <f aca="false">I98*EduProp</f>
        <v>0.0033091371648</v>
      </c>
      <c r="L98" s="24" t="n">
        <f aca="false">MAX(0,(G98-JongDeduct)*FairJong)</f>
        <v>0</v>
      </c>
      <c r="M98" s="44" t="n">
        <f aca="false">SUMPRODUCT((L98&gt;JLo)*(L98-JLo)*JD)</f>
        <v>0</v>
      </c>
      <c r="N98" s="44" t="n">
        <f aca="false">M98*NongJong</f>
        <v>0</v>
      </c>
      <c r="O98" s="45" t="n">
        <f aca="false">I98+J98+K98+M98+N98</f>
        <v>0.0278508130272</v>
      </c>
    </row>
    <row r="99" customFormat="false" ht="15" hidden="false" customHeight="false" outlineLevel="0" collapsed="false">
      <c r="A99" s="20" t="n">
        <v>4</v>
      </c>
      <c r="B99" s="43" t="str">
        <f aca="false">INDEX(C_Name,A99)</f>
        <v>신길삼성래미안 84㎡</v>
      </c>
      <c r="C99" s="20" t="n">
        <v>1</v>
      </c>
      <c r="D99" s="10" t="n">
        <f aca="false">CHOOSE(C99,GrowLo,GrowMid,GrowHi)</f>
        <v>0.02</v>
      </c>
      <c r="E99" s="20" t="n">
        <v>5</v>
      </c>
      <c r="F99" s="24" t="n">
        <f aca="false">INDEX(C_Price,A99)*(1+D99)^(E99-1)</f>
        <v>14.07161808</v>
      </c>
      <c r="G99" s="24" t="n">
        <f aca="false">F99*Gongsi</f>
        <v>9.7094164752</v>
      </c>
      <c r="H99" s="24" t="n">
        <f aca="false">G99*FairProp</f>
        <v>5.82564988512</v>
      </c>
      <c r="I99" s="44" t="n">
        <f aca="false">IF(G99&lt;=SpcLimit,SUMPRODUCT((H99&gt;SLo)*(H99-SLo)*SD),SUMPRODUCT((H99&gt;GLo)*(H99-GLo)*GD))</f>
        <v>0.01700259954048</v>
      </c>
      <c r="J99" s="44" t="n">
        <f aca="false">H99*CityRate</f>
        <v>0.008155909839168</v>
      </c>
      <c r="K99" s="44" t="n">
        <f aca="false">I99*EduProp</f>
        <v>0.003400519908096</v>
      </c>
      <c r="L99" s="24" t="n">
        <f aca="false">MAX(0,(G99-JongDeduct)*FairJong)</f>
        <v>0</v>
      </c>
      <c r="M99" s="44" t="n">
        <f aca="false">SUMPRODUCT((L99&gt;JLo)*(L99-JLo)*JD)</f>
        <v>0</v>
      </c>
      <c r="N99" s="44" t="n">
        <f aca="false">M99*NongJong</f>
        <v>0</v>
      </c>
      <c r="O99" s="45" t="n">
        <f aca="false">I99+J99+K99+M99+N99</f>
        <v>0.028559029287744</v>
      </c>
    </row>
    <row r="100" customFormat="false" ht="15" hidden="false" customHeight="false" outlineLevel="0" collapsed="false">
      <c r="A100" s="20" t="n">
        <v>4</v>
      </c>
      <c r="B100" s="43" t="str">
        <f aca="false">INDEX(C_Name,A100)</f>
        <v>신길삼성래미안 84㎡</v>
      </c>
      <c r="C100" s="20" t="n">
        <v>1</v>
      </c>
      <c r="D100" s="10" t="n">
        <f aca="false">CHOOSE(C100,GrowLo,GrowMid,GrowHi)</f>
        <v>0.02</v>
      </c>
      <c r="E100" s="20" t="n">
        <v>6</v>
      </c>
      <c r="F100" s="24" t="n">
        <f aca="false">INDEX(C_Price,A100)*(1+D100)^(E100-1)</f>
        <v>14.3530504416</v>
      </c>
      <c r="G100" s="24" t="n">
        <f aca="false">F100*Gongsi</f>
        <v>9.903604804704</v>
      </c>
      <c r="H100" s="24" t="n">
        <f aca="false">G100*FairProp</f>
        <v>5.9421628828224</v>
      </c>
      <c r="I100" s="44" t="n">
        <f aca="false">IF(G100&lt;=SpcLimit,SUMPRODUCT((H100&gt;SLo)*(H100-SLo)*SD),SUMPRODUCT((H100&gt;GLo)*(H100-GLo)*GD))</f>
        <v>0.0174686515312896</v>
      </c>
      <c r="J100" s="44" t="n">
        <f aca="false">H100*CityRate</f>
        <v>0.00831902803595136</v>
      </c>
      <c r="K100" s="44" t="n">
        <f aca="false">I100*EduProp</f>
        <v>0.00349373030625792</v>
      </c>
      <c r="L100" s="24" t="n">
        <f aca="false">MAX(0,(G100-JongDeduct)*FairJong)</f>
        <v>0</v>
      </c>
      <c r="M100" s="44" t="n">
        <f aca="false">SUMPRODUCT((L100&gt;JLo)*(L100-JLo)*JD)</f>
        <v>0</v>
      </c>
      <c r="N100" s="44" t="n">
        <f aca="false">M100*NongJong</f>
        <v>0</v>
      </c>
      <c r="O100" s="45" t="n">
        <f aca="false">I100+J100+K100+M100+N100</f>
        <v>0.0292814098734989</v>
      </c>
    </row>
    <row r="101" customFormat="false" ht="15" hidden="false" customHeight="false" outlineLevel="0" collapsed="false">
      <c r="A101" s="20" t="n">
        <v>4</v>
      </c>
      <c r="B101" s="43" t="str">
        <f aca="false">INDEX(C_Name,A101)</f>
        <v>신길삼성래미안 84㎡</v>
      </c>
      <c r="C101" s="20" t="n">
        <v>1</v>
      </c>
      <c r="D101" s="10" t="n">
        <f aca="false">CHOOSE(C101,GrowLo,GrowMid,GrowHi)</f>
        <v>0.02</v>
      </c>
      <c r="E101" s="20" t="n">
        <v>7</v>
      </c>
      <c r="F101" s="24" t="n">
        <f aca="false">INDEX(C_Price,A101)*(1+D101)^(E101-1)</f>
        <v>14.640111450432</v>
      </c>
      <c r="G101" s="24" t="n">
        <f aca="false">F101*Gongsi</f>
        <v>10.1016769007981</v>
      </c>
      <c r="H101" s="24" t="n">
        <f aca="false">G101*FairProp</f>
        <v>6.06100614047885</v>
      </c>
      <c r="I101" s="44" t="n">
        <f aca="false">IF(G101&lt;=SpcLimit,SUMPRODUCT((H101&gt;SLo)*(H101-SLo)*SD),SUMPRODUCT((H101&gt;GLo)*(H101-GLo)*GD))</f>
        <v>0.0179440245619154</v>
      </c>
      <c r="J101" s="44" t="n">
        <f aca="false">H101*CityRate</f>
        <v>0.00848540859667039</v>
      </c>
      <c r="K101" s="44" t="n">
        <f aca="false">I101*EduProp</f>
        <v>0.00358880491238308</v>
      </c>
      <c r="L101" s="24" t="n">
        <f aca="false">MAX(0,(G101-JongDeduct)*FairJong)</f>
        <v>0</v>
      </c>
      <c r="M101" s="44" t="n">
        <f aca="false">SUMPRODUCT((L101&gt;JLo)*(L101-JLo)*JD)</f>
        <v>0</v>
      </c>
      <c r="N101" s="44" t="n">
        <f aca="false">M101*NongJong</f>
        <v>0</v>
      </c>
      <c r="O101" s="45" t="n">
        <f aca="false">I101+J101+K101+M101+N101</f>
        <v>0.0300182380709689</v>
      </c>
    </row>
    <row r="102" customFormat="false" ht="15" hidden="false" customHeight="false" outlineLevel="0" collapsed="false">
      <c r="A102" s="20" t="n">
        <v>4</v>
      </c>
      <c r="B102" s="43" t="str">
        <f aca="false">INDEX(C_Name,A102)</f>
        <v>신길삼성래미안 84㎡</v>
      </c>
      <c r="C102" s="20" t="n">
        <v>1</v>
      </c>
      <c r="D102" s="10" t="n">
        <f aca="false">CHOOSE(C102,GrowLo,GrowMid,GrowHi)</f>
        <v>0.02</v>
      </c>
      <c r="E102" s="20" t="n">
        <v>8</v>
      </c>
      <c r="F102" s="24" t="n">
        <f aca="false">INDEX(C_Price,A102)*(1+D102)^(E102-1)</f>
        <v>14.9329136794406</v>
      </c>
      <c r="G102" s="24" t="n">
        <f aca="false">F102*Gongsi</f>
        <v>10.303710438814</v>
      </c>
      <c r="H102" s="24" t="n">
        <f aca="false">G102*FairProp</f>
        <v>6.18222626328842</v>
      </c>
      <c r="I102" s="44" t="n">
        <f aca="false">IF(G102&lt;=SpcLimit,SUMPRODUCT((H102&gt;SLo)*(H102-SLo)*SD),SUMPRODUCT((H102&gt;GLo)*(H102-GLo)*GD))</f>
        <v>0.0184289050531537</v>
      </c>
      <c r="J102" s="44" t="n">
        <f aca="false">H102*CityRate</f>
        <v>0.00865511676860379</v>
      </c>
      <c r="K102" s="44" t="n">
        <f aca="false">I102*EduProp</f>
        <v>0.00368578101063074</v>
      </c>
      <c r="L102" s="24" t="n">
        <f aca="false">MAX(0,(G102-JongDeduct)*FairJong)</f>
        <v>0</v>
      </c>
      <c r="M102" s="44" t="n">
        <f aca="false">SUMPRODUCT((L102&gt;JLo)*(L102-JLo)*JD)</f>
        <v>0</v>
      </c>
      <c r="N102" s="44" t="n">
        <f aca="false">M102*NongJong</f>
        <v>0</v>
      </c>
      <c r="O102" s="45" t="n">
        <f aca="false">I102+J102+K102+M102+N102</f>
        <v>0.0307698028323882</v>
      </c>
    </row>
    <row r="103" customFormat="false" ht="15" hidden="false" customHeight="false" outlineLevel="0" collapsed="false">
      <c r="A103" s="20" t="n">
        <v>4</v>
      </c>
      <c r="B103" s="43" t="str">
        <f aca="false">INDEX(C_Name,A103)</f>
        <v>신길삼성래미안 84㎡</v>
      </c>
      <c r="C103" s="20" t="n">
        <v>1</v>
      </c>
      <c r="D103" s="10" t="n">
        <f aca="false">CHOOSE(C103,GrowLo,GrowMid,GrowHi)</f>
        <v>0.02</v>
      </c>
      <c r="E103" s="20" t="n">
        <v>9</v>
      </c>
      <c r="F103" s="24" t="n">
        <f aca="false">INDEX(C_Price,A103)*(1+D103)^(E103-1)</f>
        <v>15.2315719530295</v>
      </c>
      <c r="G103" s="24" t="n">
        <f aca="false">F103*Gongsi</f>
        <v>10.5097846475903</v>
      </c>
      <c r="H103" s="24" t="n">
        <f aca="false">G103*FairProp</f>
        <v>6.30587078855419</v>
      </c>
      <c r="I103" s="44" t="n">
        <f aca="false">IF(G103&lt;=SpcLimit,SUMPRODUCT((H103&gt;SLo)*(H103-SLo)*SD),SUMPRODUCT((H103&gt;GLo)*(H103-GLo)*GD))</f>
        <v>0.0189234831542168</v>
      </c>
      <c r="J103" s="44" t="n">
        <f aca="false">H103*CityRate</f>
        <v>0.00882821910397587</v>
      </c>
      <c r="K103" s="44" t="n">
        <f aca="false">I103*EduProp</f>
        <v>0.00378469663084335</v>
      </c>
      <c r="L103" s="24" t="n">
        <f aca="false">MAX(0,(G103-JongDeduct)*FairJong)</f>
        <v>0</v>
      </c>
      <c r="M103" s="44" t="n">
        <f aca="false">SUMPRODUCT((L103&gt;JLo)*(L103-JLo)*JD)</f>
        <v>0</v>
      </c>
      <c r="N103" s="44" t="n">
        <f aca="false">M103*NongJong</f>
        <v>0</v>
      </c>
      <c r="O103" s="45" t="n">
        <f aca="false">I103+J103+K103+M103+N103</f>
        <v>0.031536398889036</v>
      </c>
    </row>
    <row r="104" customFormat="false" ht="15" hidden="false" customHeight="false" outlineLevel="0" collapsed="false">
      <c r="A104" s="20" t="n">
        <v>4</v>
      </c>
      <c r="B104" s="43" t="str">
        <f aca="false">INDEX(C_Name,A104)</f>
        <v>신길삼성래미안 84㎡</v>
      </c>
      <c r="C104" s="20" t="n">
        <v>1</v>
      </c>
      <c r="D104" s="10" t="n">
        <f aca="false">CHOOSE(C104,GrowLo,GrowMid,GrowHi)</f>
        <v>0.02</v>
      </c>
      <c r="E104" s="20" t="n">
        <v>10</v>
      </c>
      <c r="F104" s="24" t="n">
        <f aca="false">INDEX(C_Price,A104)*(1+D104)^(E104-1)</f>
        <v>15.53620339209</v>
      </c>
      <c r="G104" s="24" t="n">
        <f aca="false">F104*Gongsi</f>
        <v>10.7199803405421</v>
      </c>
      <c r="H104" s="24" t="n">
        <f aca="false">G104*FairProp</f>
        <v>6.43198820432528</v>
      </c>
      <c r="I104" s="44" t="n">
        <f aca="false">IF(G104&lt;=SpcLimit,SUMPRODUCT((H104&gt;SLo)*(H104-SLo)*SD),SUMPRODUCT((H104&gt;GLo)*(H104-GLo)*GD))</f>
        <v>0.0194279528173011</v>
      </c>
      <c r="J104" s="44" t="n">
        <f aca="false">H104*CityRate</f>
        <v>0.00900478348605539</v>
      </c>
      <c r="K104" s="44" t="n">
        <f aca="false">I104*EduProp</f>
        <v>0.00388559056346022</v>
      </c>
      <c r="L104" s="24" t="n">
        <f aca="false">MAX(0,(G104-JongDeduct)*FairJong)</f>
        <v>0</v>
      </c>
      <c r="M104" s="44" t="n">
        <f aca="false">SUMPRODUCT((L104&gt;JLo)*(L104-JLo)*JD)</f>
        <v>0</v>
      </c>
      <c r="N104" s="44" t="n">
        <f aca="false">M104*NongJong</f>
        <v>0</v>
      </c>
      <c r="O104" s="45" t="n">
        <f aca="false">I104+J104+K104+M104+N104</f>
        <v>0.0323183268668167</v>
      </c>
    </row>
    <row r="105" customFormat="false" ht="15" hidden="false" customHeight="false" outlineLevel="0" collapsed="false">
      <c r="A105" s="20" t="n">
        <v>4</v>
      </c>
      <c r="B105" s="43" t="str">
        <f aca="false">INDEX(C_Name,A105)</f>
        <v>신길삼성래미안 84㎡</v>
      </c>
      <c r="C105" s="20" t="n">
        <v>2</v>
      </c>
      <c r="D105" s="10" t="n">
        <f aca="false">CHOOSE(C105,GrowLo,GrowMid,GrowHi)</f>
        <v>0.04</v>
      </c>
      <c r="E105" s="20" t="n">
        <v>1</v>
      </c>
      <c r="F105" s="24" t="n">
        <f aca="false">INDEX(C_Price,A105)*(1+D105)^(E105-1)</f>
        <v>13</v>
      </c>
      <c r="G105" s="24" t="n">
        <f aca="false">F105*Gongsi</f>
        <v>8.97</v>
      </c>
      <c r="H105" s="24" t="n">
        <f aca="false">G105*FairProp</f>
        <v>5.382</v>
      </c>
      <c r="I105" s="44" t="n">
        <f aca="false">IF(G105&lt;=SpcLimit,SUMPRODUCT((H105&gt;SLo)*(H105-SLo)*SD),SUMPRODUCT((H105&gt;GLo)*(H105-GLo)*GD))</f>
        <v>0.012537</v>
      </c>
      <c r="J105" s="44" t="n">
        <f aca="false">H105*CityRate</f>
        <v>0.0075348</v>
      </c>
      <c r="K105" s="44" t="n">
        <f aca="false">I105*EduProp</f>
        <v>0.0025074</v>
      </c>
      <c r="L105" s="24" t="n">
        <f aca="false">MAX(0,(G105-JongDeduct)*FairJong)</f>
        <v>0</v>
      </c>
      <c r="M105" s="44" t="n">
        <f aca="false">SUMPRODUCT((L105&gt;JLo)*(L105-JLo)*JD)</f>
        <v>0</v>
      </c>
      <c r="N105" s="44" t="n">
        <f aca="false">M105*NongJong</f>
        <v>0</v>
      </c>
      <c r="O105" s="45" t="n">
        <f aca="false">I105+J105+K105+M105+N105</f>
        <v>0.0225792</v>
      </c>
    </row>
    <row r="106" customFormat="false" ht="15" hidden="false" customHeight="false" outlineLevel="0" collapsed="false">
      <c r="A106" s="20" t="n">
        <v>4</v>
      </c>
      <c r="B106" s="43" t="str">
        <f aca="false">INDEX(C_Name,A106)</f>
        <v>신길삼성래미안 84㎡</v>
      </c>
      <c r="C106" s="20" t="n">
        <v>2</v>
      </c>
      <c r="D106" s="10" t="n">
        <f aca="false">CHOOSE(C106,GrowLo,GrowMid,GrowHi)</f>
        <v>0.04</v>
      </c>
      <c r="E106" s="20" t="n">
        <v>2</v>
      </c>
      <c r="F106" s="24" t="n">
        <f aca="false">INDEX(C_Price,A106)*(1+D106)^(E106-1)</f>
        <v>13.52</v>
      </c>
      <c r="G106" s="24" t="n">
        <f aca="false">F106*Gongsi</f>
        <v>9.3288</v>
      </c>
      <c r="H106" s="24" t="n">
        <f aca="false">G106*FairProp</f>
        <v>5.59728</v>
      </c>
      <c r="I106" s="44" t="n">
        <f aca="false">IF(G106&lt;=SpcLimit,SUMPRODUCT((H106&gt;SLo)*(H106-SLo)*SD),SUMPRODUCT((H106&gt;GLo)*(H106-GLo)*GD))</f>
        <v>0.01608912</v>
      </c>
      <c r="J106" s="44" t="n">
        <f aca="false">H106*CityRate</f>
        <v>0.007836192</v>
      </c>
      <c r="K106" s="44" t="n">
        <f aca="false">I106*EduProp</f>
        <v>0.003217824</v>
      </c>
      <c r="L106" s="24" t="n">
        <f aca="false">MAX(0,(G106-JongDeduct)*FairJong)</f>
        <v>0</v>
      </c>
      <c r="M106" s="44" t="n">
        <f aca="false">SUMPRODUCT((L106&gt;JLo)*(L106-JLo)*JD)</f>
        <v>0</v>
      </c>
      <c r="N106" s="44" t="n">
        <f aca="false">M106*NongJong</f>
        <v>0</v>
      </c>
      <c r="O106" s="45" t="n">
        <f aca="false">I106+J106+K106+M106+N106</f>
        <v>0.027143136</v>
      </c>
    </row>
    <row r="107" customFormat="false" ht="15" hidden="false" customHeight="false" outlineLevel="0" collapsed="false">
      <c r="A107" s="20" t="n">
        <v>4</v>
      </c>
      <c r="B107" s="43" t="str">
        <f aca="false">INDEX(C_Name,A107)</f>
        <v>신길삼성래미안 84㎡</v>
      </c>
      <c r="C107" s="20" t="n">
        <v>2</v>
      </c>
      <c r="D107" s="10" t="n">
        <f aca="false">CHOOSE(C107,GrowLo,GrowMid,GrowHi)</f>
        <v>0.04</v>
      </c>
      <c r="E107" s="20" t="n">
        <v>3</v>
      </c>
      <c r="F107" s="24" t="n">
        <f aca="false">INDEX(C_Price,A107)*(1+D107)^(E107-1)</f>
        <v>14.0608</v>
      </c>
      <c r="G107" s="24" t="n">
        <f aca="false">F107*Gongsi</f>
        <v>9.701952</v>
      </c>
      <c r="H107" s="24" t="n">
        <f aca="false">G107*FairProp</f>
        <v>5.8211712</v>
      </c>
      <c r="I107" s="44" t="n">
        <f aca="false">IF(G107&lt;=SpcLimit,SUMPRODUCT((H107&gt;SLo)*(H107-SLo)*SD),SUMPRODUCT((H107&gt;GLo)*(H107-GLo)*GD))</f>
        <v>0.0169846848</v>
      </c>
      <c r="J107" s="44" t="n">
        <f aca="false">H107*CityRate</f>
        <v>0.00814963968</v>
      </c>
      <c r="K107" s="44" t="n">
        <f aca="false">I107*EduProp</f>
        <v>0.00339693696</v>
      </c>
      <c r="L107" s="24" t="n">
        <f aca="false">MAX(0,(G107-JongDeduct)*FairJong)</f>
        <v>0</v>
      </c>
      <c r="M107" s="44" t="n">
        <f aca="false">SUMPRODUCT((L107&gt;JLo)*(L107-JLo)*JD)</f>
        <v>0</v>
      </c>
      <c r="N107" s="44" t="n">
        <f aca="false">M107*NongJong</f>
        <v>0</v>
      </c>
      <c r="O107" s="45" t="n">
        <f aca="false">I107+J107+K107+M107+N107</f>
        <v>0.02853126144</v>
      </c>
    </row>
    <row r="108" customFormat="false" ht="15" hidden="false" customHeight="false" outlineLevel="0" collapsed="false">
      <c r="A108" s="20" t="n">
        <v>4</v>
      </c>
      <c r="B108" s="43" t="str">
        <f aca="false">INDEX(C_Name,A108)</f>
        <v>신길삼성래미안 84㎡</v>
      </c>
      <c r="C108" s="20" t="n">
        <v>2</v>
      </c>
      <c r="D108" s="10" t="n">
        <f aca="false">CHOOSE(C108,GrowLo,GrowMid,GrowHi)</f>
        <v>0.04</v>
      </c>
      <c r="E108" s="20" t="n">
        <v>4</v>
      </c>
      <c r="F108" s="24" t="n">
        <f aca="false">INDEX(C_Price,A108)*(1+D108)^(E108-1)</f>
        <v>14.623232</v>
      </c>
      <c r="G108" s="24" t="n">
        <f aca="false">F108*Gongsi</f>
        <v>10.09003008</v>
      </c>
      <c r="H108" s="24" t="n">
        <f aca="false">G108*FairProp</f>
        <v>6.054018048</v>
      </c>
      <c r="I108" s="44" t="n">
        <f aca="false">IF(G108&lt;=SpcLimit,SUMPRODUCT((H108&gt;SLo)*(H108-SLo)*SD),SUMPRODUCT((H108&gt;GLo)*(H108-GLo)*GD))</f>
        <v>0.017916072192</v>
      </c>
      <c r="J108" s="44" t="n">
        <f aca="false">H108*CityRate</f>
        <v>0.0084756252672</v>
      </c>
      <c r="K108" s="44" t="n">
        <f aca="false">I108*EduProp</f>
        <v>0.0035832144384</v>
      </c>
      <c r="L108" s="24" t="n">
        <f aca="false">MAX(0,(G108-JongDeduct)*FairJong)</f>
        <v>0</v>
      </c>
      <c r="M108" s="44" t="n">
        <f aca="false">SUMPRODUCT((L108&gt;JLo)*(L108-JLo)*JD)</f>
        <v>0</v>
      </c>
      <c r="N108" s="44" t="n">
        <f aca="false">M108*NongJong</f>
        <v>0</v>
      </c>
      <c r="O108" s="45" t="n">
        <f aca="false">I108+J108+K108+M108+N108</f>
        <v>0.0299749118976</v>
      </c>
    </row>
    <row r="109" customFormat="false" ht="15" hidden="false" customHeight="false" outlineLevel="0" collapsed="false">
      <c r="A109" s="20" t="n">
        <v>4</v>
      </c>
      <c r="B109" s="43" t="str">
        <f aca="false">INDEX(C_Name,A109)</f>
        <v>신길삼성래미안 84㎡</v>
      </c>
      <c r="C109" s="20" t="n">
        <v>2</v>
      </c>
      <c r="D109" s="10" t="n">
        <f aca="false">CHOOSE(C109,GrowLo,GrowMid,GrowHi)</f>
        <v>0.04</v>
      </c>
      <c r="E109" s="20" t="n">
        <v>5</v>
      </c>
      <c r="F109" s="24" t="n">
        <f aca="false">INDEX(C_Price,A109)*(1+D109)^(E109-1)</f>
        <v>15.20816128</v>
      </c>
      <c r="G109" s="24" t="n">
        <f aca="false">F109*Gongsi</f>
        <v>10.4936312832</v>
      </c>
      <c r="H109" s="24" t="n">
        <f aca="false">G109*FairProp</f>
        <v>6.29617876992</v>
      </c>
      <c r="I109" s="44" t="n">
        <f aca="false">IF(G109&lt;=SpcLimit,SUMPRODUCT((H109&gt;SLo)*(H109-SLo)*SD),SUMPRODUCT((H109&gt;GLo)*(H109-GLo)*GD))</f>
        <v>0.01888471507968</v>
      </c>
      <c r="J109" s="44" t="n">
        <f aca="false">H109*CityRate</f>
        <v>0.008814650277888</v>
      </c>
      <c r="K109" s="44" t="n">
        <f aca="false">I109*EduProp</f>
        <v>0.003776943015936</v>
      </c>
      <c r="L109" s="24" t="n">
        <f aca="false">MAX(0,(G109-JongDeduct)*FairJong)</f>
        <v>0</v>
      </c>
      <c r="M109" s="44" t="n">
        <f aca="false">SUMPRODUCT((L109&gt;JLo)*(L109-JLo)*JD)</f>
        <v>0</v>
      </c>
      <c r="N109" s="44" t="n">
        <f aca="false">M109*NongJong</f>
        <v>0</v>
      </c>
      <c r="O109" s="45" t="n">
        <f aca="false">I109+J109+K109+M109+N109</f>
        <v>0.031476308373504</v>
      </c>
    </row>
    <row r="110" customFormat="false" ht="15" hidden="false" customHeight="false" outlineLevel="0" collapsed="false">
      <c r="A110" s="20" t="n">
        <v>4</v>
      </c>
      <c r="B110" s="43" t="str">
        <f aca="false">INDEX(C_Name,A110)</f>
        <v>신길삼성래미안 84㎡</v>
      </c>
      <c r="C110" s="20" t="n">
        <v>2</v>
      </c>
      <c r="D110" s="10" t="n">
        <f aca="false">CHOOSE(C110,GrowLo,GrowMid,GrowHi)</f>
        <v>0.04</v>
      </c>
      <c r="E110" s="20" t="n">
        <v>6</v>
      </c>
      <c r="F110" s="24" t="n">
        <f aca="false">INDEX(C_Price,A110)*(1+D110)^(E110-1)</f>
        <v>15.8164877312</v>
      </c>
      <c r="G110" s="24" t="n">
        <f aca="false">F110*Gongsi</f>
        <v>10.913376534528</v>
      </c>
      <c r="H110" s="24" t="n">
        <f aca="false">G110*FairProp</f>
        <v>6.5480259207168</v>
      </c>
      <c r="I110" s="44" t="n">
        <f aca="false">IF(G110&lt;=SpcLimit,SUMPRODUCT((H110&gt;SLo)*(H110-SLo)*SD),SUMPRODUCT((H110&gt;GLo)*(H110-GLo)*GD))</f>
        <v>0.0198921036828672</v>
      </c>
      <c r="J110" s="44" t="n">
        <f aca="false">H110*CityRate</f>
        <v>0.00916723628900352</v>
      </c>
      <c r="K110" s="44" t="n">
        <f aca="false">I110*EduProp</f>
        <v>0.00397842073657344</v>
      </c>
      <c r="L110" s="24" t="n">
        <f aca="false">MAX(0,(G110-JongDeduct)*FairJong)</f>
        <v>0</v>
      </c>
      <c r="M110" s="44" t="n">
        <f aca="false">SUMPRODUCT((L110&gt;JLo)*(L110-JLo)*JD)</f>
        <v>0</v>
      </c>
      <c r="N110" s="44" t="n">
        <f aca="false">M110*NongJong</f>
        <v>0</v>
      </c>
      <c r="O110" s="45" t="n">
        <f aca="false">I110+J110+K110+M110+N110</f>
        <v>0.0330377607084442</v>
      </c>
    </row>
    <row r="111" customFormat="false" ht="15" hidden="false" customHeight="false" outlineLevel="0" collapsed="false">
      <c r="A111" s="20" t="n">
        <v>4</v>
      </c>
      <c r="B111" s="43" t="str">
        <f aca="false">INDEX(C_Name,A111)</f>
        <v>신길삼성래미안 84㎡</v>
      </c>
      <c r="C111" s="20" t="n">
        <v>2</v>
      </c>
      <c r="D111" s="10" t="n">
        <f aca="false">CHOOSE(C111,GrowLo,GrowMid,GrowHi)</f>
        <v>0.04</v>
      </c>
      <c r="E111" s="20" t="n">
        <v>7</v>
      </c>
      <c r="F111" s="24" t="n">
        <f aca="false">INDEX(C_Price,A111)*(1+D111)^(E111-1)</f>
        <v>16.449147240448</v>
      </c>
      <c r="G111" s="24" t="n">
        <f aca="false">F111*Gongsi</f>
        <v>11.3499115959091</v>
      </c>
      <c r="H111" s="24" t="n">
        <f aca="false">G111*FairProp</f>
        <v>6.80994695754547</v>
      </c>
      <c r="I111" s="44" t="n">
        <f aca="false">IF(G111&lt;=SpcLimit,SUMPRODUCT((H111&gt;SLo)*(H111-SLo)*SD),SUMPRODUCT((H111&gt;GLo)*(H111-GLo)*GD))</f>
        <v>0.0209397878301819</v>
      </c>
      <c r="J111" s="44" t="n">
        <f aca="false">H111*CityRate</f>
        <v>0.00953392574056366</v>
      </c>
      <c r="K111" s="44" t="n">
        <f aca="false">I111*EduProp</f>
        <v>0.00418795756603638</v>
      </c>
      <c r="L111" s="24" t="n">
        <f aca="false">MAX(0,(G111-JongDeduct)*FairJong)</f>
        <v>0</v>
      </c>
      <c r="M111" s="44" t="n">
        <f aca="false">SUMPRODUCT((L111&gt;JLo)*(L111-JLo)*JD)</f>
        <v>0</v>
      </c>
      <c r="N111" s="44" t="n">
        <f aca="false">M111*NongJong</f>
        <v>0</v>
      </c>
      <c r="O111" s="45" t="n">
        <f aca="false">I111+J111+K111+M111+N111</f>
        <v>0.0346616711367819</v>
      </c>
    </row>
    <row r="112" customFormat="false" ht="15" hidden="false" customHeight="false" outlineLevel="0" collapsed="false">
      <c r="A112" s="20" t="n">
        <v>4</v>
      </c>
      <c r="B112" s="43" t="str">
        <f aca="false">INDEX(C_Name,A112)</f>
        <v>신길삼성래미안 84㎡</v>
      </c>
      <c r="C112" s="20" t="n">
        <v>2</v>
      </c>
      <c r="D112" s="10" t="n">
        <f aca="false">CHOOSE(C112,GrowLo,GrowMid,GrowHi)</f>
        <v>0.04</v>
      </c>
      <c r="E112" s="20" t="n">
        <v>8</v>
      </c>
      <c r="F112" s="24" t="n">
        <f aca="false">INDEX(C_Price,A112)*(1+D112)^(E112-1)</f>
        <v>17.1071131300659</v>
      </c>
      <c r="G112" s="24" t="n">
        <f aca="false">F112*Gongsi</f>
        <v>11.8039080597455</v>
      </c>
      <c r="H112" s="24" t="n">
        <f aca="false">G112*FairProp</f>
        <v>7.08234483584729</v>
      </c>
      <c r="I112" s="44" t="n">
        <f aca="false">IF(G112&lt;=SpcLimit,SUMPRODUCT((H112&gt;SLo)*(H112-SLo)*SD),SUMPRODUCT((H112&gt;GLo)*(H112-GLo)*GD))</f>
        <v>0.0220293793433892</v>
      </c>
      <c r="J112" s="44" t="n">
        <f aca="false">H112*CityRate</f>
        <v>0.00991528277018621</v>
      </c>
      <c r="K112" s="44" t="n">
        <f aca="false">I112*EduProp</f>
        <v>0.00440587586867783</v>
      </c>
      <c r="L112" s="24" t="n">
        <f aca="false">MAX(0,(G112-JongDeduct)*FairJong)</f>
        <v>0</v>
      </c>
      <c r="M112" s="44" t="n">
        <f aca="false">SUMPRODUCT((L112&gt;JLo)*(L112-JLo)*JD)</f>
        <v>0</v>
      </c>
      <c r="N112" s="44" t="n">
        <f aca="false">M112*NongJong</f>
        <v>0</v>
      </c>
      <c r="O112" s="45" t="n">
        <f aca="false">I112+J112+K112+M112+N112</f>
        <v>0.0363505379822532</v>
      </c>
    </row>
    <row r="113" customFormat="false" ht="15" hidden="false" customHeight="false" outlineLevel="0" collapsed="false">
      <c r="A113" s="20" t="n">
        <v>4</v>
      </c>
      <c r="B113" s="43" t="str">
        <f aca="false">INDEX(C_Name,A113)</f>
        <v>신길삼성래미안 84㎡</v>
      </c>
      <c r="C113" s="20" t="n">
        <v>2</v>
      </c>
      <c r="D113" s="10" t="n">
        <f aca="false">CHOOSE(C113,GrowLo,GrowMid,GrowHi)</f>
        <v>0.04</v>
      </c>
      <c r="E113" s="20" t="n">
        <v>9</v>
      </c>
      <c r="F113" s="24" t="n">
        <f aca="false">INDEX(C_Price,A113)*(1+D113)^(E113-1)</f>
        <v>17.7913976552686</v>
      </c>
      <c r="G113" s="24" t="n">
        <f aca="false">F113*Gongsi</f>
        <v>12.2760643821353</v>
      </c>
      <c r="H113" s="24" t="n">
        <f aca="false">G113*FairProp</f>
        <v>7.36563862928118</v>
      </c>
      <c r="I113" s="44" t="n">
        <f aca="false">IF(G113&lt;=SpcLimit,SUMPRODUCT((H113&gt;SLo)*(H113-SLo)*SD),SUMPRODUCT((H113&gt;GLo)*(H113-GLo)*GD))</f>
        <v>0.0231625545171247</v>
      </c>
      <c r="J113" s="44" t="n">
        <f aca="false">H113*CityRate</f>
        <v>0.0103118940809937</v>
      </c>
      <c r="K113" s="44" t="n">
        <f aca="false">I113*EduProp</f>
        <v>0.00463251090342495</v>
      </c>
      <c r="L113" s="24" t="n">
        <f aca="false">MAX(0,(G113-JongDeduct)*FairJong)</f>
        <v>0.165638629281184</v>
      </c>
      <c r="M113" s="44" t="n">
        <f aca="false">SUMPRODUCT((L113&gt;JLo)*(L113-JLo)*JD)</f>
        <v>0.000828193146405919</v>
      </c>
      <c r="N113" s="44" t="n">
        <f aca="false">M113*NongJong</f>
        <v>0.000165638629281184</v>
      </c>
      <c r="O113" s="45" t="n">
        <f aca="false">I113+J113+K113+M113+N113</f>
        <v>0.0391007912772304</v>
      </c>
    </row>
    <row r="114" customFormat="false" ht="15" hidden="false" customHeight="false" outlineLevel="0" collapsed="false">
      <c r="A114" s="20" t="n">
        <v>4</v>
      </c>
      <c r="B114" s="43" t="str">
        <f aca="false">INDEX(C_Name,A114)</f>
        <v>신길삼성래미안 84㎡</v>
      </c>
      <c r="C114" s="20" t="n">
        <v>2</v>
      </c>
      <c r="D114" s="10" t="n">
        <f aca="false">CHOOSE(C114,GrowLo,GrowMid,GrowHi)</f>
        <v>0.04</v>
      </c>
      <c r="E114" s="20" t="n">
        <v>10</v>
      </c>
      <c r="F114" s="24" t="n">
        <f aca="false">INDEX(C_Price,A114)*(1+D114)^(E114-1)</f>
        <v>18.5030535614793</v>
      </c>
      <c r="G114" s="24" t="n">
        <f aca="false">F114*Gongsi</f>
        <v>12.7671069574207</v>
      </c>
      <c r="H114" s="24" t="n">
        <f aca="false">G114*FairProp</f>
        <v>7.66026417445243</v>
      </c>
      <c r="I114" s="44" t="n">
        <f aca="false">IF(G114&lt;=SpcLimit,SUMPRODUCT((H114&gt;SLo)*(H114-SLo)*SD),SUMPRODUCT((H114&gt;GLo)*(H114-GLo)*GD))</f>
        <v>0.0243410566978097</v>
      </c>
      <c r="J114" s="44" t="n">
        <f aca="false">H114*CityRate</f>
        <v>0.0107243698442334</v>
      </c>
      <c r="K114" s="44" t="n">
        <f aca="false">I114*EduProp</f>
        <v>0.00486821133956195</v>
      </c>
      <c r="L114" s="24" t="n">
        <f aca="false">MAX(0,(G114-JongDeduct)*FairJong)</f>
        <v>0.460264174452431</v>
      </c>
      <c r="M114" s="44" t="n">
        <f aca="false">SUMPRODUCT((L114&gt;JLo)*(L114-JLo)*JD)</f>
        <v>0.00230132087226216</v>
      </c>
      <c r="N114" s="44" t="n">
        <f aca="false">M114*NongJong</f>
        <v>0.000460264174452431</v>
      </c>
      <c r="O114" s="45" t="n">
        <f aca="false">I114+J114+K114+M114+N114</f>
        <v>0.0426952229283197</v>
      </c>
    </row>
    <row r="115" customFormat="false" ht="15" hidden="false" customHeight="false" outlineLevel="0" collapsed="false">
      <c r="A115" s="20" t="n">
        <v>4</v>
      </c>
      <c r="B115" s="43" t="str">
        <f aca="false">INDEX(C_Name,A115)</f>
        <v>신길삼성래미안 84㎡</v>
      </c>
      <c r="C115" s="20" t="n">
        <v>3</v>
      </c>
      <c r="D115" s="10" t="n">
        <f aca="false">CHOOSE(C115,GrowLo,GrowMid,GrowHi)</f>
        <v>0.06</v>
      </c>
      <c r="E115" s="20" t="n">
        <v>1</v>
      </c>
      <c r="F115" s="24" t="n">
        <f aca="false">INDEX(C_Price,A115)*(1+D115)^(E115-1)</f>
        <v>13</v>
      </c>
      <c r="G115" s="24" t="n">
        <f aca="false">F115*Gongsi</f>
        <v>8.97</v>
      </c>
      <c r="H115" s="24" t="n">
        <f aca="false">G115*FairProp</f>
        <v>5.382</v>
      </c>
      <c r="I115" s="44" t="n">
        <f aca="false">IF(G115&lt;=SpcLimit,SUMPRODUCT((H115&gt;SLo)*(H115-SLo)*SD),SUMPRODUCT((H115&gt;GLo)*(H115-GLo)*GD))</f>
        <v>0.012537</v>
      </c>
      <c r="J115" s="44" t="n">
        <f aca="false">H115*CityRate</f>
        <v>0.0075348</v>
      </c>
      <c r="K115" s="44" t="n">
        <f aca="false">I115*EduProp</f>
        <v>0.0025074</v>
      </c>
      <c r="L115" s="24" t="n">
        <f aca="false">MAX(0,(G115-JongDeduct)*FairJong)</f>
        <v>0</v>
      </c>
      <c r="M115" s="44" t="n">
        <f aca="false">SUMPRODUCT((L115&gt;JLo)*(L115-JLo)*JD)</f>
        <v>0</v>
      </c>
      <c r="N115" s="44" t="n">
        <f aca="false">M115*NongJong</f>
        <v>0</v>
      </c>
      <c r="O115" s="45" t="n">
        <f aca="false">I115+J115+K115+M115+N115</f>
        <v>0.0225792</v>
      </c>
    </row>
    <row r="116" customFormat="false" ht="15" hidden="false" customHeight="false" outlineLevel="0" collapsed="false">
      <c r="A116" s="20" t="n">
        <v>4</v>
      </c>
      <c r="B116" s="43" t="str">
        <f aca="false">INDEX(C_Name,A116)</f>
        <v>신길삼성래미안 84㎡</v>
      </c>
      <c r="C116" s="20" t="n">
        <v>3</v>
      </c>
      <c r="D116" s="10" t="n">
        <f aca="false">CHOOSE(C116,GrowLo,GrowMid,GrowHi)</f>
        <v>0.06</v>
      </c>
      <c r="E116" s="20" t="n">
        <v>2</v>
      </c>
      <c r="F116" s="24" t="n">
        <f aca="false">INDEX(C_Price,A116)*(1+D116)^(E116-1)</f>
        <v>13.78</v>
      </c>
      <c r="G116" s="24" t="n">
        <f aca="false">F116*Gongsi</f>
        <v>9.5082</v>
      </c>
      <c r="H116" s="24" t="n">
        <f aca="false">G116*FairProp</f>
        <v>5.70492</v>
      </c>
      <c r="I116" s="44" t="n">
        <f aca="false">IF(G116&lt;=SpcLimit,SUMPRODUCT((H116&gt;SLo)*(H116-SLo)*SD),SUMPRODUCT((H116&gt;GLo)*(H116-GLo)*GD))</f>
        <v>0.01651968</v>
      </c>
      <c r="J116" s="44" t="n">
        <f aca="false">H116*CityRate</f>
        <v>0.007986888</v>
      </c>
      <c r="K116" s="44" t="n">
        <f aca="false">I116*EduProp</f>
        <v>0.003303936</v>
      </c>
      <c r="L116" s="24" t="n">
        <f aca="false">MAX(0,(G116-JongDeduct)*FairJong)</f>
        <v>0</v>
      </c>
      <c r="M116" s="44" t="n">
        <f aca="false">SUMPRODUCT((L116&gt;JLo)*(L116-JLo)*JD)</f>
        <v>0</v>
      </c>
      <c r="N116" s="44" t="n">
        <f aca="false">M116*NongJong</f>
        <v>0</v>
      </c>
      <c r="O116" s="45" t="n">
        <f aca="false">I116+J116+K116+M116+N116</f>
        <v>0.027810504</v>
      </c>
    </row>
    <row r="117" customFormat="false" ht="15" hidden="false" customHeight="false" outlineLevel="0" collapsed="false">
      <c r="A117" s="20" t="n">
        <v>4</v>
      </c>
      <c r="B117" s="43" t="str">
        <f aca="false">INDEX(C_Name,A117)</f>
        <v>신길삼성래미안 84㎡</v>
      </c>
      <c r="C117" s="20" t="n">
        <v>3</v>
      </c>
      <c r="D117" s="10" t="n">
        <f aca="false">CHOOSE(C117,GrowLo,GrowMid,GrowHi)</f>
        <v>0.06</v>
      </c>
      <c r="E117" s="20" t="n">
        <v>3</v>
      </c>
      <c r="F117" s="24" t="n">
        <f aca="false">INDEX(C_Price,A117)*(1+D117)^(E117-1)</f>
        <v>14.6068</v>
      </c>
      <c r="G117" s="24" t="n">
        <f aca="false">F117*Gongsi</f>
        <v>10.078692</v>
      </c>
      <c r="H117" s="24" t="n">
        <f aca="false">G117*FairProp</f>
        <v>6.0472152</v>
      </c>
      <c r="I117" s="44" t="n">
        <f aca="false">IF(G117&lt;=SpcLimit,SUMPRODUCT((H117&gt;SLo)*(H117-SLo)*SD),SUMPRODUCT((H117&gt;GLo)*(H117-GLo)*GD))</f>
        <v>0.0178888608</v>
      </c>
      <c r="J117" s="44" t="n">
        <f aca="false">H117*CityRate</f>
        <v>0.00846610128</v>
      </c>
      <c r="K117" s="44" t="n">
        <f aca="false">I117*EduProp</f>
        <v>0.00357777216</v>
      </c>
      <c r="L117" s="24" t="n">
        <f aca="false">MAX(0,(G117-JongDeduct)*FairJong)</f>
        <v>0</v>
      </c>
      <c r="M117" s="44" t="n">
        <f aca="false">SUMPRODUCT((L117&gt;JLo)*(L117-JLo)*JD)</f>
        <v>0</v>
      </c>
      <c r="N117" s="44" t="n">
        <f aca="false">M117*NongJong</f>
        <v>0</v>
      </c>
      <c r="O117" s="45" t="n">
        <f aca="false">I117+J117+K117+M117+N117</f>
        <v>0.02993273424</v>
      </c>
    </row>
    <row r="118" customFormat="false" ht="15" hidden="false" customHeight="false" outlineLevel="0" collapsed="false">
      <c r="A118" s="20" t="n">
        <v>4</v>
      </c>
      <c r="B118" s="43" t="str">
        <f aca="false">INDEX(C_Name,A118)</f>
        <v>신길삼성래미안 84㎡</v>
      </c>
      <c r="C118" s="20" t="n">
        <v>3</v>
      </c>
      <c r="D118" s="10" t="n">
        <f aca="false">CHOOSE(C118,GrowLo,GrowMid,GrowHi)</f>
        <v>0.06</v>
      </c>
      <c r="E118" s="20" t="n">
        <v>4</v>
      </c>
      <c r="F118" s="24" t="n">
        <f aca="false">INDEX(C_Price,A118)*(1+D118)^(E118-1)</f>
        <v>15.483208</v>
      </c>
      <c r="G118" s="24" t="n">
        <f aca="false">F118*Gongsi</f>
        <v>10.68341352</v>
      </c>
      <c r="H118" s="24" t="n">
        <f aca="false">G118*FairProp</f>
        <v>6.410048112</v>
      </c>
      <c r="I118" s="44" t="n">
        <f aca="false">IF(G118&lt;=SpcLimit,SUMPRODUCT((H118&gt;SLo)*(H118-SLo)*SD),SUMPRODUCT((H118&gt;GLo)*(H118-GLo)*GD))</f>
        <v>0.019340192448</v>
      </c>
      <c r="J118" s="44" t="n">
        <f aca="false">H118*CityRate</f>
        <v>0.0089740673568</v>
      </c>
      <c r="K118" s="44" t="n">
        <f aca="false">I118*EduProp</f>
        <v>0.0038680384896</v>
      </c>
      <c r="L118" s="24" t="n">
        <f aca="false">MAX(0,(G118-JongDeduct)*FairJong)</f>
        <v>0</v>
      </c>
      <c r="M118" s="44" t="n">
        <f aca="false">SUMPRODUCT((L118&gt;JLo)*(L118-JLo)*JD)</f>
        <v>0</v>
      </c>
      <c r="N118" s="44" t="n">
        <f aca="false">M118*NongJong</f>
        <v>0</v>
      </c>
      <c r="O118" s="45" t="n">
        <f aca="false">I118+J118+K118+M118+N118</f>
        <v>0.0321822982944</v>
      </c>
    </row>
    <row r="119" customFormat="false" ht="15" hidden="false" customHeight="false" outlineLevel="0" collapsed="false">
      <c r="A119" s="20" t="n">
        <v>4</v>
      </c>
      <c r="B119" s="43" t="str">
        <f aca="false">INDEX(C_Name,A119)</f>
        <v>신길삼성래미안 84㎡</v>
      </c>
      <c r="C119" s="20" t="n">
        <v>3</v>
      </c>
      <c r="D119" s="10" t="n">
        <f aca="false">CHOOSE(C119,GrowLo,GrowMid,GrowHi)</f>
        <v>0.06</v>
      </c>
      <c r="E119" s="20" t="n">
        <v>5</v>
      </c>
      <c r="F119" s="24" t="n">
        <f aca="false">INDEX(C_Price,A119)*(1+D119)^(E119-1)</f>
        <v>16.41220048</v>
      </c>
      <c r="G119" s="24" t="n">
        <f aca="false">F119*Gongsi</f>
        <v>11.3244183312</v>
      </c>
      <c r="H119" s="24" t="n">
        <f aca="false">G119*FairProp</f>
        <v>6.79465099872</v>
      </c>
      <c r="I119" s="44" t="n">
        <f aca="false">IF(G119&lt;=SpcLimit,SUMPRODUCT((H119&gt;SLo)*(H119-SLo)*SD),SUMPRODUCT((H119&gt;GLo)*(H119-GLo)*GD))</f>
        <v>0.02087860399488</v>
      </c>
      <c r="J119" s="44" t="n">
        <f aca="false">H119*CityRate</f>
        <v>0.009512511398208</v>
      </c>
      <c r="K119" s="44" t="n">
        <f aca="false">I119*EduProp</f>
        <v>0.004175720798976</v>
      </c>
      <c r="L119" s="24" t="n">
        <f aca="false">MAX(0,(G119-JongDeduct)*FairJong)</f>
        <v>0</v>
      </c>
      <c r="M119" s="44" t="n">
        <f aca="false">SUMPRODUCT((L119&gt;JLo)*(L119-JLo)*JD)</f>
        <v>0</v>
      </c>
      <c r="N119" s="44" t="n">
        <f aca="false">M119*NongJong</f>
        <v>0</v>
      </c>
      <c r="O119" s="45" t="n">
        <f aca="false">I119+J119+K119+M119+N119</f>
        <v>0.034566836192064</v>
      </c>
    </row>
    <row r="120" customFormat="false" ht="15" hidden="false" customHeight="false" outlineLevel="0" collapsed="false">
      <c r="A120" s="20" t="n">
        <v>4</v>
      </c>
      <c r="B120" s="43" t="str">
        <f aca="false">INDEX(C_Name,A120)</f>
        <v>신길삼성래미안 84㎡</v>
      </c>
      <c r="C120" s="20" t="n">
        <v>3</v>
      </c>
      <c r="D120" s="10" t="n">
        <f aca="false">CHOOSE(C120,GrowLo,GrowMid,GrowHi)</f>
        <v>0.06</v>
      </c>
      <c r="E120" s="20" t="n">
        <v>6</v>
      </c>
      <c r="F120" s="24" t="n">
        <f aca="false">INDEX(C_Price,A120)*(1+D120)^(E120-1)</f>
        <v>17.3969325088</v>
      </c>
      <c r="G120" s="24" t="n">
        <f aca="false">F120*Gongsi</f>
        <v>12.003883431072</v>
      </c>
      <c r="H120" s="24" t="n">
        <f aca="false">G120*FairProp</f>
        <v>7.2023300586432</v>
      </c>
      <c r="I120" s="44" t="n">
        <f aca="false">IF(G120&lt;=SpcLimit,SUMPRODUCT((H120&gt;SLo)*(H120-SLo)*SD),SUMPRODUCT((H120&gt;GLo)*(H120-GLo)*GD))</f>
        <v>0.0225093202345728</v>
      </c>
      <c r="J120" s="44" t="n">
        <f aca="false">H120*CityRate</f>
        <v>0.0100832620821005</v>
      </c>
      <c r="K120" s="44" t="n">
        <f aca="false">I120*EduProp</f>
        <v>0.00450186404691456</v>
      </c>
      <c r="L120" s="24" t="n">
        <f aca="false">MAX(0,(G120-JongDeduct)*FairJong)</f>
        <v>0.00233005864320077</v>
      </c>
      <c r="M120" s="44" t="n">
        <f aca="false">SUMPRODUCT((L120&gt;JLo)*(L120-JLo)*JD)</f>
        <v>1.16502932160039E-005</v>
      </c>
      <c r="N120" s="44" t="n">
        <f aca="false">M120*NongJong</f>
        <v>2.33005864320077E-006</v>
      </c>
      <c r="O120" s="45" t="n">
        <f aca="false">I120+J120+K120+M120+N120</f>
        <v>0.0371084267154471</v>
      </c>
    </row>
    <row r="121" customFormat="false" ht="15" hidden="false" customHeight="false" outlineLevel="0" collapsed="false">
      <c r="A121" s="20" t="n">
        <v>4</v>
      </c>
      <c r="B121" s="43" t="str">
        <f aca="false">INDEX(C_Name,A121)</f>
        <v>신길삼성래미안 84㎡</v>
      </c>
      <c r="C121" s="20" t="n">
        <v>3</v>
      </c>
      <c r="D121" s="10" t="n">
        <f aca="false">CHOOSE(C121,GrowLo,GrowMid,GrowHi)</f>
        <v>0.06</v>
      </c>
      <c r="E121" s="20" t="n">
        <v>7</v>
      </c>
      <c r="F121" s="24" t="n">
        <f aca="false">INDEX(C_Price,A121)*(1+D121)^(E121-1)</f>
        <v>18.440748459328</v>
      </c>
      <c r="G121" s="24" t="n">
        <f aca="false">F121*Gongsi</f>
        <v>12.7241164369363</v>
      </c>
      <c r="H121" s="24" t="n">
        <f aca="false">G121*FairProp</f>
        <v>7.63446986216179</v>
      </c>
      <c r="I121" s="44" t="n">
        <f aca="false">IF(G121&lt;=SpcLimit,SUMPRODUCT((H121&gt;SLo)*(H121-SLo)*SD),SUMPRODUCT((H121&gt;GLo)*(H121-GLo)*GD))</f>
        <v>0.0242378794486472</v>
      </c>
      <c r="J121" s="44" t="n">
        <f aca="false">H121*CityRate</f>
        <v>0.0106882578070265</v>
      </c>
      <c r="K121" s="44" t="n">
        <f aca="false">I121*EduProp</f>
        <v>0.00484757588972944</v>
      </c>
      <c r="L121" s="24" t="n">
        <f aca="false">MAX(0,(G121-JongDeduct)*FairJong)</f>
        <v>0.434469862161794</v>
      </c>
      <c r="M121" s="44" t="n">
        <f aca="false">SUMPRODUCT((L121&gt;JLo)*(L121-JLo)*JD)</f>
        <v>0.00217234931080897</v>
      </c>
      <c r="N121" s="44" t="n">
        <f aca="false">M121*NongJong</f>
        <v>0.000434469862161794</v>
      </c>
      <c r="O121" s="45" t="n">
        <f aca="false">I121+J121+K121+M121+N121</f>
        <v>0.0423805323183739</v>
      </c>
    </row>
    <row r="122" customFormat="false" ht="15" hidden="false" customHeight="false" outlineLevel="0" collapsed="false">
      <c r="A122" s="20" t="n">
        <v>4</v>
      </c>
      <c r="B122" s="43" t="str">
        <f aca="false">INDEX(C_Name,A122)</f>
        <v>신길삼성래미안 84㎡</v>
      </c>
      <c r="C122" s="20" t="n">
        <v>3</v>
      </c>
      <c r="D122" s="10" t="n">
        <f aca="false">CHOOSE(C122,GrowLo,GrowMid,GrowHi)</f>
        <v>0.06</v>
      </c>
      <c r="E122" s="20" t="n">
        <v>8</v>
      </c>
      <c r="F122" s="24" t="n">
        <f aca="false">INDEX(C_Price,A122)*(1+D122)^(E122-1)</f>
        <v>19.5471933668877</v>
      </c>
      <c r="G122" s="24" t="n">
        <f aca="false">F122*Gongsi</f>
        <v>13.4875634231525</v>
      </c>
      <c r="H122" s="24" t="n">
        <f aca="false">G122*FairProp</f>
        <v>8.0925380538915</v>
      </c>
      <c r="I122" s="44" t="n">
        <f aca="false">IF(G122&lt;=SpcLimit,SUMPRODUCT((H122&gt;SLo)*(H122-SLo)*SD),SUMPRODUCT((H122&gt;GLo)*(H122-GLo)*GD))</f>
        <v>0.026070152215566</v>
      </c>
      <c r="J122" s="44" t="n">
        <f aca="false">H122*CityRate</f>
        <v>0.0113295532754481</v>
      </c>
      <c r="K122" s="44" t="n">
        <f aca="false">I122*EduProp</f>
        <v>0.0052140304431132</v>
      </c>
      <c r="L122" s="24" t="n">
        <f aca="false">MAX(0,(G122-JongDeduct)*FairJong)</f>
        <v>0.892538053891502</v>
      </c>
      <c r="M122" s="44" t="n">
        <f aca="false">SUMPRODUCT((L122&gt;JLo)*(L122-JLo)*JD)</f>
        <v>0.00446269026945751</v>
      </c>
      <c r="N122" s="44" t="n">
        <f aca="false">M122*NongJong</f>
        <v>0.000892538053891502</v>
      </c>
      <c r="O122" s="45" t="n">
        <f aca="false">I122+J122+K122+M122+N122</f>
        <v>0.0479689642574763</v>
      </c>
    </row>
    <row r="123" customFormat="false" ht="15" hidden="false" customHeight="false" outlineLevel="0" collapsed="false">
      <c r="A123" s="20" t="n">
        <v>4</v>
      </c>
      <c r="B123" s="43" t="str">
        <f aca="false">INDEX(C_Name,A123)</f>
        <v>신길삼성래미안 84㎡</v>
      </c>
      <c r="C123" s="20" t="n">
        <v>3</v>
      </c>
      <c r="D123" s="10" t="n">
        <f aca="false">CHOOSE(C123,GrowLo,GrowMid,GrowHi)</f>
        <v>0.06</v>
      </c>
      <c r="E123" s="20" t="n">
        <v>9</v>
      </c>
      <c r="F123" s="24" t="n">
        <f aca="false">INDEX(C_Price,A123)*(1+D123)^(E123-1)</f>
        <v>20.720024968901</v>
      </c>
      <c r="G123" s="24" t="n">
        <f aca="false">F123*Gongsi</f>
        <v>14.2968172285417</v>
      </c>
      <c r="H123" s="24" t="n">
        <f aca="false">G123*FairProp</f>
        <v>8.57809033712499</v>
      </c>
      <c r="I123" s="44" t="n">
        <f aca="false">IF(G123&lt;=SpcLimit,SUMPRODUCT((H123&gt;SLo)*(H123-SLo)*SD),SUMPRODUCT((H123&gt;GLo)*(H123-GLo)*GD))</f>
        <v>0.0280123613485</v>
      </c>
      <c r="J123" s="44" t="n">
        <f aca="false">H123*CityRate</f>
        <v>0.012009326471975</v>
      </c>
      <c r="K123" s="44" t="n">
        <f aca="false">I123*EduProp</f>
        <v>0.0056024722697</v>
      </c>
      <c r="L123" s="24" t="n">
        <f aca="false">MAX(0,(G123-JongDeduct)*FairJong)</f>
        <v>1.37809033712499</v>
      </c>
      <c r="M123" s="44" t="n">
        <f aca="false">SUMPRODUCT((L123&gt;JLo)*(L123-JLo)*JD)</f>
        <v>0.00689045168562497</v>
      </c>
      <c r="N123" s="44" t="n">
        <f aca="false">M123*NongJong</f>
        <v>0.00137809033712499</v>
      </c>
      <c r="O123" s="45" t="n">
        <f aca="false">I123+J123+K123+M123+N123</f>
        <v>0.0538927021129249</v>
      </c>
    </row>
    <row r="124" customFormat="false" ht="15" hidden="false" customHeight="false" outlineLevel="0" collapsed="false">
      <c r="A124" s="20" t="n">
        <v>4</v>
      </c>
      <c r="B124" s="43" t="str">
        <f aca="false">INDEX(C_Name,A124)</f>
        <v>신길삼성래미안 84㎡</v>
      </c>
      <c r="C124" s="20" t="n">
        <v>3</v>
      </c>
      <c r="D124" s="10" t="n">
        <f aca="false">CHOOSE(C124,GrowLo,GrowMid,GrowHi)</f>
        <v>0.06</v>
      </c>
      <c r="E124" s="20" t="n">
        <v>10</v>
      </c>
      <c r="F124" s="24" t="n">
        <f aca="false">INDEX(C_Price,A124)*(1+D124)^(E124-1)</f>
        <v>21.963226467035</v>
      </c>
      <c r="G124" s="24" t="n">
        <f aca="false">F124*Gongsi</f>
        <v>15.1546262622542</v>
      </c>
      <c r="H124" s="24" t="n">
        <f aca="false">G124*FairProp</f>
        <v>9.09277575735249</v>
      </c>
      <c r="I124" s="44" t="n">
        <f aca="false">IF(G124&lt;=SpcLimit,SUMPRODUCT((H124&gt;SLo)*(H124-SLo)*SD),SUMPRODUCT((H124&gt;GLo)*(H124-GLo)*GD))</f>
        <v>0.03007110302941</v>
      </c>
      <c r="J124" s="44" t="n">
        <f aca="false">H124*CityRate</f>
        <v>0.0127298860602935</v>
      </c>
      <c r="K124" s="44" t="n">
        <f aca="false">I124*EduProp</f>
        <v>0.00601422060588199</v>
      </c>
      <c r="L124" s="24" t="n">
        <f aca="false">MAX(0,(G124-JongDeduct)*FairJong)</f>
        <v>1.89277575735249</v>
      </c>
      <c r="M124" s="44" t="n">
        <f aca="false">SUMPRODUCT((L124&gt;JLo)*(L124-JLo)*JD)</f>
        <v>0.00946387878676246</v>
      </c>
      <c r="N124" s="44" t="n">
        <f aca="false">M124*NongJong</f>
        <v>0.00189277575735249</v>
      </c>
      <c r="O124" s="45" t="n">
        <f aca="false">I124+J124+K124+M124+N124</f>
        <v>0.0601718642397004</v>
      </c>
    </row>
    <row r="125" customFormat="false" ht="15" hidden="false" customHeight="false" outlineLevel="0" collapsed="false">
      <c r="A125" s="20" t="n">
        <v>5</v>
      </c>
      <c r="B125" s="43" t="str">
        <f aca="false">INDEX(C_Name,A125)</f>
        <v>신길 래미안에스티움 84㎡</v>
      </c>
      <c r="C125" s="20" t="n">
        <v>1</v>
      </c>
      <c r="D125" s="10" t="n">
        <f aca="false">CHOOSE(C125,GrowLo,GrowMid,GrowHi)</f>
        <v>0.02</v>
      </c>
      <c r="E125" s="20" t="n">
        <v>1</v>
      </c>
      <c r="F125" s="24" t="n">
        <f aca="false">INDEX(C_Price,A125)*(1+D125)^(E125-1)</f>
        <v>18.8</v>
      </c>
      <c r="G125" s="24" t="n">
        <f aca="false">F125*Gongsi</f>
        <v>12.972</v>
      </c>
      <c r="H125" s="24" t="n">
        <f aca="false">G125*FairProp</f>
        <v>7.7832</v>
      </c>
      <c r="I125" s="44" t="n">
        <f aca="false">IF(G125&lt;=SpcLimit,SUMPRODUCT((H125&gt;SLo)*(H125-SLo)*SD),SUMPRODUCT((H125&gt;GLo)*(H125-GLo)*GD))</f>
        <v>0.0248328</v>
      </c>
      <c r="J125" s="44" t="n">
        <f aca="false">H125*CityRate</f>
        <v>0.01089648</v>
      </c>
      <c r="K125" s="44" t="n">
        <f aca="false">I125*EduProp</f>
        <v>0.00496656</v>
      </c>
      <c r="L125" s="24" t="n">
        <f aca="false">MAX(0,(G125-JongDeduct)*FairJong)</f>
        <v>0.5832</v>
      </c>
      <c r="M125" s="44" t="n">
        <f aca="false">SUMPRODUCT((L125&gt;JLo)*(L125-JLo)*JD)</f>
        <v>0.002916</v>
      </c>
      <c r="N125" s="44" t="n">
        <f aca="false">M125*NongJong</f>
        <v>0.0005832</v>
      </c>
      <c r="O125" s="45" t="n">
        <f aca="false">I125+J125+K125+M125+N125</f>
        <v>0.04419504</v>
      </c>
    </row>
    <row r="126" customFormat="false" ht="15" hidden="false" customHeight="false" outlineLevel="0" collapsed="false">
      <c r="A126" s="20" t="n">
        <v>5</v>
      </c>
      <c r="B126" s="43" t="str">
        <f aca="false">INDEX(C_Name,A126)</f>
        <v>신길 래미안에스티움 84㎡</v>
      </c>
      <c r="C126" s="20" t="n">
        <v>1</v>
      </c>
      <c r="D126" s="10" t="n">
        <f aca="false">CHOOSE(C126,GrowLo,GrowMid,GrowHi)</f>
        <v>0.02</v>
      </c>
      <c r="E126" s="20" t="n">
        <v>2</v>
      </c>
      <c r="F126" s="24" t="n">
        <f aca="false">INDEX(C_Price,A126)*(1+D126)^(E126-1)</f>
        <v>19.176</v>
      </c>
      <c r="G126" s="24" t="n">
        <f aca="false">F126*Gongsi</f>
        <v>13.23144</v>
      </c>
      <c r="H126" s="24" t="n">
        <f aca="false">G126*FairProp</f>
        <v>7.938864</v>
      </c>
      <c r="I126" s="44" t="n">
        <f aca="false">IF(G126&lt;=SpcLimit,SUMPRODUCT((H126&gt;SLo)*(H126-SLo)*SD),SUMPRODUCT((H126&gt;GLo)*(H126-GLo)*GD))</f>
        <v>0.025455456</v>
      </c>
      <c r="J126" s="44" t="n">
        <f aca="false">H126*CityRate</f>
        <v>0.0111144096</v>
      </c>
      <c r="K126" s="44" t="n">
        <f aca="false">I126*EduProp</f>
        <v>0.0050910912</v>
      </c>
      <c r="L126" s="24" t="n">
        <f aca="false">MAX(0,(G126-JongDeduct)*FairJong)</f>
        <v>0.738864000000001</v>
      </c>
      <c r="M126" s="44" t="n">
        <f aca="false">SUMPRODUCT((L126&gt;JLo)*(L126-JLo)*JD)</f>
        <v>0.00369432</v>
      </c>
      <c r="N126" s="44" t="n">
        <f aca="false">M126*NongJong</f>
        <v>0.000738864000000001</v>
      </c>
      <c r="O126" s="45" t="n">
        <f aca="false">I126+J126+K126+M126+N126</f>
        <v>0.0460941408</v>
      </c>
    </row>
    <row r="127" customFormat="false" ht="15" hidden="false" customHeight="false" outlineLevel="0" collapsed="false">
      <c r="A127" s="20" t="n">
        <v>5</v>
      </c>
      <c r="B127" s="43" t="str">
        <f aca="false">INDEX(C_Name,A127)</f>
        <v>신길 래미안에스티움 84㎡</v>
      </c>
      <c r="C127" s="20" t="n">
        <v>1</v>
      </c>
      <c r="D127" s="10" t="n">
        <f aca="false">CHOOSE(C127,GrowLo,GrowMid,GrowHi)</f>
        <v>0.02</v>
      </c>
      <c r="E127" s="20" t="n">
        <v>3</v>
      </c>
      <c r="F127" s="24" t="n">
        <f aca="false">INDEX(C_Price,A127)*(1+D127)^(E127-1)</f>
        <v>19.55952</v>
      </c>
      <c r="G127" s="24" t="n">
        <f aca="false">F127*Gongsi</f>
        <v>13.4960688</v>
      </c>
      <c r="H127" s="24" t="n">
        <f aca="false">G127*FairProp</f>
        <v>8.09764128</v>
      </c>
      <c r="I127" s="44" t="n">
        <f aca="false">IF(G127&lt;=SpcLimit,SUMPRODUCT((H127&gt;SLo)*(H127-SLo)*SD),SUMPRODUCT((H127&gt;GLo)*(H127-GLo)*GD))</f>
        <v>0.02609056512</v>
      </c>
      <c r="J127" s="44" t="n">
        <f aca="false">H127*CityRate</f>
        <v>0.011336697792</v>
      </c>
      <c r="K127" s="44" t="n">
        <f aca="false">I127*EduProp</f>
        <v>0.005218113024</v>
      </c>
      <c r="L127" s="24" t="n">
        <f aca="false">MAX(0,(G127-JongDeduct)*FairJong)</f>
        <v>0.897641279999999</v>
      </c>
      <c r="M127" s="44" t="n">
        <f aca="false">SUMPRODUCT((L127&gt;JLo)*(L127-JLo)*JD)</f>
        <v>0.00448820639999999</v>
      </c>
      <c r="N127" s="44" t="n">
        <f aca="false">M127*NongJong</f>
        <v>0.000897641279999999</v>
      </c>
      <c r="O127" s="45" t="n">
        <f aca="false">I127+J127+K127+M127+N127</f>
        <v>0.048031223616</v>
      </c>
    </row>
    <row r="128" customFormat="false" ht="15" hidden="false" customHeight="false" outlineLevel="0" collapsed="false">
      <c r="A128" s="20" t="n">
        <v>5</v>
      </c>
      <c r="B128" s="43" t="str">
        <f aca="false">INDEX(C_Name,A128)</f>
        <v>신길 래미안에스티움 84㎡</v>
      </c>
      <c r="C128" s="20" t="n">
        <v>1</v>
      </c>
      <c r="D128" s="10" t="n">
        <f aca="false">CHOOSE(C128,GrowLo,GrowMid,GrowHi)</f>
        <v>0.02</v>
      </c>
      <c r="E128" s="20" t="n">
        <v>4</v>
      </c>
      <c r="F128" s="24" t="n">
        <f aca="false">INDEX(C_Price,A128)*(1+D128)^(E128-1)</f>
        <v>19.9507104</v>
      </c>
      <c r="G128" s="24" t="n">
        <f aca="false">F128*Gongsi</f>
        <v>13.765990176</v>
      </c>
      <c r="H128" s="24" t="n">
        <f aca="false">G128*FairProp</f>
        <v>8.2595941056</v>
      </c>
      <c r="I128" s="44" t="n">
        <f aca="false">IF(G128&lt;=SpcLimit,SUMPRODUCT((H128&gt;SLo)*(H128-SLo)*SD),SUMPRODUCT((H128&gt;GLo)*(H128-GLo)*GD))</f>
        <v>0.0267383764224</v>
      </c>
      <c r="J128" s="44" t="n">
        <f aca="false">H128*CityRate</f>
        <v>0.01156343174784</v>
      </c>
      <c r="K128" s="44" t="n">
        <f aca="false">I128*EduProp</f>
        <v>0.00534767528448</v>
      </c>
      <c r="L128" s="24" t="n">
        <f aca="false">MAX(0,(G128-JongDeduct)*FairJong)</f>
        <v>1.0595941056</v>
      </c>
      <c r="M128" s="44" t="n">
        <f aca="false">SUMPRODUCT((L128&gt;JLo)*(L128-JLo)*JD)</f>
        <v>0.005297970528</v>
      </c>
      <c r="N128" s="44" t="n">
        <f aca="false">M128*NongJong</f>
        <v>0.0010595941056</v>
      </c>
      <c r="O128" s="45" t="n">
        <f aca="false">I128+J128+K128+M128+N128</f>
        <v>0.05000704808832</v>
      </c>
    </row>
    <row r="129" customFormat="false" ht="15" hidden="false" customHeight="false" outlineLevel="0" collapsed="false">
      <c r="A129" s="20" t="n">
        <v>5</v>
      </c>
      <c r="B129" s="43" t="str">
        <f aca="false">INDEX(C_Name,A129)</f>
        <v>신길 래미안에스티움 84㎡</v>
      </c>
      <c r="C129" s="20" t="n">
        <v>1</v>
      </c>
      <c r="D129" s="10" t="n">
        <f aca="false">CHOOSE(C129,GrowLo,GrowMid,GrowHi)</f>
        <v>0.02</v>
      </c>
      <c r="E129" s="20" t="n">
        <v>5</v>
      </c>
      <c r="F129" s="24" t="n">
        <f aca="false">INDEX(C_Price,A129)*(1+D129)^(E129-1)</f>
        <v>20.349724608</v>
      </c>
      <c r="G129" s="24" t="n">
        <f aca="false">F129*Gongsi</f>
        <v>14.04130997952</v>
      </c>
      <c r="H129" s="24" t="n">
        <f aca="false">G129*FairProp</f>
        <v>8.424785987712</v>
      </c>
      <c r="I129" s="44" t="n">
        <f aca="false">IF(G129&lt;=SpcLimit,SUMPRODUCT((H129&gt;SLo)*(H129-SLo)*SD),SUMPRODUCT((H129&gt;GLo)*(H129-GLo)*GD))</f>
        <v>0.027399143950848</v>
      </c>
      <c r="J129" s="44" t="n">
        <f aca="false">H129*CityRate</f>
        <v>0.0117947003827968</v>
      </c>
      <c r="K129" s="44" t="n">
        <f aca="false">I129*EduProp</f>
        <v>0.0054798287901696</v>
      </c>
      <c r="L129" s="24" t="n">
        <f aca="false">MAX(0,(G129-JongDeduct)*FairJong)</f>
        <v>1.224785987712</v>
      </c>
      <c r="M129" s="44" t="n">
        <f aca="false">SUMPRODUCT((L129&gt;JLo)*(L129-JLo)*JD)</f>
        <v>0.00612392993855999</v>
      </c>
      <c r="N129" s="44" t="n">
        <f aca="false">M129*NongJong</f>
        <v>0.001224785987712</v>
      </c>
      <c r="O129" s="45" t="n">
        <f aca="false">I129+J129+K129+M129+N129</f>
        <v>0.0520223890500864</v>
      </c>
    </row>
    <row r="130" customFormat="false" ht="15" hidden="false" customHeight="false" outlineLevel="0" collapsed="false">
      <c r="A130" s="20" t="n">
        <v>5</v>
      </c>
      <c r="B130" s="43" t="str">
        <f aca="false">INDEX(C_Name,A130)</f>
        <v>신길 래미안에스티움 84㎡</v>
      </c>
      <c r="C130" s="20" t="n">
        <v>1</v>
      </c>
      <c r="D130" s="10" t="n">
        <f aca="false">CHOOSE(C130,GrowLo,GrowMid,GrowHi)</f>
        <v>0.02</v>
      </c>
      <c r="E130" s="20" t="n">
        <v>6</v>
      </c>
      <c r="F130" s="24" t="n">
        <f aca="false">INDEX(C_Price,A130)*(1+D130)^(E130-1)</f>
        <v>20.75671910016</v>
      </c>
      <c r="G130" s="24" t="n">
        <f aca="false">F130*Gongsi</f>
        <v>14.3221361791104</v>
      </c>
      <c r="H130" s="24" t="n">
        <f aca="false">G130*FairProp</f>
        <v>8.59328170746624</v>
      </c>
      <c r="I130" s="44" t="n">
        <f aca="false">IF(G130&lt;=SpcLimit,SUMPRODUCT((H130&gt;SLo)*(H130-SLo)*SD),SUMPRODUCT((H130&gt;GLo)*(H130-GLo)*GD))</f>
        <v>0.028073126829865</v>
      </c>
      <c r="J130" s="44" t="n">
        <f aca="false">H130*CityRate</f>
        <v>0.0120305943904527</v>
      </c>
      <c r="K130" s="44" t="n">
        <f aca="false">I130*EduProp</f>
        <v>0.00561462536597299</v>
      </c>
      <c r="L130" s="24" t="n">
        <f aca="false">MAX(0,(G130-JongDeduct)*FairJong)</f>
        <v>1.39328170746624</v>
      </c>
      <c r="M130" s="44" t="n">
        <f aca="false">SUMPRODUCT((L130&gt;JLo)*(L130-JLo)*JD)</f>
        <v>0.0069664085373312</v>
      </c>
      <c r="N130" s="44" t="n">
        <f aca="false">M130*NongJong</f>
        <v>0.00139328170746624</v>
      </c>
      <c r="O130" s="45" t="n">
        <f aca="false">I130+J130+K130+M130+N130</f>
        <v>0.0540780368310881</v>
      </c>
    </row>
    <row r="131" customFormat="false" ht="15" hidden="false" customHeight="false" outlineLevel="0" collapsed="false">
      <c r="A131" s="20" t="n">
        <v>5</v>
      </c>
      <c r="B131" s="43" t="str">
        <f aca="false">INDEX(C_Name,A131)</f>
        <v>신길 래미안에스티움 84㎡</v>
      </c>
      <c r="C131" s="20" t="n">
        <v>1</v>
      </c>
      <c r="D131" s="10" t="n">
        <f aca="false">CHOOSE(C131,GrowLo,GrowMid,GrowHi)</f>
        <v>0.02</v>
      </c>
      <c r="E131" s="20" t="n">
        <v>7</v>
      </c>
      <c r="F131" s="24" t="n">
        <f aca="false">INDEX(C_Price,A131)*(1+D131)^(E131-1)</f>
        <v>21.1718534821632</v>
      </c>
      <c r="G131" s="24" t="n">
        <f aca="false">F131*Gongsi</f>
        <v>14.6085789026926</v>
      </c>
      <c r="H131" s="24" t="n">
        <f aca="false">G131*FairProp</f>
        <v>8.76514734161556</v>
      </c>
      <c r="I131" s="44" t="n">
        <f aca="false">IF(G131&lt;=SpcLimit,SUMPRODUCT((H131&gt;SLo)*(H131-SLo)*SD),SUMPRODUCT((H131&gt;GLo)*(H131-GLo)*GD))</f>
        <v>0.0287605893664623</v>
      </c>
      <c r="J131" s="44" t="n">
        <f aca="false">H131*CityRate</f>
        <v>0.0122712062782618</v>
      </c>
      <c r="K131" s="44" t="n">
        <f aca="false">I131*EduProp</f>
        <v>0.00575211787329245</v>
      </c>
      <c r="L131" s="24" t="n">
        <f aca="false">MAX(0,(G131-JongDeduct)*FairJong)</f>
        <v>1.56514734161556</v>
      </c>
      <c r="M131" s="44" t="n">
        <f aca="false">SUMPRODUCT((L131&gt;JLo)*(L131-JLo)*JD)</f>
        <v>0.00782573670807782</v>
      </c>
      <c r="N131" s="44" t="n">
        <f aca="false">M131*NongJong</f>
        <v>0.00156514734161556</v>
      </c>
      <c r="O131" s="45" t="n">
        <f aca="false">I131+J131+K131+M131+N131</f>
        <v>0.0561747975677099</v>
      </c>
    </row>
    <row r="132" customFormat="false" ht="15" hidden="false" customHeight="false" outlineLevel="0" collapsed="false">
      <c r="A132" s="20" t="n">
        <v>5</v>
      </c>
      <c r="B132" s="43" t="str">
        <f aca="false">INDEX(C_Name,A132)</f>
        <v>신길 래미안에스티움 84㎡</v>
      </c>
      <c r="C132" s="20" t="n">
        <v>1</v>
      </c>
      <c r="D132" s="10" t="n">
        <f aca="false">CHOOSE(C132,GrowLo,GrowMid,GrowHi)</f>
        <v>0.02</v>
      </c>
      <c r="E132" s="20" t="n">
        <v>8</v>
      </c>
      <c r="F132" s="24" t="n">
        <f aca="false">INDEX(C_Price,A132)*(1+D132)^(E132-1)</f>
        <v>21.5952905518065</v>
      </c>
      <c r="G132" s="24" t="n">
        <f aca="false">F132*Gongsi</f>
        <v>14.9007504807465</v>
      </c>
      <c r="H132" s="24" t="n">
        <f aca="false">G132*FairProp</f>
        <v>8.94045028844787</v>
      </c>
      <c r="I132" s="44" t="n">
        <f aca="false">IF(G132&lt;=SpcLimit,SUMPRODUCT((H132&gt;SLo)*(H132-SLo)*SD),SUMPRODUCT((H132&gt;GLo)*(H132-GLo)*GD))</f>
        <v>0.0294618011537915</v>
      </c>
      <c r="J132" s="44" t="n">
        <f aca="false">H132*CityRate</f>
        <v>0.012516630403827</v>
      </c>
      <c r="K132" s="44" t="n">
        <f aca="false">I132*EduProp</f>
        <v>0.0058923602307583</v>
      </c>
      <c r="L132" s="24" t="n">
        <f aca="false">MAX(0,(G132-JongDeduct)*FairJong)</f>
        <v>1.74045028844787</v>
      </c>
      <c r="M132" s="44" t="n">
        <f aca="false">SUMPRODUCT((L132&gt;JLo)*(L132-JLo)*JD)</f>
        <v>0.00870225144223938</v>
      </c>
      <c r="N132" s="44" t="n">
        <f aca="false">M132*NongJong</f>
        <v>0.00174045028844788</v>
      </c>
      <c r="O132" s="45" t="n">
        <f aca="false">I132+J132+K132+M132+N132</f>
        <v>0.0583134935190641</v>
      </c>
    </row>
    <row r="133" customFormat="false" ht="15" hidden="false" customHeight="false" outlineLevel="0" collapsed="false">
      <c r="A133" s="20" t="n">
        <v>5</v>
      </c>
      <c r="B133" s="43" t="str">
        <f aca="false">INDEX(C_Name,A133)</f>
        <v>신길 래미안에스티움 84㎡</v>
      </c>
      <c r="C133" s="20" t="n">
        <v>1</v>
      </c>
      <c r="D133" s="10" t="n">
        <f aca="false">CHOOSE(C133,GrowLo,GrowMid,GrowHi)</f>
        <v>0.02</v>
      </c>
      <c r="E133" s="20" t="n">
        <v>9</v>
      </c>
      <c r="F133" s="24" t="n">
        <f aca="false">INDEX(C_Price,A133)*(1+D133)^(E133-1)</f>
        <v>22.0271963628426</v>
      </c>
      <c r="G133" s="24" t="n">
        <f aca="false">F133*Gongsi</f>
        <v>15.1987654903614</v>
      </c>
      <c r="H133" s="24" t="n">
        <f aca="false">G133*FairProp</f>
        <v>9.11925929421683</v>
      </c>
      <c r="I133" s="44" t="n">
        <f aca="false">IF(G133&lt;=SpcLimit,SUMPRODUCT((H133&gt;SLo)*(H133-SLo)*SD),SUMPRODUCT((H133&gt;GLo)*(H133-GLo)*GD))</f>
        <v>0.0301770371768673</v>
      </c>
      <c r="J133" s="44" t="n">
        <f aca="false">H133*CityRate</f>
        <v>0.0127669630119036</v>
      </c>
      <c r="K133" s="44" t="n">
        <f aca="false">I133*EduProp</f>
        <v>0.00603540743537347</v>
      </c>
      <c r="L133" s="24" t="n">
        <f aca="false">MAX(0,(G133-JongDeduct)*FairJong)</f>
        <v>1.91925929421683</v>
      </c>
      <c r="M133" s="44" t="n">
        <f aca="false">SUMPRODUCT((L133&gt;JLo)*(L133-JLo)*JD)</f>
        <v>0.00959629647108417</v>
      </c>
      <c r="N133" s="44" t="n">
        <f aca="false">M133*NongJong</f>
        <v>0.00191925929421683</v>
      </c>
      <c r="O133" s="45" t="n">
        <f aca="false">I133+J133+K133+M133+N133</f>
        <v>0.0604949633894454</v>
      </c>
    </row>
    <row r="134" customFormat="false" ht="15" hidden="false" customHeight="false" outlineLevel="0" collapsed="false">
      <c r="A134" s="20" t="n">
        <v>5</v>
      </c>
      <c r="B134" s="43" t="str">
        <f aca="false">INDEX(C_Name,A134)</f>
        <v>신길 래미안에스티움 84㎡</v>
      </c>
      <c r="C134" s="20" t="n">
        <v>1</v>
      </c>
      <c r="D134" s="10" t="n">
        <f aca="false">CHOOSE(C134,GrowLo,GrowMid,GrowHi)</f>
        <v>0.02</v>
      </c>
      <c r="E134" s="20" t="n">
        <v>10</v>
      </c>
      <c r="F134" s="24" t="n">
        <f aca="false">INDEX(C_Price,A134)*(1+D134)^(E134-1)</f>
        <v>22.4677402900995</v>
      </c>
      <c r="G134" s="24" t="n">
        <f aca="false">F134*Gongsi</f>
        <v>15.5027408001686</v>
      </c>
      <c r="H134" s="24" t="n">
        <f aca="false">G134*FairProp</f>
        <v>9.30164448010117</v>
      </c>
      <c r="I134" s="44" t="n">
        <f aca="false">IF(G134&lt;=SpcLimit,SUMPRODUCT((H134&gt;SLo)*(H134-SLo)*SD),SUMPRODUCT((H134&gt;GLo)*(H134-GLo)*GD))</f>
        <v>0.0309065779204047</v>
      </c>
      <c r="J134" s="44" t="n">
        <f aca="false">H134*CityRate</f>
        <v>0.0130223022721416</v>
      </c>
      <c r="K134" s="44" t="n">
        <f aca="false">I134*EduProp</f>
        <v>0.00618131558408094</v>
      </c>
      <c r="L134" s="24" t="n">
        <f aca="false">MAX(0,(G134-JongDeduct)*FairJong)</f>
        <v>2.10164448010117</v>
      </c>
      <c r="M134" s="44" t="n">
        <f aca="false">SUMPRODUCT((L134&gt;JLo)*(L134-JLo)*JD)</f>
        <v>0.0105082224005059</v>
      </c>
      <c r="N134" s="44" t="n">
        <f aca="false">M134*NongJong</f>
        <v>0.00210164448010117</v>
      </c>
      <c r="O134" s="45" t="n">
        <f aca="false">I134+J134+K134+M134+N134</f>
        <v>0.0627200626572343</v>
      </c>
    </row>
    <row r="135" customFormat="false" ht="15" hidden="false" customHeight="false" outlineLevel="0" collapsed="false">
      <c r="A135" s="20" t="n">
        <v>5</v>
      </c>
      <c r="B135" s="43" t="str">
        <f aca="false">INDEX(C_Name,A135)</f>
        <v>신길 래미안에스티움 84㎡</v>
      </c>
      <c r="C135" s="20" t="n">
        <v>2</v>
      </c>
      <c r="D135" s="10" t="n">
        <f aca="false">CHOOSE(C135,GrowLo,GrowMid,GrowHi)</f>
        <v>0.04</v>
      </c>
      <c r="E135" s="20" t="n">
        <v>1</v>
      </c>
      <c r="F135" s="24" t="n">
        <f aca="false">INDEX(C_Price,A135)*(1+D135)^(E135-1)</f>
        <v>18.8</v>
      </c>
      <c r="G135" s="24" t="n">
        <f aca="false">F135*Gongsi</f>
        <v>12.972</v>
      </c>
      <c r="H135" s="24" t="n">
        <f aca="false">G135*FairProp</f>
        <v>7.7832</v>
      </c>
      <c r="I135" s="44" t="n">
        <f aca="false">IF(G135&lt;=SpcLimit,SUMPRODUCT((H135&gt;SLo)*(H135-SLo)*SD),SUMPRODUCT((H135&gt;GLo)*(H135-GLo)*GD))</f>
        <v>0.0248328</v>
      </c>
      <c r="J135" s="44" t="n">
        <f aca="false">H135*CityRate</f>
        <v>0.01089648</v>
      </c>
      <c r="K135" s="44" t="n">
        <f aca="false">I135*EduProp</f>
        <v>0.00496656</v>
      </c>
      <c r="L135" s="24" t="n">
        <f aca="false">MAX(0,(G135-JongDeduct)*FairJong)</f>
        <v>0.5832</v>
      </c>
      <c r="M135" s="44" t="n">
        <f aca="false">SUMPRODUCT((L135&gt;JLo)*(L135-JLo)*JD)</f>
        <v>0.002916</v>
      </c>
      <c r="N135" s="44" t="n">
        <f aca="false">M135*NongJong</f>
        <v>0.0005832</v>
      </c>
      <c r="O135" s="45" t="n">
        <f aca="false">I135+J135+K135+M135+N135</f>
        <v>0.04419504</v>
      </c>
    </row>
    <row r="136" customFormat="false" ht="15" hidden="false" customHeight="false" outlineLevel="0" collapsed="false">
      <c r="A136" s="20" t="n">
        <v>5</v>
      </c>
      <c r="B136" s="43" t="str">
        <f aca="false">INDEX(C_Name,A136)</f>
        <v>신길 래미안에스티움 84㎡</v>
      </c>
      <c r="C136" s="20" t="n">
        <v>2</v>
      </c>
      <c r="D136" s="10" t="n">
        <f aca="false">CHOOSE(C136,GrowLo,GrowMid,GrowHi)</f>
        <v>0.04</v>
      </c>
      <c r="E136" s="20" t="n">
        <v>2</v>
      </c>
      <c r="F136" s="24" t="n">
        <f aca="false">INDEX(C_Price,A136)*(1+D136)^(E136-1)</f>
        <v>19.552</v>
      </c>
      <c r="G136" s="24" t="n">
        <f aca="false">F136*Gongsi</f>
        <v>13.49088</v>
      </c>
      <c r="H136" s="24" t="n">
        <f aca="false">G136*FairProp</f>
        <v>8.094528</v>
      </c>
      <c r="I136" s="44" t="n">
        <f aca="false">IF(G136&lt;=SpcLimit,SUMPRODUCT((H136&gt;SLo)*(H136-SLo)*SD),SUMPRODUCT((H136&gt;GLo)*(H136-GLo)*GD))</f>
        <v>0.026078112</v>
      </c>
      <c r="J136" s="44" t="n">
        <f aca="false">H136*CityRate</f>
        <v>0.0113323392</v>
      </c>
      <c r="K136" s="44" t="n">
        <f aca="false">I136*EduProp</f>
        <v>0.0052156224</v>
      </c>
      <c r="L136" s="24" t="n">
        <f aca="false">MAX(0,(G136-JongDeduct)*FairJong)</f>
        <v>0.894528</v>
      </c>
      <c r="M136" s="44" t="n">
        <f aca="false">SUMPRODUCT((L136&gt;JLo)*(L136-JLo)*JD)</f>
        <v>0.00447264</v>
      </c>
      <c r="N136" s="44" t="n">
        <f aca="false">M136*NongJong</f>
        <v>0.000894528</v>
      </c>
      <c r="O136" s="45" t="n">
        <f aca="false">I136+J136+K136+M136+N136</f>
        <v>0.0479932416</v>
      </c>
    </row>
    <row r="137" customFormat="false" ht="15" hidden="false" customHeight="false" outlineLevel="0" collapsed="false">
      <c r="A137" s="20" t="n">
        <v>5</v>
      </c>
      <c r="B137" s="43" t="str">
        <f aca="false">INDEX(C_Name,A137)</f>
        <v>신길 래미안에스티움 84㎡</v>
      </c>
      <c r="C137" s="20" t="n">
        <v>2</v>
      </c>
      <c r="D137" s="10" t="n">
        <f aca="false">CHOOSE(C137,GrowLo,GrowMid,GrowHi)</f>
        <v>0.04</v>
      </c>
      <c r="E137" s="20" t="n">
        <v>3</v>
      </c>
      <c r="F137" s="24" t="n">
        <f aca="false">INDEX(C_Price,A137)*(1+D137)^(E137-1)</f>
        <v>20.33408</v>
      </c>
      <c r="G137" s="24" t="n">
        <f aca="false">F137*Gongsi</f>
        <v>14.0305152</v>
      </c>
      <c r="H137" s="24" t="n">
        <f aca="false">G137*FairProp</f>
        <v>8.41830912</v>
      </c>
      <c r="I137" s="44" t="n">
        <f aca="false">IF(G137&lt;=SpcLimit,SUMPRODUCT((H137&gt;SLo)*(H137-SLo)*SD),SUMPRODUCT((H137&gt;GLo)*(H137-GLo)*GD))</f>
        <v>0.02737323648</v>
      </c>
      <c r="J137" s="44" t="n">
        <f aca="false">H137*CityRate</f>
        <v>0.011785632768</v>
      </c>
      <c r="K137" s="44" t="n">
        <f aca="false">I137*EduProp</f>
        <v>0.005474647296</v>
      </c>
      <c r="L137" s="24" t="n">
        <f aca="false">MAX(0,(G137-JongDeduct)*FairJong)</f>
        <v>1.21830912</v>
      </c>
      <c r="M137" s="44" t="n">
        <f aca="false">SUMPRODUCT((L137&gt;JLo)*(L137-JLo)*JD)</f>
        <v>0.00609154560000001</v>
      </c>
      <c r="N137" s="44" t="n">
        <f aca="false">M137*NongJong</f>
        <v>0.00121830912</v>
      </c>
      <c r="O137" s="45" t="n">
        <f aca="false">I137+J137+K137+M137+N137</f>
        <v>0.051943371264</v>
      </c>
    </row>
    <row r="138" customFormat="false" ht="15" hidden="false" customHeight="false" outlineLevel="0" collapsed="false">
      <c r="A138" s="20" t="n">
        <v>5</v>
      </c>
      <c r="B138" s="43" t="str">
        <f aca="false">INDEX(C_Name,A138)</f>
        <v>신길 래미안에스티움 84㎡</v>
      </c>
      <c r="C138" s="20" t="n">
        <v>2</v>
      </c>
      <c r="D138" s="10" t="n">
        <f aca="false">CHOOSE(C138,GrowLo,GrowMid,GrowHi)</f>
        <v>0.04</v>
      </c>
      <c r="E138" s="20" t="n">
        <v>4</v>
      </c>
      <c r="F138" s="24" t="n">
        <f aca="false">INDEX(C_Price,A138)*(1+D138)^(E138-1)</f>
        <v>21.1474432</v>
      </c>
      <c r="G138" s="24" t="n">
        <f aca="false">F138*Gongsi</f>
        <v>14.591735808</v>
      </c>
      <c r="H138" s="24" t="n">
        <f aca="false">G138*FairProp</f>
        <v>8.7550414848</v>
      </c>
      <c r="I138" s="44" t="n">
        <f aca="false">IF(G138&lt;=SpcLimit,SUMPRODUCT((H138&gt;SLo)*(H138-SLo)*SD),SUMPRODUCT((H138&gt;GLo)*(H138-GLo)*GD))</f>
        <v>0.0287201659392</v>
      </c>
      <c r="J138" s="44" t="n">
        <f aca="false">H138*CityRate</f>
        <v>0.01225705807872</v>
      </c>
      <c r="K138" s="44" t="n">
        <f aca="false">I138*EduProp</f>
        <v>0.00574403318784</v>
      </c>
      <c r="L138" s="24" t="n">
        <f aca="false">MAX(0,(G138-JongDeduct)*FairJong)</f>
        <v>1.5550414848</v>
      </c>
      <c r="M138" s="44" t="n">
        <f aca="false">SUMPRODUCT((L138&gt;JLo)*(L138-JLo)*JD)</f>
        <v>0.007775207424</v>
      </c>
      <c r="N138" s="44" t="n">
        <f aca="false">M138*NongJong</f>
        <v>0.0015550414848</v>
      </c>
      <c r="O138" s="45" t="n">
        <f aca="false">I138+J138+K138+M138+N138</f>
        <v>0.05605150611456</v>
      </c>
    </row>
    <row r="139" customFormat="false" ht="15" hidden="false" customHeight="false" outlineLevel="0" collapsed="false">
      <c r="A139" s="20" t="n">
        <v>5</v>
      </c>
      <c r="B139" s="43" t="str">
        <f aca="false">INDEX(C_Name,A139)</f>
        <v>신길 래미안에스티움 84㎡</v>
      </c>
      <c r="C139" s="20" t="n">
        <v>2</v>
      </c>
      <c r="D139" s="10" t="n">
        <f aca="false">CHOOSE(C139,GrowLo,GrowMid,GrowHi)</f>
        <v>0.04</v>
      </c>
      <c r="E139" s="20" t="n">
        <v>5</v>
      </c>
      <c r="F139" s="24" t="n">
        <f aca="false">INDEX(C_Price,A139)*(1+D139)^(E139-1)</f>
        <v>21.993340928</v>
      </c>
      <c r="G139" s="24" t="n">
        <f aca="false">F139*Gongsi</f>
        <v>15.17540524032</v>
      </c>
      <c r="H139" s="24" t="n">
        <f aca="false">G139*FairProp</f>
        <v>9.105243144192</v>
      </c>
      <c r="I139" s="44" t="n">
        <f aca="false">IF(G139&lt;=SpcLimit,SUMPRODUCT((H139&gt;SLo)*(H139-SLo)*SD),SUMPRODUCT((H139&gt;GLo)*(H139-GLo)*GD))</f>
        <v>0.030120972576768</v>
      </c>
      <c r="J139" s="44" t="n">
        <f aca="false">H139*CityRate</f>
        <v>0.0127473404018688</v>
      </c>
      <c r="K139" s="44" t="n">
        <f aca="false">I139*EduProp</f>
        <v>0.0060241945153536</v>
      </c>
      <c r="L139" s="24" t="n">
        <f aca="false">MAX(0,(G139-JongDeduct)*FairJong)</f>
        <v>1.905243144192</v>
      </c>
      <c r="M139" s="44" t="n">
        <f aca="false">SUMPRODUCT((L139&gt;JLo)*(L139-JLo)*JD)</f>
        <v>0.00952621572096001</v>
      </c>
      <c r="N139" s="44" t="n">
        <f aca="false">M139*NongJong</f>
        <v>0.001905243144192</v>
      </c>
      <c r="O139" s="45" t="n">
        <f aca="false">I139+J139+K139+M139+N139</f>
        <v>0.0603239663591424</v>
      </c>
    </row>
    <row r="140" customFormat="false" ht="15" hidden="false" customHeight="false" outlineLevel="0" collapsed="false">
      <c r="A140" s="20" t="n">
        <v>5</v>
      </c>
      <c r="B140" s="43" t="str">
        <f aca="false">INDEX(C_Name,A140)</f>
        <v>신길 래미안에스티움 84㎡</v>
      </c>
      <c r="C140" s="20" t="n">
        <v>2</v>
      </c>
      <c r="D140" s="10" t="n">
        <f aca="false">CHOOSE(C140,GrowLo,GrowMid,GrowHi)</f>
        <v>0.04</v>
      </c>
      <c r="E140" s="20" t="n">
        <v>6</v>
      </c>
      <c r="F140" s="24" t="n">
        <f aca="false">INDEX(C_Price,A140)*(1+D140)^(E140-1)</f>
        <v>22.87307456512</v>
      </c>
      <c r="G140" s="24" t="n">
        <f aca="false">F140*Gongsi</f>
        <v>15.7824214499328</v>
      </c>
      <c r="H140" s="24" t="n">
        <f aca="false">G140*FairProp</f>
        <v>9.46945286995968</v>
      </c>
      <c r="I140" s="44" t="n">
        <f aca="false">IF(G140&lt;=SpcLimit,SUMPRODUCT((H140&gt;SLo)*(H140-SLo)*SD),SUMPRODUCT((H140&gt;GLo)*(H140-GLo)*GD))</f>
        <v>0.0315778114798387</v>
      </c>
      <c r="J140" s="44" t="n">
        <f aca="false">H140*CityRate</f>
        <v>0.0132572340179436</v>
      </c>
      <c r="K140" s="44" t="n">
        <f aca="false">I140*EduProp</f>
        <v>0.00631556229596774</v>
      </c>
      <c r="L140" s="24" t="n">
        <f aca="false">MAX(0,(G140-JongDeduct)*FairJong)</f>
        <v>2.26945286995968</v>
      </c>
      <c r="M140" s="44" t="n">
        <f aca="false">SUMPRODUCT((L140&gt;JLo)*(L140-JLo)*JD)</f>
        <v>0.0113472643497984</v>
      </c>
      <c r="N140" s="44" t="n">
        <f aca="false">M140*NongJong</f>
        <v>0.00226945286995968</v>
      </c>
      <c r="O140" s="45" t="n">
        <f aca="false">I140+J140+K140+M140+N140</f>
        <v>0.0647673250135081</v>
      </c>
    </row>
    <row r="141" customFormat="false" ht="15" hidden="false" customHeight="false" outlineLevel="0" collapsed="false">
      <c r="A141" s="20" t="n">
        <v>5</v>
      </c>
      <c r="B141" s="43" t="str">
        <f aca="false">INDEX(C_Name,A141)</f>
        <v>신길 래미안에스티움 84㎡</v>
      </c>
      <c r="C141" s="20" t="n">
        <v>2</v>
      </c>
      <c r="D141" s="10" t="n">
        <f aca="false">CHOOSE(C141,GrowLo,GrowMid,GrowHi)</f>
        <v>0.04</v>
      </c>
      <c r="E141" s="20" t="n">
        <v>7</v>
      </c>
      <c r="F141" s="24" t="n">
        <f aca="false">INDEX(C_Price,A141)*(1+D141)^(E141-1)</f>
        <v>23.7879975477248</v>
      </c>
      <c r="G141" s="24" t="n">
        <f aca="false">F141*Gongsi</f>
        <v>16.4137183079301</v>
      </c>
      <c r="H141" s="24" t="n">
        <f aca="false">G141*FairProp</f>
        <v>9.84823098475807</v>
      </c>
      <c r="I141" s="44" t="n">
        <f aca="false">IF(G141&lt;=SpcLimit,SUMPRODUCT((H141&gt;SLo)*(H141-SLo)*SD),SUMPRODUCT((H141&gt;GLo)*(H141-GLo)*GD))</f>
        <v>0.0330929239390323</v>
      </c>
      <c r="J141" s="44" t="n">
        <f aca="false">H141*CityRate</f>
        <v>0.0137875233786613</v>
      </c>
      <c r="K141" s="44" t="n">
        <f aca="false">I141*EduProp</f>
        <v>0.00661858478780646</v>
      </c>
      <c r="L141" s="24" t="n">
        <f aca="false">MAX(0,(G141-JongDeduct)*FairJong)</f>
        <v>2.64823098475807</v>
      </c>
      <c r="M141" s="44" t="n">
        <f aca="false">SUMPRODUCT((L141&gt;JLo)*(L141-JLo)*JD)</f>
        <v>0.0132411549237903</v>
      </c>
      <c r="N141" s="44" t="n">
        <f aca="false">M141*NongJong</f>
        <v>0.00264823098475807</v>
      </c>
      <c r="O141" s="45" t="n">
        <f aca="false">I141+J141+K141+M141+N141</f>
        <v>0.0693884180140484</v>
      </c>
    </row>
    <row r="142" customFormat="false" ht="15" hidden="false" customHeight="false" outlineLevel="0" collapsed="false">
      <c r="A142" s="20" t="n">
        <v>5</v>
      </c>
      <c r="B142" s="43" t="str">
        <f aca="false">INDEX(C_Name,A142)</f>
        <v>신길 래미안에스티움 84㎡</v>
      </c>
      <c r="C142" s="20" t="n">
        <v>2</v>
      </c>
      <c r="D142" s="10" t="n">
        <f aca="false">CHOOSE(C142,GrowLo,GrowMid,GrowHi)</f>
        <v>0.04</v>
      </c>
      <c r="E142" s="20" t="n">
        <v>8</v>
      </c>
      <c r="F142" s="24" t="n">
        <f aca="false">INDEX(C_Price,A142)*(1+D142)^(E142-1)</f>
        <v>24.7395174496338</v>
      </c>
      <c r="G142" s="24" t="n">
        <f aca="false">F142*Gongsi</f>
        <v>17.0702670402473</v>
      </c>
      <c r="H142" s="24" t="n">
        <f aca="false">G142*FairProp</f>
        <v>10.2421602241484</v>
      </c>
      <c r="I142" s="44" t="n">
        <f aca="false">IF(G142&lt;=SpcLimit,SUMPRODUCT((H142&gt;SLo)*(H142-SLo)*SD),SUMPRODUCT((H142&gt;GLo)*(H142-GLo)*GD))</f>
        <v>0.0346686408965936</v>
      </c>
      <c r="J142" s="44" t="n">
        <f aca="false">H142*CityRate</f>
        <v>0.0143390243138077</v>
      </c>
      <c r="K142" s="44" t="n">
        <f aca="false">I142*EduProp</f>
        <v>0.00693372817931871</v>
      </c>
      <c r="L142" s="24" t="n">
        <f aca="false">MAX(0,(G142-JongDeduct)*FairJong)</f>
        <v>3.04216022414839</v>
      </c>
      <c r="M142" s="44" t="n">
        <f aca="false">SUMPRODUCT((L142&gt;JLo)*(L142-JLo)*JD)</f>
        <v>0.0152951215690387</v>
      </c>
      <c r="N142" s="44" t="n">
        <f aca="false">M142*NongJong</f>
        <v>0.00305902431380775</v>
      </c>
      <c r="O142" s="45" t="n">
        <f aca="false">I142+J142+K142+M142+N142</f>
        <v>0.0742955392725665</v>
      </c>
    </row>
    <row r="143" customFormat="false" ht="15" hidden="false" customHeight="false" outlineLevel="0" collapsed="false">
      <c r="A143" s="20" t="n">
        <v>5</v>
      </c>
      <c r="B143" s="43" t="str">
        <f aca="false">INDEX(C_Name,A143)</f>
        <v>신길 래미안에스티움 84㎡</v>
      </c>
      <c r="C143" s="20" t="n">
        <v>2</v>
      </c>
      <c r="D143" s="10" t="n">
        <f aca="false">CHOOSE(C143,GrowLo,GrowMid,GrowHi)</f>
        <v>0.04</v>
      </c>
      <c r="E143" s="20" t="n">
        <v>9</v>
      </c>
      <c r="F143" s="24" t="n">
        <f aca="false">INDEX(C_Price,A143)*(1+D143)^(E143-1)</f>
        <v>25.7290981476192</v>
      </c>
      <c r="G143" s="24" t="n">
        <f aca="false">F143*Gongsi</f>
        <v>17.7530777218572</v>
      </c>
      <c r="H143" s="24" t="n">
        <f aca="false">G143*FairProp</f>
        <v>10.6518466331143</v>
      </c>
      <c r="I143" s="44" t="n">
        <f aca="false">IF(G143&lt;=SpcLimit,SUMPRODUCT((H143&gt;SLo)*(H143-SLo)*SD),SUMPRODUCT((H143&gt;GLo)*(H143-GLo)*GD))</f>
        <v>0.0363073865324573</v>
      </c>
      <c r="J143" s="44" t="n">
        <f aca="false">H143*CityRate</f>
        <v>0.0149125852863601</v>
      </c>
      <c r="K143" s="44" t="n">
        <f aca="false">I143*EduProp</f>
        <v>0.00726147730649146</v>
      </c>
      <c r="L143" s="24" t="n">
        <f aca="false">MAX(0,(G143-JongDeduct)*FairJong)</f>
        <v>3.45184663311433</v>
      </c>
      <c r="M143" s="44" t="n">
        <f aca="false">SUMPRODUCT((L143&gt;JLo)*(L143-JLo)*JD)</f>
        <v>0.0181629264318003</v>
      </c>
      <c r="N143" s="44" t="n">
        <f aca="false">M143*NongJong</f>
        <v>0.00363258528636006</v>
      </c>
      <c r="O143" s="45" t="n">
        <f aca="false">I143+J143+K143+M143+N143</f>
        <v>0.0802769608434692</v>
      </c>
    </row>
    <row r="144" customFormat="false" ht="15" hidden="false" customHeight="false" outlineLevel="0" collapsed="false">
      <c r="A144" s="20" t="n">
        <v>5</v>
      </c>
      <c r="B144" s="43" t="str">
        <f aca="false">INDEX(C_Name,A144)</f>
        <v>신길 래미안에스티움 84㎡</v>
      </c>
      <c r="C144" s="20" t="n">
        <v>2</v>
      </c>
      <c r="D144" s="10" t="n">
        <f aca="false">CHOOSE(C144,GrowLo,GrowMid,GrowHi)</f>
        <v>0.04</v>
      </c>
      <c r="E144" s="20" t="n">
        <v>10</v>
      </c>
      <c r="F144" s="24" t="n">
        <f aca="false">INDEX(C_Price,A144)*(1+D144)^(E144-1)</f>
        <v>26.7582620735239</v>
      </c>
      <c r="G144" s="24" t="n">
        <f aca="false">F144*Gongsi</f>
        <v>18.4632008307315</v>
      </c>
      <c r="H144" s="24" t="n">
        <f aca="false">G144*FairProp</f>
        <v>11.0779204984389</v>
      </c>
      <c r="I144" s="44" t="n">
        <f aca="false">IF(G144&lt;=SpcLimit,SUMPRODUCT((H144&gt;SLo)*(H144-SLo)*SD),SUMPRODUCT((H144&gt;GLo)*(H144-GLo)*GD))</f>
        <v>0.0380116819937556</v>
      </c>
      <c r="J144" s="44" t="n">
        <f aca="false">H144*CityRate</f>
        <v>0.0155090886978145</v>
      </c>
      <c r="K144" s="44" t="n">
        <f aca="false">I144*EduProp</f>
        <v>0.00760233639875112</v>
      </c>
      <c r="L144" s="24" t="n">
        <f aca="false">MAX(0,(G144-JongDeduct)*FairJong)</f>
        <v>3.8779204984389</v>
      </c>
      <c r="M144" s="44" t="n">
        <f aca="false">SUMPRODUCT((L144&gt;JLo)*(L144-JLo)*JD)</f>
        <v>0.0211454434890723</v>
      </c>
      <c r="N144" s="44" t="n">
        <f aca="false">M144*NongJong</f>
        <v>0.00422908869781446</v>
      </c>
      <c r="O144" s="45" t="n">
        <f aca="false">I144+J144+K144+M144+N144</f>
        <v>0.086497639277208</v>
      </c>
    </row>
    <row r="145" customFormat="false" ht="15" hidden="false" customHeight="false" outlineLevel="0" collapsed="false">
      <c r="A145" s="20" t="n">
        <v>5</v>
      </c>
      <c r="B145" s="43" t="str">
        <f aca="false">INDEX(C_Name,A145)</f>
        <v>신길 래미안에스티움 84㎡</v>
      </c>
      <c r="C145" s="20" t="n">
        <v>3</v>
      </c>
      <c r="D145" s="10" t="n">
        <f aca="false">CHOOSE(C145,GrowLo,GrowMid,GrowHi)</f>
        <v>0.06</v>
      </c>
      <c r="E145" s="20" t="n">
        <v>1</v>
      </c>
      <c r="F145" s="24" t="n">
        <f aca="false">INDEX(C_Price,A145)*(1+D145)^(E145-1)</f>
        <v>18.8</v>
      </c>
      <c r="G145" s="24" t="n">
        <f aca="false">F145*Gongsi</f>
        <v>12.972</v>
      </c>
      <c r="H145" s="24" t="n">
        <f aca="false">G145*FairProp</f>
        <v>7.7832</v>
      </c>
      <c r="I145" s="44" t="n">
        <f aca="false">IF(G145&lt;=SpcLimit,SUMPRODUCT((H145&gt;SLo)*(H145-SLo)*SD),SUMPRODUCT((H145&gt;GLo)*(H145-GLo)*GD))</f>
        <v>0.0248328</v>
      </c>
      <c r="J145" s="44" t="n">
        <f aca="false">H145*CityRate</f>
        <v>0.01089648</v>
      </c>
      <c r="K145" s="44" t="n">
        <f aca="false">I145*EduProp</f>
        <v>0.00496656</v>
      </c>
      <c r="L145" s="24" t="n">
        <f aca="false">MAX(0,(G145-JongDeduct)*FairJong)</f>
        <v>0.5832</v>
      </c>
      <c r="M145" s="44" t="n">
        <f aca="false">SUMPRODUCT((L145&gt;JLo)*(L145-JLo)*JD)</f>
        <v>0.002916</v>
      </c>
      <c r="N145" s="44" t="n">
        <f aca="false">M145*NongJong</f>
        <v>0.0005832</v>
      </c>
      <c r="O145" s="45" t="n">
        <f aca="false">I145+J145+K145+M145+N145</f>
        <v>0.04419504</v>
      </c>
    </row>
    <row r="146" customFormat="false" ht="15" hidden="false" customHeight="false" outlineLevel="0" collapsed="false">
      <c r="A146" s="20" t="n">
        <v>5</v>
      </c>
      <c r="B146" s="43" t="str">
        <f aca="false">INDEX(C_Name,A146)</f>
        <v>신길 래미안에스티움 84㎡</v>
      </c>
      <c r="C146" s="20" t="n">
        <v>3</v>
      </c>
      <c r="D146" s="10" t="n">
        <f aca="false">CHOOSE(C146,GrowLo,GrowMid,GrowHi)</f>
        <v>0.06</v>
      </c>
      <c r="E146" s="20" t="n">
        <v>2</v>
      </c>
      <c r="F146" s="24" t="n">
        <f aca="false">INDEX(C_Price,A146)*(1+D146)^(E146-1)</f>
        <v>19.928</v>
      </c>
      <c r="G146" s="24" t="n">
        <f aca="false">F146*Gongsi</f>
        <v>13.75032</v>
      </c>
      <c r="H146" s="24" t="n">
        <f aca="false">G146*FairProp</f>
        <v>8.250192</v>
      </c>
      <c r="I146" s="44" t="n">
        <f aca="false">IF(G146&lt;=SpcLimit,SUMPRODUCT((H146&gt;SLo)*(H146-SLo)*SD),SUMPRODUCT((H146&gt;GLo)*(H146-GLo)*GD))</f>
        <v>0.026700768</v>
      </c>
      <c r="J146" s="44" t="n">
        <f aca="false">H146*CityRate</f>
        <v>0.0115502688</v>
      </c>
      <c r="K146" s="44" t="n">
        <f aca="false">I146*EduProp</f>
        <v>0.0053401536</v>
      </c>
      <c r="L146" s="24" t="n">
        <f aca="false">MAX(0,(G146-JongDeduct)*FairJong)</f>
        <v>1.050192</v>
      </c>
      <c r="M146" s="44" t="n">
        <f aca="false">SUMPRODUCT((L146&gt;JLo)*(L146-JLo)*JD)</f>
        <v>0.00525096</v>
      </c>
      <c r="N146" s="44" t="n">
        <f aca="false">M146*NongJong</f>
        <v>0.001050192</v>
      </c>
      <c r="O146" s="45" t="n">
        <f aca="false">I146+J146+K146+M146+N146</f>
        <v>0.0498923424</v>
      </c>
    </row>
    <row r="147" customFormat="false" ht="15" hidden="false" customHeight="false" outlineLevel="0" collapsed="false">
      <c r="A147" s="20" t="n">
        <v>5</v>
      </c>
      <c r="B147" s="43" t="str">
        <f aca="false">INDEX(C_Name,A147)</f>
        <v>신길 래미안에스티움 84㎡</v>
      </c>
      <c r="C147" s="20" t="n">
        <v>3</v>
      </c>
      <c r="D147" s="10" t="n">
        <f aca="false">CHOOSE(C147,GrowLo,GrowMid,GrowHi)</f>
        <v>0.06</v>
      </c>
      <c r="E147" s="20" t="n">
        <v>3</v>
      </c>
      <c r="F147" s="24" t="n">
        <f aca="false">INDEX(C_Price,A147)*(1+D147)^(E147-1)</f>
        <v>21.12368</v>
      </c>
      <c r="G147" s="24" t="n">
        <f aca="false">F147*Gongsi</f>
        <v>14.5753392</v>
      </c>
      <c r="H147" s="24" t="n">
        <f aca="false">G147*FairProp</f>
        <v>8.74520352</v>
      </c>
      <c r="I147" s="44" t="n">
        <f aca="false">IF(G147&lt;=SpcLimit,SUMPRODUCT((H147&gt;SLo)*(H147-SLo)*SD),SUMPRODUCT((H147&gt;GLo)*(H147-GLo)*GD))</f>
        <v>0.02868081408</v>
      </c>
      <c r="J147" s="44" t="n">
        <f aca="false">H147*CityRate</f>
        <v>0.012243284928</v>
      </c>
      <c r="K147" s="44" t="n">
        <f aca="false">I147*EduProp</f>
        <v>0.005736162816</v>
      </c>
      <c r="L147" s="24" t="n">
        <f aca="false">MAX(0,(G147-JongDeduct)*FairJong)</f>
        <v>1.54520352</v>
      </c>
      <c r="M147" s="44" t="n">
        <f aca="false">SUMPRODUCT((L147&gt;JLo)*(L147-JLo)*JD)</f>
        <v>0.00772601760000001</v>
      </c>
      <c r="N147" s="44" t="n">
        <f aca="false">M147*NongJong</f>
        <v>0.00154520352</v>
      </c>
      <c r="O147" s="45" t="n">
        <f aca="false">I147+J147+K147+M147+N147</f>
        <v>0.055931482944</v>
      </c>
    </row>
    <row r="148" customFormat="false" ht="15" hidden="false" customHeight="false" outlineLevel="0" collapsed="false">
      <c r="A148" s="20" t="n">
        <v>5</v>
      </c>
      <c r="B148" s="43" t="str">
        <f aca="false">INDEX(C_Name,A148)</f>
        <v>신길 래미안에스티움 84㎡</v>
      </c>
      <c r="C148" s="20" t="n">
        <v>3</v>
      </c>
      <c r="D148" s="10" t="n">
        <f aca="false">CHOOSE(C148,GrowLo,GrowMid,GrowHi)</f>
        <v>0.06</v>
      </c>
      <c r="E148" s="20" t="n">
        <v>4</v>
      </c>
      <c r="F148" s="24" t="n">
        <f aca="false">INDEX(C_Price,A148)*(1+D148)^(E148-1)</f>
        <v>22.3911008</v>
      </c>
      <c r="G148" s="24" t="n">
        <f aca="false">F148*Gongsi</f>
        <v>15.449859552</v>
      </c>
      <c r="H148" s="24" t="n">
        <f aca="false">G148*FairProp</f>
        <v>9.2699157312</v>
      </c>
      <c r="I148" s="44" t="n">
        <f aca="false">IF(G148&lt;=SpcLimit,SUMPRODUCT((H148&gt;SLo)*(H148-SLo)*SD),SUMPRODUCT((H148&gt;GLo)*(H148-GLo)*GD))</f>
        <v>0.0307796629248</v>
      </c>
      <c r="J148" s="44" t="n">
        <f aca="false">H148*CityRate</f>
        <v>0.01297788202368</v>
      </c>
      <c r="K148" s="44" t="n">
        <f aca="false">I148*EduProp</f>
        <v>0.00615593258496</v>
      </c>
      <c r="L148" s="24" t="n">
        <f aca="false">MAX(0,(G148-JongDeduct)*FairJong)</f>
        <v>2.0699157312</v>
      </c>
      <c r="M148" s="44" t="n">
        <f aca="false">SUMPRODUCT((L148&gt;JLo)*(L148-JLo)*JD)</f>
        <v>0.010349578656</v>
      </c>
      <c r="N148" s="44" t="n">
        <f aca="false">M148*NongJong</f>
        <v>0.0020699157312</v>
      </c>
      <c r="O148" s="45" t="n">
        <f aca="false">I148+J148+K148+M148+N148</f>
        <v>0.06233297192064</v>
      </c>
    </row>
    <row r="149" customFormat="false" ht="15" hidden="false" customHeight="false" outlineLevel="0" collapsed="false">
      <c r="A149" s="20" t="n">
        <v>5</v>
      </c>
      <c r="B149" s="43" t="str">
        <f aca="false">INDEX(C_Name,A149)</f>
        <v>신길 래미안에스티움 84㎡</v>
      </c>
      <c r="C149" s="20" t="n">
        <v>3</v>
      </c>
      <c r="D149" s="10" t="n">
        <f aca="false">CHOOSE(C149,GrowLo,GrowMid,GrowHi)</f>
        <v>0.06</v>
      </c>
      <c r="E149" s="20" t="n">
        <v>5</v>
      </c>
      <c r="F149" s="24" t="n">
        <f aca="false">INDEX(C_Price,A149)*(1+D149)^(E149-1)</f>
        <v>23.734566848</v>
      </c>
      <c r="G149" s="24" t="n">
        <f aca="false">F149*Gongsi</f>
        <v>16.37685112512</v>
      </c>
      <c r="H149" s="24" t="n">
        <f aca="false">G149*FairProp</f>
        <v>9.826110675072</v>
      </c>
      <c r="I149" s="44" t="n">
        <f aca="false">IF(G149&lt;=SpcLimit,SUMPRODUCT((H149&gt;SLo)*(H149-SLo)*SD),SUMPRODUCT((H149&gt;GLo)*(H149-GLo)*GD))</f>
        <v>0.033004442700288</v>
      </c>
      <c r="J149" s="44" t="n">
        <f aca="false">H149*CityRate</f>
        <v>0.0137565549451008</v>
      </c>
      <c r="K149" s="44" t="n">
        <f aca="false">I149*EduProp</f>
        <v>0.0066008885400576</v>
      </c>
      <c r="L149" s="24" t="n">
        <f aca="false">MAX(0,(G149-JongDeduct)*FairJong)</f>
        <v>2.626110675072</v>
      </c>
      <c r="M149" s="44" t="n">
        <f aca="false">SUMPRODUCT((L149&gt;JLo)*(L149-JLo)*JD)</f>
        <v>0.01313055337536</v>
      </c>
      <c r="N149" s="44" t="n">
        <f aca="false">M149*NongJong</f>
        <v>0.002626110675072</v>
      </c>
      <c r="O149" s="45" t="n">
        <f aca="false">I149+J149+K149+M149+N149</f>
        <v>0.0691185502358784</v>
      </c>
    </row>
    <row r="150" customFormat="false" ht="15" hidden="false" customHeight="false" outlineLevel="0" collapsed="false">
      <c r="A150" s="20" t="n">
        <v>5</v>
      </c>
      <c r="B150" s="43" t="str">
        <f aca="false">INDEX(C_Name,A150)</f>
        <v>신길 래미안에스티움 84㎡</v>
      </c>
      <c r="C150" s="20" t="n">
        <v>3</v>
      </c>
      <c r="D150" s="10" t="n">
        <f aca="false">CHOOSE(C150,GrowLo,GrowMid,GrowHi)</f>
        <v>0.06</v>
      </c>
      <c r="E150" s="20" t="n">
        <v>6</v>
      </c>
      <c r="F150" s="24" t="n">
        <f aca="false">INDEX(C_Price,A150)*(1+D150)^(E150-1)</f>
        <v>25.15864085888</v>
      </c>
      <c r="G150" s="24" t="n">
        <f aca="false">F150*Gongsi</f>
        <v>17.3594621926272</v>
      </c>
      <c r="H150" s="24" t="n">
        <f aca="false">G150*FairProp</f>
        <v>10.4156773155763</v>
      </c>
      <c r="I150" s="44" t="n">
        <f aca="false">IF(G150&lt;=SpcLimit,SUMPRODUCT((H150&gt;SLo)*(H150-SLo)*SD),SUMPRODUCT((H150&gt;GLo)*(H150-GLo)*GD))</f>
        <v>0.0353627092623053</v>
      </c>
      <c r="J150" s="44" t="n">
        <f aca="false">H150*CityRate</f>
        <v>0.0145819482418069</v>
      </c>
      <c r="K150" s="44" t="n">
        <f aca="false">I150*EduProp</f>
        <v>0.00707254185246106</v>
      </c>
      <c r="L150" s="24" t="n">
        <f aca="false">MAX(0,(G150-JongDeduct)*FairJong)</f>
        <v>3.21567731557632</v>
      </c>
      <c r="M150" s="44" t="n">
        <f aca="false">SUMPRODUCT((L150&gt;JLo)*(L150-JLo)*JD)</f>
        <v>0.0165097412090342</v>
      </c>
      <c r="N150" s="44" t="n">
        <f aca="false">M150*NongJong</f>
        <v>0.00330194824180685</v>
      </c>
      <c r="O150" s="45" t="n">
        <f aca="false">I150+J150+K150+M150+N150</f>
        <v>0.0768288888074143</v>
      </c>
    </row>
    <row r="151" customFormat="false" ht="15" hidden="false" customHeight="false" outlineLevel="0" collapsed="false">
      <c r="A151" s="20" t="n">
        <v>5</v>
      </c>
      <c r="B151" s="43" t="str">
        <f aca="false">INDEX(C_Name,A151)</f>
        <v>신길 래미안에스티움 84㎡</v>
      </c>
      <c r="C151" s="20" t="n">
        <v>3</v>
      </c>
      <c r="D151" s="10" t="n">
        <f aca="false">CHOOSE(C151,GrowLo,GrowMid,GrowHi)</f>
        <v>0.06</v>
      </c>
      <c r="E151" s="20" t="n">
        <v>7</v>
      </c>
      <c r="F151" s="24" t="n">
        <f aca="false">INDEX(C_Price,A151)*(1+D151)^(E151-1)</f>
        <v>26.6681593104128</v>
      </c>
      <c r="G151" s="24" t="n">
        <f aca="false">F151*Gongsi</f>
        <v>18.4010299241848</v>
      </c>
      <c r="H151" s="24" t="n">
        <f aca="false">G151*FairProp</f>
        <v>11.0406179545109</v>
      </c>
      <c r="I151" s="44" t="n">
        <f aca="false">IF(G151&lt;=SpcLimit,SUMPRODUCT((H151&gt;SLo)*(H151-SLo)*SD),SUMPRODUCT((H151&gt;GLo)*(H151-GLo)*GD))</f>
        <v>0.0378624718180436</v>
      </c>
      <c r="J151" s="44" t="n">
        <f aca="false">H151*CityRate</f>
        <v>0.0154568651363153</v>
      </c>
      <c r="K151" s="44" t="n">
        <f aca="false">I151*EduProp</f>
        <v>0.00757249436360872</v>
      </c>
      <c r="L151" s="24" t="n">
        <f aca="false">MAX(0,(G151-JongDeduct)*FairJong)</f>
        <v>3.8406179545109</v>
      </c>
      <c r="M151" s="44" t="n">
        <f aca="false">SUMPRODUCT((L151&gt;JLo)*(L151-JLo)*JD)</f>
        <v>0.0208843256815763</v>
      </c>
      <c r="N151" s="44" t="n">
        <f aca="false">M151*NongJong</f>
        <v>0.00417686513631526</v>
      </c>
      <c r="O151" s="45" t="n">
        <f aca="false">I151+J151+K151+M151+N151</f>
        <v>0.0859530221358592</v>
      </c>
    </row>
    <row r="152" customFormat="false" ht="15" hidden="false" customHeight="false" outlineLevel="0" collapsed="false">
      <c r="A152" s="20" t="n">
        <v>5</v>
      </c>
      <c r="B152" s="43" t="str">
        <f aca="false">INDEX(C_Name,A152)</f>
        <v>신길 래미안에스티움 84㎡</v>
      </c>
      <c r="C152" s="20" t="n">
        <v>3</v>
      </c>
      <c r="D152" s="10" t="n">
        <f aca="false">CHOOSE(C152,GrowLo,GrowMid,GrowHi)</f>
        <v>0.06</v>
      </c>
      <c r="E152" s="20" t="n">
        <v>8</v>
      </c>
      <c r="F152" s="24" t="n">
        <f aca="false">INDEX(C_Price,A152)*(1+D152)^(E152-1)</f>
        <v>28.2682488690376</v>
      </c>
      <c r="G152" s="24" t="n">
        <f aca="false">F152*Gongsi</f>
        <v>19.5050917196359</v>
      </c>
      <c r="H152" s="24" t="n">
        <f aca="false">G152*FairProp</f>
        <v>11.7030550317816</v>
      </c>
      <c r="I152" s="44" t="n">
        <f aca="false">IF(G152&lt;=SpcLimit,SUMPRODUCT((H152&gt;SLo)*(H152-SLo)*SD),SUMPRODUCT((H152&gt;GLo)*(H152-GLo)*GD))</f>
        <v>0.0405122201271262</v>
      </c>
      <c r="J152" s="44" t="n">
        <f aca="false">H152*CityRate</f>
        <v>0.0163842770444942</v>
      </c>
      <c r="K152" s="44" t="n">
        <f aca="false">I152*EduProp</f>
        <v>0.00810244402542525</v>
      </c>
      <c r="L152" s="24" t="n">
        <f aca="false">MAX(0,(G152-JongDeduct)*FairJong)</f>
        <v>4.50305503178156</v>
      </c>
      <c r="M152" s="44" t="n">
        <f aca="false">SUMPRODUCT((L152&gt;JLo)*(L152-JLo)*JD)</f>
        <v>0.0255213852224709</v>
      </c>
      <c r="N152" s="44" t="n">
        <f aca="false">M152*NongJong</f>
        <v>0.00510427704449418</v>
      </c>
      <c r="O152" s="45" t="n">
        <f aca="false">I152+J152+K152+M152+N152</f>
        <v>0.0956246034640107</v>
      </c>
    </row>
    <row r="153" customFormat="false" ht="15" hidden="false" customHeight="false" outlineLevel="0" collapsed="false">
      <c r="A153" s="20" t="n">
        <v>5</v>
      </c>
      <c r="B153" s="43" t="str">
        <f aca="false">INDEX(C_Name,A153)</f>
        <v>신길 래미안에스티움 84㎡</v>
      </c>
      <c r="C153" s="20" t="n">
        <v>3</v>
      </c>
      <c r="D153" s="10" t="n">
        <f aca="false">CHOOSE(C153,GrowLo,GrowMid,GrowHi)</f>
        <v>0.06</v>
      </c>
      <c r="E153" s="20" t="n">
        <v>9</v>
      </c>
      <c r="F153" s="24" t="n">
        <f aca="false">INDEX(C_Price,A153)*(1+D153)^(E153-1)</f>
        <v>29.9643438011798</v>
      </c>
      <c r="G153" s="24" t="n">
        <f aca="false">F153*Gongsi</f>
        <v>20.6753972228141</v>
      </c>
      <c r="H153" s="24" t="n">
        <f aca="false">G153*FairProp</f>
        <v>12.4052383336885</v>
      </c>
      <c r="I153" s="44" t="n">
        <f aca="false">IF(G153&lt;=SpcLimit,SUMPRODUCT((H153&gt;SLo)*(H153-SLo)*SD),SUMPRODUCT((H153&gt;GLo)*(H153-GLo)*GD))</f>
        <v>0.0433209533347538</v>
      </c>
      <c r="J153" s="44" t="n">
        <f aca="false">H153*CityRate</f>
        <v>0.0173673336671638</v>
      </c>
      <c r="K153" s="44" t="n">
        <f aca="false">I153*EduProp</f>
        <v>0.00866419066695076</v>
      </c>
      <c r="L153" s="24" t="n">
        <f aca="false">MAX(0,(G153-JongDeduct)*FairJong)</f>
        <v>5.20523833368845</v>
      </c>
      <c r="M153" s="44" t="n">
        <f aca="false">SUMPRODUCT((L153&gt;JLo)*(L153-JLo)*JD)</f>
        <v>0.0304366683358192</v>
      </c>
      <c r="N153" s="44" t="n">
        <f aca="false">M153*NongJong</f>
        <v>0.00608733366716383</v>
      </c>
      <c r="O153" s="45" t="n">
        <f aca="false">I153+J153+K153+M153+N153</f>
        <v>0.105876479671851</v>
      </c>
    </row>
    <row r="154" customFormat="false" ht="15" hidden="false" customHeight="false" outlineLevel="0" collapsed="false">
      <c r="A154" s="20" t="n">
        <v>5</v>
      </c>
      <c r="B154" s="43" t="str">
        <f aca="false">INDEX(C_Name,A154)</f>
        <v>신길 래미안에스티움 84㎡</v>
      </c>
      <c r="C154" s="20" t="n">
        <v>3</v>
      </c>
      <c r="D154" s="10" t="n">
        <f aca="false">CHOOSE(C154,GrowLo,GrowMid,GrowHi)</f>
        <v>0.06</v>
      </c>
      <c r="E154" s="20" t="n">
        <v>10</v>
      </c>
      <c r="F154" s="24" t="n">
        <f aca="false">INDEX(C_Price,A154)*(1+D154)^(E154-1)</f>
        <v>31.7622044292506</v>
      </c>
      <c r="G154" s="24" t="n">
        <f aca="false">F154*Gongsi</f>
        <v>21.9159210561829</v>
      </c>
      <c r="H154" s="24" t="n">
        <f aca="false">G154*FairProp</f>
        <v>13.1495526337098</v>
      </c>
      <c r="I154" s="44" t="n">
        <f aca="false">IF(G154&lt;=SpcLimit,SUMPRODUCT((H154&gt;SLo)*(H154-SLo)*SD),SUMPRODUCT((H154&gt;GLo)*(H154-GLo)*GD))</f>
        <v>0.046298210534839</v>
      </c>
      <c r="J154" s="44" t="n">
        <f aca="false">H154*CityRate</f>
        <v>0.0184093736871937</v>
      </c>
      <c r="K154" s="44" t="n">
        <f aca="false">I154*EduProp</f>
        <v>0.00925964210696781</v>
      </c>
      <c r="L154" s="24" t="n">
        <f aca="false">MAX(0,(G154-JongDeduct)*FairJong)</f>
        <v>5.94955263370976</v>
      </c>
      <c r="M154" s="44" t="n">
        <f aca="false">SUMPRODUCT((L154&gt;JLo)*(L154-JLo)*JD)</f>
        <v>0.0356468684359683</v>
      </c>
      <c r="N154" s="44" t="n">
        <f aca="false">M154*NongJong</f>
        <v>0.00712937368719366</v>
      </c>
      <c r="O154" s="45" t="n">
        <f aca="false">I154+J154+K154+M154+N154</f>
        <v>0.116743468452162</v>
      </c>
    </row>
    <row r="155" customFormat="false" ht="15" hidden="false" customHeight="false" outlineLevel="0" collapsed="false">
      <c r="A155" s="20" t="n">
        <v>6</v>
      </c>
      <c r="B155" s="43" t="str">
        <f aca="false">INDEX(C_Name,A155)</f>
        <v>신길 보라매SK뷰 84.98㎡</v>
      </c>
      <c r="C155" s="20" t="n">
        <v>1</v>
      </c>
      <c r="D155" s="10" t="n">
        <f aca="false">CHOOSE(C155,GrowLo,GrowMid,GrowHi)</f>
        <v>0.02</v>
      </c>
      <c r="E155" s="20" t="n">
        <v>1</v>
      </c>
      <c r="F155" s="24" t="n">
        <f aca="false">INDEX(C_Price,A155)*(1+D155)^(E155-1)</f>
        <v>20.4</v>
      </c>
      <c r="G155" s="24" t="n">
        <f aca="false">F155*Gongsi</f>
        <v>14.076</v>
      </c>
      <c r="H155" s="24" t="n">
        <f aca="false">G155*FairProp</f>
        <v>8.4456</v>
      </c>
      <c r="I155" s="44" t="n">
        <f aca="false">IF(G155&lt;=SpcLimit,SUMPRODUCT((H155&gt;SLo)*(H155-SLo)*SD),SUMPRODUCT((H155&gt;GLo)*(H155-GLo)*GD))</f>
        <v>0.0274824</v>
      </c>
      <c r="J155" s="44" t="n">
        <f aca="false">H155*CityRate</f>
        <v>0.01182384</v>
      </c>
      <c r="K155" s="44" t="n">
        <f aca="false">I155*EduProp</f>
        <v>0.00549648</v>
      </c>
      <c r="L155" s="24" t="n">
        <f aca="false">MAX(0,(G155-JongDeduct)*FairJong)</f>
        <v>1.2456</v>
      </c>
      <c r="M155" s="44" t="n">
        <f aca="false">SUMPRODUCT((L155&gt;JLo)*(L155-JLo)*JD)</f>
        <v>0.006228</v>
      </c>
      <c r="N155" s="44" t="n">
        <f aca="false">M155*NongJong</f>
        <v>0.0012456</v>
      </c>
      <c r="O155" s="45" t="n">
        <f aca="false">I155+J155+K155+M155+N155</f>
        <v>0.05227632</v>
      </c>
    </row>
    <row r="156" customFormat="false" ht="15" hidden="false" customHeight="false" outlineLevel="0" collapsed="false">
      <c r="A156" s="20" t="n">
        <v>6</v>
      </c>
      <c r="B156" s="43" t="str">
        <f aca="false">INDEX(C_Name,A156)</f>
        <v>신길 보라매SK뷰 84.98㎡</v>
      </c>
      <c r="C156" s="20" t="n">
        <v>1</v>
      </c>
      <c r="D156" s="10" t="n">
        <f aca="false">CHOOSE(C156,GrowLo,GrowMid,GrowHi)</f>
        <v>0.02</v>
      </c>
      <c r="E156" s="20" t="n">
        <v>2</v>
      </c>
      <c r="F156" s="24" t="n">
        <f aca="false">INDEX(C_Price,A156)*(1+D156)^(E156-1)</f>
        <v>20.808</v>
      </c>
      <c r="G156" s="24" t="n">
        <f aca="false">F156*Gongsi</f>
        <v>14.35752</v>
      </c>
      <c r="H156" s="24" t="n">
        <f aca="false">G156*FairProp</f>
        <v>8.614512</v>
      </c>
      <c r="I156" s="44" t="n">
        <f aca="false">IF(G156&lt;=SpcLimit,SUMPRODUCT((H156&gt;SLo)*(H156-SLo)*SD),SUMPRODUCT((H156&gt;GLo)*(H156-GLo)*GD))</f>
        <v>0.028158048</v>
      </c>
      <c r="J156" s="44" t="n">
        <f aca="false">H156*CityRate</f>
        <v>0.0120603168</v>
      </c>
      <c r="K156" s="44" t="n">
        <f aca="false">I156*EduProp</f>
        <v>0.0056316096</v>
      </c>
      <c r="L156" s="24" t="n">
        <f aca="false">MAX(0,(G156-JongDeduct)*FairJong)</f>
        <v>1.414512</v>
      </c>
      <c r="M156" s="44" t="n">
        <f aca="false">SUMPRODUCT((L156&gt;JLo)*(L156-JLo)*JD)</f>
        <v>0.00707256</v>
      </c>
      <c r="N156" s="44" t="n">
        <f aca="false">M156*NongJong</f>
        <v>0.001414512</v>
      </c>
      <c r="O156" s="45" t="n">
        <f aca="false">I156+J156+K156+M156+N156</f>
        <v>0.0543370464</v>
      </c>
    </row>
    <row r="157" customFormat="false" ht="15" hidden="false" customHeight="false" outlineLevel="0" collapsed="false">
      <c r="A157" s="20" t="n">
        <v>6</v>
      </c>
      <c r="B157" s="43" t="str">
        <f aca="false">INDEX(C_Name,A157)</f>
        <v>신길 보라매SK뷰 84.98㎡</v>
      </c>
      <c r="C157" s="20" t="n">
        <v>1</v>
      </c>
      <c r="D157" s="10" t="n">
        <f aca="false">CHOOSE(C157,GrowLo,GrowMid,GrowHi)</f>
        <v>0.02</v>
      </c>
      <c r="E157" s="20" t="n">
        <v>3</v>
      </c>
      <c r="F157" s="24" t="n">
        <f aca="false">INDEX(C_Price,A157)*(1+D157)^(E157-1)</f>
        <v>21.22416</v>
      </c>
      <c r="G157" s="24" t="n">
        <f aca="false">F157*Gongsi</f>
        <v>14.6446704</v>
      </c>
      <c r="H157" s="24" t="n">
        <f aca="false">G157*FairProp</f>
        <v>8.78680224</v>
      </c>
      <c r="I157" s="44" t="n">
        <f aca="false">IF(G157&lt;=SpcLimit,SUMPRODUCT((H157&gt;SLo)*(H157-SLo)*SD),SUMPRODUCT((H157&gt;GLo)*(H157-GLo)*GD))</f>
        <v>0.02884720896</v>
      </c>
      <c r="J157" s="44" t="n">
        <f aca="false">H157*CityRate</f>
        <v>0.012301523136</v>
      </c>
      <c r="K157" s="44" t="n">
        <f aca="false">I157*EduProp</f>
        <v>0.005769441792</v>
      </c>
      <c r="L157" s="24" t="n">
        <f aca="false">MAX(0,(G157-JongDeduct)*FairJong)</f>
        <v>1.58680224</v>
      </c>
      <c r="M157" s="44" t="n">
        <f aca="false">SUMPRODUCT((L157&gt;JLo)*(L157-JLo)*JD)</f>
        <v>0.00793401119999999</v>
      </c>
      <c r="N157" s="44" t="n">
        <f aca="false">M157*NongJong</f>
        <v>0.00158680224</v>
      </c>
      <c r="O157" s="45" t="n">
        <f aca="false">I157+J157+K157+M157+N157</f>
        <v>0.056438987328</v>
      </c>
    </row>
    <row r="158" customFormat="false" ht="15" hidden="false" customHeight="false" outlineLevel="0" collapsed="false">
      <c r="A158" s="20" t="n">
        <v>6</v>
      </c>
      <c r="B158" s="43" t="str">
        <f aca="false">INDEX(C_Name,A158)</f>
        <v>신길 보라매SK뷰 84.98㎡</v>
      </c>
      <c r="C158" s="20" t="n">
        <v>1</v>
      </c>
      <c r="D158" s="10" t="n">
        <f aca="false">CHOOSE(C158,GrowLo,GrowMid,GrowHi)</f>
        <v>0.02</v>
      </c>
      <c r="E158" s="20" t="n">
        <v>4</v>
      </c>
      <c r="F158" s="24" t="n">
        <f aca="false">INDEX(C_Price,A158)*(1+D158)^(E158-1)</f>
        <v>21.6486432</v>
      </c>
      <c r="G158" s="24" t="n">
        <f aca="false">F158*Gongsi</f>
        <v>14.937563808</v>
      </c>
      <c r="H158" s="24" t="n">
        <f aca="false">G158*FairProp</f>
        <v>8.9625382848</v>
      </c>
      <c r="I158" s="44" t="n">
        <f aca="false">IF(G158&lt;=SpcLimit,SUMPRODUCT((H158&gt;SLo)*(H158-SLo)*SD),SUMPRODUCT((H158&gt;GLo)*(H158-GLo)*GD))</f>
        <v>0.0295501531392</v>
      </c>
      <c r="J158" s="44" t="n">
        <f aca="false">H158*CityRate</f>
        <v>0.01254755359872</v>
      </c>
      <c r="K158" s="44" t="n">
        <f aca="false">I158*EduProp</f>
        <v>0.00591003062784</v>
      </c>
      <c r="L158" s="24" t="n">
        <f aca="false">MAX(0,(G158-JongDeduct)*FairJong)</f>
        <v>1.7625382848</v>
      </c>
      <c r="M158" s="44" t="n">
        <f aca="false">SUMPRODUCT((L158&gt;JLo)*(L158-JLo)*JD)</f>
        <v>0.008812691424</v>
      </c>
      <c r="N158" s="44" t="n">
        <f aca="false">M158*NongJong</f>
        <v>0.0017625382848</v>
      </c>
      <c r="O158" s="45" t="n">
        <f aca="false">I158+J158+K158+M158+N158</f>
        <v>0.05858296707456</v>
      </c>
    </row>
    <row r="159" customFormat="false" ht="15" hidden="false" customHeight="false" outlineLevel="0" collapsed="false">
      <c r="A159" s="20" t="n">
        <v>6</v>
      </c>
      <c r="B159" s="43" t="str">
        <f aca="false">INDEX(C_Name,A159)</f>
        <v>신길 보라매SK뷰 84.98㎡</v>
      </c>
      <c r="C159" s="20" t="n">
        <v>1</v>
      </c>
      <c r="D159" s="10" t="n">
        <f aca="false">CHOOSE(C159,GrowLo,GrowMid,GrowHi)</f>
        <v>0.02</v>
      </c>
      <c r="E159" s="20" t="n">
        <v>5</v>
      </c>
      <c r="F159" s="24" t="n">
        <f aca="false">INDEX(C_Price,A159)*(1+D159)^(E159-1)</f>
        <v>22.081616064</v>
      </c>
      <c r="G159" s="24" t="n">
        <f aca="false">F159*Gongsi</f>
        <v>15.23631508416</v>
      </c>
      <c r="H159" s="24" t="n">
        <f aca="false">G159*FairProp</f>
        <v>9.141789050496</v>
      </c>
      <c r="I159" s="44" t="n">
        <f aca="false">IF(G159&lt;=SpcLimit,SUMPRODUCT((H159&gt;SLo)*(H159-SLo)*SD),SUMPRODUCT((H159&gt;GLo)*(H159-GLo)*GD))</f>
        <v>0.030267156201984</v>
      </c>
      <c r="J159" s="44" t="n">
        <f aca="false">H159*CityRate</f>
        <v>0.0127985046706944</v>
      </c>
      <c r="K159" s="44" t="n">
        <f aca="false">I159*EduProp</f>
        <v>0.0060534312403968</v>
      </c>
      <c r="L159" s="24" t="n">
        <f aca="false">MAX(0,(G159-JongDeduct)*FairJong)</f>
        <v>1.941789050496</v>
      </c>
      <c r="M159" s="44" t="n">
        <f aca="false">SUMPRODUCT((L159&gt;JLo)*(L159-JLo)*JD)</f>
        <v>0.00970894525247999</v>
      </c>
      <c r="N159" s="44" t="n">
        <f aca="false">M159*NongJong</f>
        <v>0.001941789050496</v>
      </c>
      <c r="O159" s="45" t="n">
        <f aca="false">I159+J159+K159+M159+N159</f>
        <v>0.0607698264160512</v>
      </c>
    </row>
    <row r="160" customFormat="false" ht="15" hidden="false" customHeight="false" outlineLevel="0" collapsed="false">
      <c r="A160" s="20" t="n">
        <v>6</v>
      </c>
      <c r="B160" s="43" t="str">
        <f aca="false">INDEX(C_Name,A160)</f>
        <v>신길 보라매SK뷰 84.98㎡</v>
      </c>
      <c r="C160" s="20" t="n">
        <v>1</v>
      </c>
      <c r="D160" s="10" t="n">
        <f aca="false">CHOOSE(C160,GrowLo,GrowMid,GrowHi)</f>
        <v>0.02</v>
      </c>
      <c r="E160" s="20" t="n">
        <v>6</v>
      </c>
      <c r="F160" s="24" t="n">
        <f aca="false">INDEX(C_Price,A160)*(1+D160)^(E160-1)</f>
        <v>22.52324838528</v>
      </c>
      <c r="G160" s="24" t="n">
        <f aca="false">F160*Gongsi</f>
        <v>15.5410413858432</v>
      </c>
      <c r="H160" s="24" t="n">
        <f aca="false">G160*FairProp</f>
        <v>9.32462483150592</v>
      </c>
      <c r="I160" s="44" t="n">
        <f aca="false">IF(G160&lt;=SpcLimit,SUMPRODUCT((H160&gt;SLo)*(H160-SLo)*SD),SUMPRODUCT((H160&gt;GLo)*(H160-GLo)*GD))</f>
        <v>0.0309984993260237</v>
      </c>
      <c r="J160" s="44" t="n">
        <f aca="false">H160*CityRate</f>
        <v>0.0130544747641083</v>
      </c>
      <c r="K160" s="44" t="n">
        <f aca="false">I160*EduProp</f>
        <v>0.00619969986520474</v>
      </c>
      <c r="L160" s="24" t="n">
        <f aca="false">MAX(0,(G160-JongDeduct)*FairJong)</f>
        <v>2.12462483150592</v>
      </c>
      <c r="M160" s="44" t="n">
        <f aca="false">SUMPRODUCT((L160&gt;JLo)*(L160-JLo)*JD)</f>
        <v>0.0106231241575296</v>
      </c>
      <c r="N160" s="44" t="n">
        <f aca="false">M160*NongJong</f>
        <v>0.00212462483150592</v>
      </c>
      <c r="O160" s="45" t="n">
        <f aca="false">I160+J160+K160+M160+N160</f>
        <v>0.0630004229443722</v>
      </c>
    </row>
    <row r="161" customFormat="false" ht="15" hidden="false" customHeight="false" outlineLevel="0" collapsed="false">
      <c r="A161" s="20" t="n">
        <v>6</v>
      </c>
      <c r="B161" s="43" t="str">
        <f aca="false">INDEX(C_Name,A161)</f>
        <v>신길 보라매SK뷰 84.98㎡</v>
      </c>
      <c r="C161" s="20" t="n">
        <v>1</v>
      </c>
      <c r="D161" s="10" t="n">
        <f aca="false">CHOOSE(C161,GrowLo,GrowMid,GrowHi)</f>
        <v>0.02</v>
      </c>
      <c r="E161" s="20" t="n">
        <v>7</v>
      </c>
      <c r="F161" s="24" t="n">
        <f aca="false">INDEX(C_Price,A161)*(1+D161)^(E161-1)</f>
        <v>22.9737133529856</v>
      </c>
      <c r="G161" s="24" t="n">
        <f aca="false">F161*Gongsi</f>
        <v>15.8518622135601</v>
      </c>
      <c r="H161" s="24" t="n">
        <f aca="false">G161*FairProp</f>
        <v>9.51111732813604</v>
      </c>
      <c r="I161" s="44" t="n">
        <f aca="false">IF(G161&lt;=SpcLimit,SUMPRODUCT((H161&gt;SLo)*(H161-SLo)*SD),SUMPRODUCT((H161&gt;GLo)*(H161-GLo)*GD))</f>
        <v>0.0317444693125442</v>
      </c>
      <c r="J161" s="44" t="n">
        <f aca="false">H161*CityRate</f>
        <v>0.0133155642593905</v>
      </c>
      <c r="K161" s="44" t="n">
        <f aca="false">I161*EduProp</f>
        <v>0.00634889386250883</v>
      </c>
      <c r="L161" s="24" t="n">
        <f aca="false">MAX(0,(G161-JongDeduct)*FairJong)</f>
        <v>2.31111732813604</v>
      </c>
      <c r="M161" s="44" t="n">
        <f aca="false">SUMPRODUCT((L161&gt;JLo)*(L161-JLo)*JD)</f>
        <v>0.0115555866406802</v>
      </c>
      <c r="N161" s="44" t="n">
        <f aca="false">M161*NongJong</f>
        <v>0.00231111732813604</v>
      </c>
      <c r="O161" s="45" t="n">
        <f aca="false">I161+J161+K161+M161+N161</f>
        <v>0.0652756314032596</v>
      </c>
    </row>
    <row r="162" customFormat="false" ht="15" hidden="false" customHeight="false" outlineLevel="0" collapsed="false">
      <c r="A162" s="20" t="n">
        <v>6</v>
      </c>
      <c r="B162" s="43" t="str">
        <f aca="false">INDEX(C_Name,A162)</f>
        <v>신길 보라매SK뷰 84.98㎡</v>
      </c>
      <c r="C162" s="20" t="n">
        <v>1</v>
      </c>
      <c r="D162" s="10" t="n">
        <f aca="false">CHOOSE(C162,GrowLo,GrowMid,GrowHi)</f>
        <v>0.02</v>
      </c>
      <c r="E162" s="20" t="n">
        <v>8</v>
      </c>
      <c r="F162" s="24" t="n">
        <f aca="false">INDEX(C_Price,A162)*(1+D162)^(E162-1)</f>
        <v>23.4331876200453</v>
      </c>
      <c r="G162" s="24" t="n">
        <f aca="false">F162*Gongsi</f>
        <v>16.1688994578313</v>
      </c>
      <c r="H162" s="24" t="n">
        <f aca="false">G162*FairProp</f>
        <v>9.70133967469876</v>
      </c>
      <c r="I162" s="44" t="n">
        <f aca="false">IF(G162&lt;=SpcLimit,SUMPRODUCT((H162&gt;SLo)*(H162-SLo)*SD),SUMPRODUCT((H162&gt;GLo)*(H162-GLo)*GD))</f>
        <v>0.032505358698795</v>
      </c>
      <c r="J162" s="44" t="n">
        <f aca="false">H162*CityRate</f>
        <v>0.0135818755445783</v>
      </c>
      <c r="K162" s="44" t="n">
        <f aca="false">I162*EduProp</f>
        <v>0.00650107173975901</v>
      </c>
      <c r="L162" s="24" t="n">
        <f aca="false">MAX(0,(G162-JongDeduct)*FairJong)</f>
        <v>2.50133967469876</v>
      </c>
      <c r="M162" s="44" t="n">
        <f aca="false">SUMPRODUCT((L162&gt;JLo)*(L162-JLo)*JD)</f>
        <v>0.0125066983734938</v>
      </c>
      <c r="N162" s="44" t="n">
        <f aca="false">M162*NongJong</f>
        <v>0.00250133967469876</v>
      </c>
      <c r="O162" s="45" t="n">
        <f aca="false">I162+J162+K162+M162+N162</f>
        <v>0.0675963440313248</v>
      </c>
    </row>
    <row r="163" customFormat="false" ht="15" hidden="false" customHeight="false" outlineLevel="0" collapsed="false">
      <c r="A163" s="20" t="n">
        <v>6</v>
      </c>
      <c r="B163" s="43" t="str">
        <f aca="false">INDEX(C_Name,A163)</f>
        <v>신길 보라매SK뷰 84.98㎡</v>
      </c>
      <c r="C163" s="20" t="n">
        <v>1</v>
      </c>
      <c r="D163" s="10" t="n">
        <f aca="false">CHOOSE(C163,GrowLo,GrowMid,GrowHi)</f>
        <v>0.02</v>
      </c>
      <c r="E163" s="20" t="n">
        <v>9</v>
      </c>
      <c r="F163" s="24" t="n">
        <f aca="false">INDEX(C_Price,A163)*(1+D163)^(E163-1)</f>
        <v>23.9018513724462</v>
      </c>
      <c r="G163" s="24" t="n">
        <f aca="false">F163*Gongsi</f>
        <v>16.4922774469879</v>
      </c>
      <c r="H163" s="24" t="n">
        <f aca="false">G163*FairProp</f>
        <v>9.89536646819274</v>
      </c>
      <c r="I163" s="44" t="n">
        <f aca="false">IF(G163&lt;=SpcLimit,SUMPRODUCT((H163&gt;SLo)*(H163-SLo)*SD),SUMPRODUCT((H163&gt;GLo)*(H163-GLo)*GD))</f>
        <v>0.0332814658727709</v>
      </c>
      <c r="J163" s="44" t="n">
        <f aca="false">H163*CityRate</f>
        <v>0.0138535130554698</v>
      </c>
      <c r="K163" s="44" t="n">
        <f aca="false">I163*EduProp</f>
        <v>0.00665629317455419</v>
      </c>
      <c r="L163" s="24" t="n">
        <f aca="false">MAX(0,(G163-JongDeduct)*FairJong)</f>
        <v>2.69536646819273</v>
      </c>
      <c r="M163" s="44" t="n">
        <f aca="false">SUMPRODUCT((L163&gt;JLo)*(L163-JLo)*JD)</f>
        <v>0.0134768323409637</v>
      </c>
      <c r="N163" s="44" t="n">
        <f aca="false">M163*NongJong</f>
        <v>0.00269536646819274</v>
      </c>
      <c r="O163" s="45" t="n">
        <f aca="false">I163+J163+K163+M163+N163</f>
        <v>0.0699634709119514</v>
      </c>
    </row>
    <row r="164" customFormat="false" ht="15" hidden="false" customHeight="false" outlineLevel="0" collapsed="false">
      <c r="A164" s="20" t="n">
        <v>6</v>
      </c>
      <c r="B164" s="43" t="str">
        <f aca="false">INDEX(C_Name,A164)</f>
        <v>신길 보라매SK뷰 84.98㎡</v>
      </c>
      <c r="C164" s="20" t="n">
        <v>1</v>
      </c>
      <c r="D164" s="10" t="n">
        <f aca="false">CHOOSE(C164,GrowLo,GrowMid,GrowHi)</f>
        <v>0.02</v>
      </c>
      <c r="E164" s="20" t="n">
        <v>10</v>
      </c>
      <c r="F164" s="24" t="n">
        <f aca="false">INDEX(C_Price,A164)*(1+D164)^(E164-1)</f>
        <v>24.3798883998951</v>
      </c>
      <c r="G164" s="24" t="n">
        <f aca="false">F164*Gongsi</f>
        <v>16.8221229959276</v>
      </c>
      <c r="H164" s="24" t="n">
        <f aca="false">G164*FairProp</f>
        <v>10.0932737975566</v>
      </c>
      <c r="I164" s="44" t="n">
        <f aca="false">IF(G164&lt;=SpcLimit,SUMPRODUCT((H164&gt;SLo)*(H164-SLo)*SD),SUMPRODUCT((H164&gt;GLo)*(H164-GLo)*GD))</f>
        <v>0.0340730951902264</v>
      </c>
      <c r="J164" s="44" t="n">
        <f aca="false">H164*CityRate</f>
        <v>0.0141305833165792</v>
      </c>
      <c r="K164" s="44" t="n">
        <f aca="false">I164*EduProp</f>
        <v>0.00681461903804527</v>
      </c>
      <c r="L164" s="24" t="n">
        <f aca="false">MAX(0,(G164-JongDeduct)*FairJong)</f>
        <v>2.89327379755659</v>
      </c>
      <c r="M164" s="44" t="n">
        <f aca="false">SUMPRODUCT((L164&gt;JLo)*(L164-JLo)*JD)</f>
        <v>0.0144663689877829</v>
      </c>
      <c r="N164" s="44" t="n">
        <f aca="false">M164*NongJong</f>
        <v>0.00289327379755659</v>
      </c>
      <c r="O164" s="45" t="n">
        <f aca="false">I164+J164+K164+M164+N164</f>
        <v>0.0723779403301904</v>
      </c>
    </row>
    <row r="165" customFormat="false" ht="15" hidden="false" customHeight="false" outlineLevel="0" collapsed="false">
      <c r="A165" s="20" t="n">
        <v>6</v>
      </c>
      <c r="B165" s="43" t="str">
        <f aca="false">INDEX(C_Name,A165)</f>
        <v>신길 보라매SK뷰 84.98㎡</v>
      </c>
      <c r="C165" s="20" t="n">
        <v>2</v>
      </c>
      <c r="D165" s="10" t="n">
        <f aca="false">CHOOSE(C165,GrowLo,GrowMid,GrowHi)</f>
        <v>0.04</v>
      </c>
      <c r="E165" s="20" t="n">
        <v>1</v>
      </c>
      <c r="F165" s="24" t="n">
        <f aca="false">INDEX(C_Price,A165)*(1+D165)^(E165-1)</f>
        <v>20.4</v>
      </c>
      <c r="G165" s="24" t="n">
        <f aca="false">F165*Gongsi</f>
        <v>14.076</v>
      </c>
      <c r="H165" s="24" t="n">
        <f aca="false">G165*FairProp</f>
        <v>8.4456</v>
      </c>
      <c r="I165" s="44" t="n">
        <f aca="false">IF(G165&lt;=SpcLimit,SUMPRODUCT((H165&gt;SLo)*(H165-SLo)*SD),SUMPRODUCT((H165&gt;GLo)*(H165-GLo)*GD))</f>
        <v>0.0274824</v>
      </c>
      <c r="J165" s="44" t="n">
        <f aca="false">H165*CityRate</f>
        <v>0.01182384</v>
      </c>
      <c r="K165" s="44" t="n">
        <f aca="false">I165*EduProp</f>
        <v>0.00549648</v>
      </c>
      <c r="L165" s="24" t="n">
        <f aca="false">MAX(0,(G165-JongDeduct)*FairJong)</f>
        <v>1.2456</v>
      </c>
      <c r="M165" s="44" t="n">
        <f aca="false">SUMPRODUCT((L165&gt;JLo)*(L165-JLo)*JD)</f>
        <v>0.006228</v>
      </c>
      <c r="N165" s="44" t="n">
        <f aca="false">M165*NongJong</f>
        <v>0.0012456</v>
      </c>
      <c r="O165" s="45" t="n">
        <f aca="false">I165+J165+K165+M165+N165</f>
        <v>0.05227632</v>
      </c>
    </row>
    <row r="166" customFormat="false" ht="15" hidden="false" customHeight="false" outlineLevel="0" collapsed="false">
      <c r="A166" s="20" t="n">
        <v>6</v>
      </c>
      <c r="B166" s="43" t="str">
        <f aca="false">INDEX(C_Name,A166)</f>
        <v>신길 보라매SK뷰 84.98㎡</v>
      </c>
      <c r="C166" s="20" t="n">
        <v>2</v>
      </c>
      <c r="D166" s="10" t="n">
        <f aca="false">CHOOSE(C166,GrowLo,GrowMid,GrowHi)</f>
        <v>0.04</v>
      </c>
      <c r="E166" s="20" t="n">
        <v>2</v>
      </c>
      <c r="F166" s="24" t="n">
        <f aca="false">INDEX(C_Price,A166)*(1+D166)^(E166-1)</f>
        <v>21.216</v>
      </c>
      <c r="G166" s="24" t="n">
        <f aca="false">F166*Gongsi</f>
        <v>14.63904</v>
      </c>
      <c r="H166" s="24" t="n">
        <f aca="false">G166*FairProp</f>
        <v>8.783424</v>
      </c>
      <c r="I166" s="44" t="n">
        <f aca="false">IF(G166&lt;=SpcLimit,SUMPRODUCT((H166&gt;SLo)*(H166-SLo)*SD),SUMPRODUCT((H166&gt;GLo)*(H166-GLo)*GD))</f>
        <v>0.028833696</v>
      </c>
      <c r="J166" s="44" t="n">
        <f aca="false">H166*CityRate</f>
        <v>0.0122967936</v>
      </c>
      <c r="K166" s="44" t="n">
        <f aca="false">I166*EduProp</f>
        <v>0.0057667392</v>
      </c>
      <c r="L166" s="24" t="n">
        <f aca="false">MAX(0,(G166-JongDeduct)*FairJong)</f>
        <v>1.583424</v>
      </c>
      <c r="M166" s="44" t="n">
        <f aca="false">SUMPRODUCT((L166&gt;JLo)*(L166-JLo)*JD)</f>
        <v>0.00791711999999999</v>
      </c>
      <c r="N166" s="44" t="n">
        <f aca="false">M166*NongJong</f>
        <v>0.001583424</v>
      </c>
      <c r="O166" s="45" t="n">
        <f aca="false">I166+J166+K166+M166+N166</f>
        <v>0.0563977728</v>
      </c>
    </row>
    <row r="167" customFormat="false" ht="15" hidden="false" customHeight="false" outlineLevel="0" collapsed="false">
      <c r="A167" s="20" t="n">
        <v>6</v>
      </c>
      <c r="B167" s="43" t="str">
        <f aca="false">INDEX(C_Name,A167)</f>
        <v>신길 보라매SK뷰 84.98㎡</v>
      </c>
      <c r="C167" s="20" t="n">
        <v>2</v>
      </c>
      <c r="D167" s="10" t="n">
        <f aca="false">CHOOSE(C167,GrowLo,GrowMid,GrowHi)</f>
        <v>0.04</v>
      </c>
      <c r="E167" s="20" t="n">
        <v>3</v>
      </c>
      <c r="F167" s="24" t="n">
        <f aca="false">INDEX(C_Price,A167)*(1+D167)^(E167-1)</f>
        <v>22.06464</v>
      </c>
      <c r="G167" s="24" t="n">
        <f aca="false">F167*Gongsi</f>
        <v>15.2246016</v>
      </c>
      <c r="H167" s="24" t="n">
        <f aca="false">G167*FairProp</f>
        <v>9.13476096</v>
      </c>
      <c r="I167" s="44" t="n">
        <f aca="false">IF(G167&lt;=SpcLimit,SUMPRODUCT((H167&gt;SLo)*(H167-SLo)*SD),SUMPRODUCT((H167&gt;GLo)*(H167-GLo)*GD))</f>
        <v>0.03023904384</v>
      </c>
      <c r="J167" s="44" t="n">
        <f aca="false">H167*CityRate</f>
        <v>0.012788665344</v>
      </c>
      <c r="K167" s="44" t="n">
        <f aca="false">I167*EduProp</f>
        <v>0.006047808768</v>
      </c>
      <c r="L167" s="24" t="n">
        <f aca="false">MAX(0,(G167-JongDeduct)*FairJong)</f>
        <v>1.93476096</v>
      </c>
      <c r="M167" s="44" t="n">
        <f aca="false">SUMPRODUCT((L167&gt;JLo)*(L167-JLo)*JD)</f>
        <v>0.0096738048</v>
      </c>
      <c r="N167" s="44" t="n">
        <f aca="false">M167*NongJong</f>
        <v>0.00193476096</v>
      </c>
      <c r="O167" s="45" t="n">
        <f aca="false">I167+J167+K167+M167+N167</f>
        <v>0.060684083712</v>
      </c>
    </row>
    <row r="168" customFormat="false" ht="15" hidden="false" customHeight="false" outlineLevel="0" collapsed="false">
      <c r="A168" s="20" t="n">
        <v>6</v>
      </c>
      <c r="B168" s="43" t="str">
        <f aca="false">INDEX(C_Name,A168)</f>
        <v>신길 보라매SK뷰 84.98㎡</v>
      </c>
      <c r="C168" s="20" t="n">
        <v>2</v>
      </c>
      <c r="D168" s="10" t="n">
        <f aca="false">CHOOSE(C168,GrowLo,GrowMid,GrowHi)</f>
        <v>0.04</v>
      </c>
      <c r="E168" s="20" t="n">
        <v>4</v>
      </c>
      <c r="F168" s="24" t="n">
        <f aca="false">INDEX(C_Price,A168)*(1+D168)^(E168-1)</f>
        <v>22.9472256</v>
      </c>
      <c r="G168" s="24" t="n">
        <f aca="false">F168*Gongsi</f>
        <v>15.833585664</v>
      </c>
      <c r="H168" s="24" t="n">
        <f aca="false">G168*FairProp</f>
        <v>9.5001513984</v>
      </c>
      <c r="I168" s="44" t="n">
        <f aca="false">IF(G168&lt;=SpcLimit,SUMPRODUCT((H168&gt;SLo)*(H168-SLo)*SD),SUMPRODUCT((H168&gt;GLo)*(H168-GLo)*GD))</f>
        <v>0.0317006055936</v>
      </c>
      <c r="J168" s="44" t="n">
        <f aca="false">H168*CityRate</f>
        <v>0.01330021195776</v>
      </c>
      <c r="K168" s="44" t="n">
        <f aca="false">I168*EduProp</f>
        <v>0.00634012111872</v>
      </c>
      <c r="L168" s="24" t="n">
        <f aca="false">MAX(0,(G168-JongDeduct)*FairJong)</f>
        <v>2.3001513984</v>
      </c>
      <c r="M168" s="44" t="n">
        <f aca="false">SUMPRODUCT((L168&gt;JLo)*(L168-JLo)*JD)</f>
        <v>0.011500756992</v>
      </c>
      <c r="N168" s="44" t="n">
        <f aca="false">M168*NongJong</f>
        <v>0.0023001513984</v>
      </c>
      <c r="O168" s="45" t="n">
        <f aca="false">I168+J168+K168+M168+N168</f>
        <v>0.06514184706048</v>
      </c>
    </row>
    <row r="169" customFormat="false" ht="15" hidden="false" customHeight="false" outlineLevel="0" collapsed="false">
      <c r="A169" s="20" t="n">
        <v>6</v>
      </c>
      <c r="B169" s="43" t="str">
        <f aca="false">INDEX(C_Name,A169)</f>
        <v>신길 보라매SK뷰 84.98㎡</v>
      </c>
      <c r="C169" s="20" t="n">
        <v>2</v>
      </c>
      <c r="D169" s="10" t="n">
        <f aca="false">CHOOSE(C169,GrowLo,GrowMid,GrowHi)</f>
        <v>0.04</v>
      </c>
      <c r="E169" s="20" t="n">
        <v>5</v>
      </c>
      <c r="F169" s="24" t="n">
        <f aca="false">INDEX(C_Price,A169)*(1+D169)^(E169-1)</f>
        <v>23.865114624</v>
      </c>
      <c r="G169" s="24" t="n">
        <f aca="false">F169*Gongsi</f>
        <v>16.46692909056</v>
      </c>
      <c r="H169" s="24" t="n">
        <f aca="false">G169*FairProp</f>
        <v>9.880157454336</v>
      </c>
      <c r="I169" s="44" t="n">
        <f aca="false">IF(G169&lt;=SpcLimit,SUMPRODUCT((H169&gt;SLo)*(H169-SLo)*SD),SUMPRODUCT((H169&gt;GLo)*(H169-GLo)*GD))</f>
        <v>0.033220629817344</v>
      </c>
      <c r="J169" s="44" t="n">
        <f aca="false">H169*CityRate</f>
        <v>0.0138322204360704</v>
      </c>
      <c r="K169" s="44" t="n">
        <f aca="false">I169*EduProp</f>
        <v>0.0066441259634688</v>
      </c>
      <c r="L169" s="24" t="n">
        <f aca="false">MAX(0,(G169-JongDeduct)*FairJong)</f>
        <v>2.680157454336</v>
      </c>
      <c r="M169" s="44" t="n">
        <f aca="false">SUMPRODUCT((L169&gt;JLo)*(L169-JLo)*JD)</f>
        <v>0.01340078727168</v>
      </c>
      <c r="N169" s="44" t="n">
        <f aca="false">M169*NongJong</f>
        <v>0.002680157454336</v>
      </c>
      <c r="O169" s="45" t="n">
        <f aca="false">I169+J169+K169+M169+N169</f>
        <v>0.0697779209428992</v>
      </c>
    </row>
    <row r="170" customFormat="false" ht="15" hidden="false" customHeight="false" outlineLevel="0" collapsed="false">
      <c r="A170" s="20" t="n">
        <v>6</v>
      </c>
      <c r="B170" s="43" t="str">
        <f aca="false">INDEX(C_Name,A170)</f>
        <v>신길 보라매SK뷰 84.98㎡</v>
      </c>
      <c r="C170" s="20" t="n">
        <v>2</v>
      </c>
      <c r="D170" s="10" t="n">
        <f aca="false">CHOOSE(C170,GrowLo,GrowMid,GrowHi)</f>
        <v>0.04</v>
      </c>
      <c r="E170" s="20" t="n">
        <v>6</v>
      </c>
      <c r="F170" s="24" t="n">
        <f aca="false">INDEX(C_Price,A170)*(1+D170)^(E170-1)</f>
        <v>24.81971920896</v>
      </c>
      <c r="G170" s="24" t="n">
        <f aca="false">F170*Gongsi</f>
        <v>17.1256062541824</v>
      </c>
      <c r="H170" s="24" t="n">
        <f aca="false">G170*FairProp</f>
        <v>10.2753637525094</v>
      </c>
      <c r="I170" s="44" t="n">
        <f aca="false">IF(G170&lt;=SpcLimit,SUMPRODUCT((H170&gt;SLo)*(H170-SLo)*SD),SUMPRODUCT((H170&gt;GLo)*(H170-GLo)*GD))</f>
        <v>0.0348014550100378</v>
      </c>
      <c r="J170" s="44" t="n">
        <f aca="false">H170*CityRate</f>
        <v>0.0143855092535132</v>
      </c>
      <c r="K170" s="44" t="n">
        <f aca="false">I170*EduProp</f>
        <v>0.00696029100200755</v>
      </c>
      <c r="L170" s="24" t="n">
        <f aca="false">MAX(0,(G170-JongDeduct)*FairJong)</f>
        <v>3.07536375250944</v>
      </c>
      <c r="M170" s="44" t="n">
        <f aca="false">SUMPRODUCT((L170&gt;JLo)*(L170-JLo)*JD)</f>
        <v>0.0155275462675661</v>
      </c>
      <c r="N170" s="44" t="n">
        <f aca="false">M170*NongJong</f>
        <v>0.00310550925351322</v>
      </c>
      <c r="O170" s="45" t="n">
        <f aca="false">I170+J170+K170+M170+N170</f>
        <v>0.0747803107866378</v>
      </c>
    </row>
    <row r="171" customFormat="false" ht="15" hidden="false" customHeight="false" outlineLevel="0" collapsed="false">
      <c r="A171" s="20" t="n">
        <v>6</v>
      </c>
      <c r="B171" s="43" t="str">
        <f aca="false">INDEX(C_Name,A171)</f>
        <v>신길 보라매SK뷰 84.98㎡</v>
      </c>
      <c r="C171" s="20" t="n">
        <v>2</v>
      </c>
      <c r="D171" s="10" t="n">
        <f aca="false">CHOOSE(C171,GrowLo,GrowMid,GrowHi)</f>
        <v>0.04</v>
      </c>
      <c r="E171" s="20" t="n">
        <v>7</v>
      </c>
      <c r="F171" s="24" t="n">
        <f aca="false">INDEX(C_Price,A171)*(1+D171)^(E171-1)</f>
        <v>25.8125079773184</v>
      </c>
      <c r="G171" s="24" t="n">
        <f aca="false">F171*Gongsi</f>
        <v>17.8106305043497</v>
      </c>
      <c r="H171" s="24" t="n">
        <f aca="false">G171*FairProp</f>
        <v>10.6863783026098</v>
      </c>
      <c r="I171" s="44" t="n">
        <f aca="false">IF(G171&lt;=SpcLimit,SUMPRODUCT((H171&gt;SLo)*(H171-SLo)*SD),SUMPRODUCT((H171&gt;GLo)*(H171-GLo)*GD))</f>
        <v>0.0364455132104393</v>
      </c>
      <c r="J171" s="44" t="n">
        <f aca="false">H171*CityRate</f>
        <v>0.0149609296236537</v>
      </c>
      <c r="K171" s="44" t="n">
        <f aca="false">I171*EduProp</f>
        <v>0.00728910264208785</v>
      </c>
      <c r="L171" s="24" t="n">
        <f aca="false">MAX(0,(G171-JongDeduct)*FairJong)</f>
        <v>3.48637830260982</v>
      </c>
      <c r="M171" s="44" t="n">
        <f aca="false">SUMPRODUCT((L171&gt;JLo)*(L171-JLo)*JD)</f>
        <v>0.0184046481182687</v>
      </c>
      <c r="N171" s="44" t="n">
        <f aca="false">M171*NongJong</f>
        <v>0.00368092962365375</v>
      </c>
      <c r="O171" s="45" t="n">
        <f aca="false">I171+J171+K171+M171+N171</f>
        <v>0.0807811232181033</v>
      </c>
    </row>
    <row r="172" customFormat="false" ht="15" hidden="false" customHeight="false" outlineLevel="0" collapsed="false">
      <c r="A172" s="20" t="n">
        <v>6</v>
      </c>
      <c r="B172" s="43" t="str">
        <f aca="false">INDEX(C_Name,A172)</f>
        <v>신길 보라매SK뷰 84.98㎡</v>
      </c>
      <c r="C172" s="20" t="n">
        <v>2</v>
      </c>
      <c r="D172" s="10" t="n">
        <f aca="false">CHOOSE(C172,GrowLo,GrowMid,GrowHi)</f>
        <v>0.04</v>
      </c>
      <c r="E172" s="20" t="n">
        <v>8</v>
      </c>
      <c r="F172" s="24" t="n">
        <f aca="false">INDEX(C_Price,A172)*(1+D172)^(E172-1)</f>
        <v>26.8450082964111</v>
      </c>
      <c r="G172" s="24" t="n">
        <f aca="false">F172*Gongsi</f>
        <v>18.5230557245237</v>
      </c>
      <c r="H172" s="24" t="n">
        <f aca="false">G172*FairProp</f>
        <v>11.1138334347142</v>
      </c>
      <c r="I172" s="44" t="n">
        <f aca="false">IF(G172&lt;=SpcLimit,SUMPRODUCT((H172&gt;SLo)*(H172-SLo)*SD),SUMPRODUCT((H172&gt;GLo)*(H172-GLo)*GD))</f>
        <v>0.0381553337388568</v>
      </c>
      <c r="J172" s="44" t="n">
        <f aca="false">H172*CityRate</f>
        <v>0.0155593668085999</v>
      </c>
      <c r="K172" s="44" t="n">
        <f aca="false">I172*EduProp</f>
        <v>0.00763106674777137</v>
      </c>
      <c r="L172" s="24" t="n">
        <f aca="false">MAX(0,(G172-JongDeduct)*FairJong)</f>
        <v>3.91383343471421</v>
      </c>
      <c r="M172" s="44" t="n">
        <f aca="false">SUMPRODUCT((L172&gt;JLo)*(L172-JLo)*JD)</f>
        <v>0.0213968340429995</v>
      </c>
      <c r="N172" s="44" t="n">
        <f aca="false">M172*NongJong</f>
        <v>0.0042793668085999</v>
      </c>
      <c r="O172" s="45" t="n">
        <f aca="false">I172+J172+K172+M172+N172</f>
        <v>0.0870219681468275</v>
      </c>
    </row>
    <row r="173" customFormat="false" ht="15" hidden="false" customHeight="false" outlineLevel="0" collapsed="false">
      <c r="A173" s="20" t="n">
        <v>6</v>
      </c>
      <c r="B173" s="43" t="str">
        <f aca="false">INDEX(C_Name,A173)</f>
        <v>신길 보라매SK뷰 84.98㎡</v>
      </c>
      <c r="C173" s="20" t="n">
        <v>2</v>
      </c>
      <c r="D173" s="10" t="n">
        <f aca="false">CHOOSE(C173,GrowLo,GrowMid,GrowHi)</f>
        <v>0.04</v>
      </c>
      <c r="E173" s="20" t="n">
        <v>9</v>
      </c>
      <c r="F173" s="24" t="n">
        <f aca="false">INDEX(C_Price,A173)*(1+D173)^(E173-1)</f>
        <v>27.9188086282676</v>
      </c>
      <c r="G173" s="24" t="n">
        <f aca="false">F173*Gongsi</f>
        <v>19.2639779535046</v>
      </c>
      <c r="H173" s="24" t="n">
        <f aca="false">G173*FairProp</f>
        <v>11.5583867721028</v>
      </c>
      <c r="I173" s="44" t="n">
        <f aca="false">IF(G173&lt;=SpcLimit,SUMPRODUCT((H173&gt;SLo)*(H173-SLo)*SD),SUMPRODUCT((H173&gt;GLo)*(H173-GLo)*GD))</f>
        <v>0.0399335470884111</v>
      </c>
      <c r="J173" s="44" t="n">
        <f aca="false">H173*CityRate</f>
        <v>0.0161817414809439</v>
      </c>
      <c r="K173" s="44" t="n">
        <f aca="false">I173*EduProp</f>
        <v>0.00798670941768222</v>
      </c>
      <c r="L173" s="24" t="n">
        <f aca="false">MAX(0,(G173-JongDeduct)*FairJong)</f>
        <v>4.35838677210278</v>
      </c>
      <c r="M173" s="44" t="n">
        <f aca="false">SUMPRODUCT((L173&gt;JLo)*(L173-JLo)*JD)</f>
        <v>0.0245087074047195</v>
      </c>
      <c r="N173" s="44" t="n">
        <f aca="false">M173*NongJong</f>
        <v>0.00490174148094389</v>
      </c>
      <c r="O173" s="45" t="n">
        <f aca="false">I173+J173+K173+M173+N173</f>
        <v>0.0935124468727006</v>
      </c>
    </row>
    <row r="174" customFormat="false" ht="15" hidden="false" customHeight="false" outlineLevel="0" collapsed="false">
      <c r="A174" s="20" t="n">
        <v>6</v>
      </c>
      <c r="B174" s="43" t="str">
        <f aca="false">INDEX(C_Name,A174)</f>
        <v>신길 보라매SK뷰 84.98㎡</v>
      </c>
      <c r="C174" s="20" t="n">
        <v>2</v>
      </c>
      <c r="D174" s="10" t="n">
        <f aca="false">CHOOSE(C174,GrowLo,GrowMid,GrowHi)</f>
        <v>0.04</v>
      </c>
      <c r="E174" s="20" t="n">
        <v>10</v>
      </c>
      <c r="F174" s="24" t="n">
        <f aca="false">INDEX(C_Price,A174)*(1+D174)^(E174-1)</f>
        <v>29.0355609733983</v>
      </c>
      <c r="G174" s="24" t="n">
        <f aca="false">F174*Gongsi</f>
        <v>20.0345370716448</v>
      </c>
      <c r="H174" s="24" t="n">
        <f aca="false">G174*FairProp</f>
        <v>12.0207222429869</v>
      </c>
      <c r="I174" s="44" t="n">
        <f aca="false">IF(G174&lt;=SpcLimit,SUMPRODUCT((H174&gt;SLo)*(H174-SLo)*SD),SUMPRODUCT((H174&gt;GLo)*(H174-GLo)*GD))</f>
        <v>0.0417828889719476</v>
      </c>
      <c r="J174" s="44" t="n">
        <f aca="false">H174*CityRate</f>
        <v>0.0168290111401817</v>
      </c>
      <c r="K174" s="44" t="n">
        <f aca="false">I174*EduProp</f>
        <v>0.00835657779438952</v>
      </c>
      <c r="L174" s="24" t="n">
        <f aca="false">MAX(0,(G174-JongDeduct)*FairJong)</f>
        <v>4.82072224298689</v>
      </c>
      <c r="M174" s="44" t="n">
        <f aca="false">SUMPRODUCT((L174&gt;JLo)*(L174-JLo)*JD)</f>
        <v>0.0277450557009082</v>
      </c>
      <c r="N174" s="44" t="n">
        <f aca="false">M174*NongJong</f>
        <v>0.00554901114018165</v>
      </c>
      <c r="O174" s="45" t="n">
        <f aca="false">I174+J174+K174+M174+N174</f>
        <v>0.100262544747609</v>
      </c>
    </row>
    <row r="175" customFormat="false" ht="15" hidden="false" customHeight="false" outlineLevel="0" collapsed="false">
      <c r="A175" s="20" t="n">
        <v>6</v>
      </c>
      <c r="B175" s="43" t="str">
        <f aca="false">INDEX(C_Name,A175)</f>
        <v>신길 보라매SK뷰 84.98㎡</v>
      </c>
      <c r="C175" s="20" t="n">
        <v>3</v>
      </c>
      <c r="D175" s="10" t="n">
        <f aca="false">CHOOSE(C175,GrowLo,GrowMid,GrowHi)</f>
        <v>0.06</v>
      </c>
      <c r="E175" s="20" t="n">
        <v>1</v>
      </c>
      <c r="F175" s="24" t="n">
        <f aca="false">INDEX(C_Price,A175)*(1+D175)^(E175-1)</f>
        <v>20.4</v>
      </c>
      <c r="G175" s="24" t="n">
        <f aca="false">F175*Gongsi</f>
        <v>14.076</v>
      </c>
      <c r="H175" s="24" t="n">
        <f aca="false">G175*FairProp</f>
        <v>8.4456</v>
      </c>
      <c r="I175" s="44" t="n">
        <f aca="false">IF(G175&lt;=SpcLimit,SUMPRODUCT((H175&gt;SLo)*(H175-SLo)*SD),SUMPRODUCT((H175&gt;GLo)*(H175-GLo)*GD))</f>
        <v>0.0274824</v>
      </c>
      <c r="J175" s="44" t="n">
        <f aca="false">H175*CityRate</f>
        <v>0.01182384</v>
      </c>
      <c r="K175" s="44" t="n">
        <f aca="false">I175*EduProp</f>
        <v>0.00549648</v>
      </c>
      <c r="L175" s="24" t="n">
        <f aca="false">MAX(0,(G175-JongDeduct)*FairJong)</f>
        <v>1.2456</v>
      </c>
      <c r="M175" s="44" t="n">
        <f aca="false">SUMPRODUCT((L175&gt;JLo)*(L175-JLo)*JD)</f>
        <v>0.006228</v>
      </c>
      <c r="N175" s="44" t="n">
        <f aca="false">M175*NongJong</f>
        <v>0.0012456</v>
      </c>
      <c r="O175" s="45" t="n">
        <f aca="false">I175+J175+K175+M175+N175</f>
        <v>0.05227632</v>
      </c>
    </row>
    <row r="176" customFormat="false" ht="15" hidden="false" customHeight="false" outlineLevel="0" collapsed="false">
      <c r="A176" s="20" t="n">
        <v>6</v>
      </c>
      <c r="B176" s="43" t="str">
        <f aca="false">INDEX(C_Name,A176)</f>
        <v>신길 보라매SK뷰 84.98㎡</v>
      </c>
      <c r="C176" s="20" t="n">
        <v>3</v>
      </c>
      <c r="D176" s="10" t="n">
        <f aca="false">CHOOSE(C176,GrowLo,GrowMid,GrowHi)</f>
        <v>0.06</v>
      </c>
      <c r="E176" s="20" t="n">
        <v>2</v>
      </c>
      <c r="F176" s="24" t="n">
        <f aca="false">INDEX(C_Price,A176)*(1+D176)^(E176-1)</f>
        <v>21.624</v>
      </c>
      <c r="G176" s="24" t="n">
        <f aca="false">F176*Gongsi</f>
        <v>14.92056</v>
      </c>
      <c r="H176" s="24" t="n">
        <f aca="false">G176*FairProp</f>
        <v>8.952336</v>
      </c>
      <c r="I176" s="44" t="n">
        <f aca="false">IF(G176&lt;=SpcLimit,SUMPRODUCT((H176&gt;SLo)*(H176-SLo)*SD),SUMPRODUCT((H176&gt;GLo)*(H176-GLo)*GD))</f>
        <v>0.029509344</v>
      </c>
      <c r="J176" s="44" t="n">
        <f aca="false">H176*CityRate</f>
        <v>0.0125332704</v>
      </c>
      <c r="K176" s="44" t="n">
        <f aca="false">I176*EduProp</f>
        <v>0.0059018688</v>
      </c>
      <c r="L176" s="24" t="n">
        <f aca="false">MAX(0,(G176-JongDeduct)*FairJong)</f>
        <v>1.752336</v>
      </c>
      <c r="M176" s="44" t="n">
        <f aca="false">SUMPRODUCT((L176&gt;JLo)*(L176-JLo)*JD)</f>
        <v>0.00876168</v>
      </c>
      <c r="N176" s="44" t="n">
        <f aca="false">M176*NongJong</f>
        <v>0.001752336</v>
      </c>
      <c r="O176" s="45" t="n">
        <f aca="false">I176+J176+K176+M176+N176</f>
        <v>0.0584584992</v>
      </c>
    </row>
    <row r="177" customFormat="false" ht="15" hidden="false" customHeight="false" outlineLevel="0" collapsed="false">
      <c r="A177" s="20" t="n">
        <v>6</v>
      </c>
      <c r="B177" s="43" t="str">
        <f aca="false">INDEX(C_Name,A177)</f>
        <v>신길 보라매SK뷰 84.98㎡</v>
      </c>
      <c r="C177" s="20" t="n">
        <v>3</v>
      </c>
      <c r="D177" s="10" t="n">
        <f aca="false">CHOOSE(C177,GrowLo,GrowMid,GrowHi)</f>
        <v>0.06</v>
      </c>
      <c r="E177" s="20" t="n">
        <v>3</v>
      </c>
      <c r="F177" s="24" t="n">
        <f aca="false">INDEX(C_Price,A177)*(1+D177)^(E177-1)</f>
        <v>22.92144</v>
      </c>
      <c r="G177" s="24" t="n">
        <f aca="false">F177*Gongsi</f>
        <v>15.8157936</v>
      </c>
      <c r="H177" s="24" t="n">
        <f aca="false">G177*FairProp</f>
        <v>9.48947616</v>
      </c>
      <c r="I177" s="44" t="n">
        <f aca="false">IF(G177&lt;=SpcLimit,SUMPRODUCT((H177&gt;SLo)*(H177-SLo)*SD),SUMPRODUCT((H177&gt;GLo)*(H177-GLo)*GD))</f>
        <v>0.03165790464</v>
      </c>
      <c r="J177" s="44" t="n">
        <f aca="false">H177*CityRate</f>
        <v>0.013285266624</v>
      </c>
      <c r="K177" s="44" t="n">
        <f aca="false">I177*EduProp</f>
        <v>0.006331580928</v>
      </c>
      <c r="L177" s="24" t="n">
        <f aca="false">MAX(0,(G177-JongDeduct)*FairJong)</f>
        <v>2.28947616</v>
      </c>
      <c r="M177" s="44" t="n">
        <f aca="false">SUMPRODUCT((L177&gt;JLo)*(L177-JLo)*JD)</f>
        <v>0.0114473808</v>
      </c>
      <c r="N177" s="44" t="n">
        <f aca="false">M177*NongJong</f>
        <v>0.00228947616</v>
      </c>
      <c r="O177" s="45" t="n">
        <f aca="false">I177+J177+K177+M177+N177</f>
        <v>0.065011609152</v>
      </c>
    </row>
    <row r="178" customFormat="false" ht="15" hidden="false" customHeight="false" outlineLevel="0" collapsed="false">
      <c r="A178" s="20" t="n">
        <v>6</v>
      </c>
      <c r="B178" s="43" t="str">
        <f aca="false">INDEX(C_Name,A178)</f>
        <v>신길 보라매SK뷰 84.98㎡</v>
      </c>
      <c r="C178" s="20" t="n">
        <v>3</v>
      </c>
      <c r="D178" s="10" t="n">
        <f aca="false">CHOOSE(C178,GrowLo,GrowMid,GrowHi)</f>
        <v>0.06</v>
      </c>
      <c r="E178" s="20" t="n">
        <v>4</v>
      </c>
      <c r="F178" s="24" t="n">
        <f aca="false">INDEX(C_Price,A178)*(1+D178)^(E178-1)</f>
        <v>24.2967264</v>
      </c>
      <c r="G178" s="24" t="n">
        <f aca="false">F178*Gongsi</f>
        <v>16.764741216</v>
      </c>
      <c r="H178" s="24" t="n">
        <f aca="false">G178*FairProp</f>
        <v>10.0588447296</v>
      </c>
      <c r="I178" s="44" t="n">
        <f aca="false">IF(G178&lt;=SpcLimit,SUMPRODUCT((H178&gt;SLo)*(H178-SLo)*SD),SUMPRODUCT((H178&gt;GLo)*(H178-GLo)*GD))</f>
        <v>0.0339353789184</v>
      </c>
      <c r="J178" s="44" t="n">
        <f aca="false">H178*CityRate</f>
        <v>0.01408238262144</v>
      </c>
      <c r="K178" s="44" t="n">
        <f aca="false">I178*EduProp</f>
        <v>0.00678707578368</v>
      </c>
      <c r="L178" s="24" t="n">
        <f aca="false">MAX(0,(G178-JongDeduct)*FairJong)</f>
        <v>2.8588447296</v>
      </c>
      <c r="M178" s="44" t="n">
        <f aca="false">SUMPRODUCT((L178&gt;JLo)*(L178-JLo)*JD)</f>
        <v>0.014294223648</v>
      </c>
      <c r="N178" s="44" t="n">
        <f aca="false">M178*NongJong</f>
        <v>0.0028588447296</v>
      </c>
      <c r="O178" s="45" t="n">
        <f aca="false">I178+J178+K178+M178+N178</f>
        <v>0.07195790570112</v>
      </c>
    </row>
    <row r="179" customFormat="false" ht="15" hidden="false" customHeight="false" outlineLevel="0" collapsed="false">
      <c r="A179" s="20" t="n">
        <v>6</v>
      </c>
      <c r="B179" s="43" t="str">
        <f aca="false">INDEX(C_Name,A179)</f>
        <v>신길 보라매SK뷰 84.98㎡</v>
      </c>
      <c r="C179" s="20" t="n">
        <v>3</v>
      </c>
      <c r="D179" s="10" t="n">
        <f aca="false">CHOOSE(C179,GrowLo,GrowMid,GrowHi)</f>
        <v>0.06</v>
      </c>
      <c r="E179" s="20" t="n">
        <v>5</v>
      </c>
      <c r="F179" s="24" t="n">
        <f aca="false">INDEX(C_Price,A179)*(1+D179)^(E179-1)</f>
        <v>25.754529984</v>
      </c>
      <c r="G179" s="24" t="n">
        <f aca="false">F179*Gongsi</f>
        <v>17.77062568896</v>
      </c>
      <c r="H179" s="24" t="n">
        <f aca="false">G179*FairProp</f>
        <v>10.662375413376</v>
      </c>
      <c r="I179" s="44" t="n">
        <f aca="false">IF(G179&lt;=SpcLimit,SUMPRODUCT((H179&gt;SLo)*(H179-SLo)*SD),SUMPRODUCT((H179&gt;GLo)*(H179-GLo)*GD))</f>
        <v>0.036349501653504</v>
      </c>
      <c r="J179" s="44" t="n">
        <f aca="false">H179*CityRate</f>
        <v>0.0149273255787264</v>
      </c>
      <c r="K179" s="44" t="n">
        <f aca="false">I179*EduProp</f>
        <v>0.0072699003307008</v>
      </c>
      <c r="L179" s="24" t="n">
        <f aca="false">MAX(0,(G179-JongDeduct)*FairJong)</f>
        <v>3.462375413376</v>
      </c>
      <c r="M179" s="44" t="n">
        <f aca="false">SUMPRODUCT((L179&gt;JLo)*(L179-JLo)*JD)</f>
        <v>0.018236627893632</v>
      </c>
      <c r="N179" s="44" t="n">
        <f aca="false">M179*NongJong</f>
        <v>0.0036473255787264</v>
      </c>
      <c r="O179" s="45" t="n">
        <f aca="false">I179+J179+K179+M179+N179</f>
        <v>0.0804306810352896</v>
      </c>
    </row>
    <row r="180" customFormat="false" ht="15" hidden="false" customHeight="false" outlineLevel="0" collapsed="false">
      <c r="A180" s="20" t="n">
        <v>6</v>
      </c>
      <c r="B180" s="43" t="str">
        <f aca="false">INDEX(C_Name,A180)</f>
        <v>신길 보라매SK뷰 84.98㎡</v>
      </c>
      <c r="C180" s="20" t="n">
        <v>3</v>
      </c>
      <c r="D180" s="10" t="n">
        <f aca="false">CHOOSE(C180,GrowLo,GrowMid,GrowHi)</f>
        <v>0.06</v>
      </c>
      <c r="E180" s="20" t="n">
        <v>6</v>
      </c>
      <c r="F180" s="24" t="n">
        <f aca="false">INDEX(C_Price,A180)*(1+D180)^(E180-1)</f>
        <v>27.29980178304</v>
      </c>
      <c r="G180" s="24" t="n">
        <f aca="false">F180*Gongsi</f>
        <v>18.8368632302976</v>
      </c>
      <c r="H180" s="24" t="n">
        <f aca="false">G180*FairProp</f>
        <v>11.3021179381786</v>
      </c>
      <c r="I180" s="44" t="n">
        <f aca="false">IF(G180&lt;=SpcLimit,SUMPRODUCT((H180&gt;SLo)*(H180-SLo)*SD),SUMPRODUCT((H180&gt;GLo)*(H180-GLo)*GD))</f>
        <v>0.0389084717527142</v>
      </c>
      <c r="J180" s="44" t="n">
        <f aca="false">H180*CityRate</f>
        <v>0.01582296511345</v>
      </c>
      <c r="K180" s="44" t="n">
        <f aca="false">I180*EduProp</f>
        <v>0.00778169435054285</v>
      </c>
      <c r="L180" s="24" t="n">
        <f aca="false">MAX(0,(G180-JongDeduct)*FairJong)</f>
        <v>4.10211793817856</v>
      </c>
      <c r="M180" s="44" t="n">
        <f aca="false">SUMPRODUCT((L180&gt;JLo)*(L180-JLo)*JD)</f>
        <v>0.0227148255672499</v>
      </c>
      <c r="N180" s="44" t="n">
        <f aca="false">M180*NongJong</f>
        <v>0.00454296511344998</v>
      </c>
      <c r="O180" s="45" t="n">
        <f aca="false">I180+J180+K180+M180+N180</f>
        <v>0.089770921897407</v>
      </c>
    </row>
    <row r="181" customFormat="false" ht="15" hidden="false" customHeight="false" outlineLevel="0" collapsed="false">
      <c r="A181" s="20" t="n">
        <v>6</v>
      </c>
      <c r="B181" s="43" t="str">
        <f aca="false">INDEX(C_Name,A181)</f>
        <v>신길 보라매SK뷰 84.98㎡</v>
      </c>
      <c r="C181" s="20" t="n">
        <v>3</v>
      </c>
      <c r="D181" s="10" t="n">
        <f aca="false">CHOOSE(C181,GrowLo,GrowMid,GrowHi)</f>
        <v>0.06</v>
      </c>
      <c r="E181" s="20" t="n">
        <v>7</v>
      </c>
      <c r="F181" s="24" t="n">
        <f aca="false">INDEX(C_Price,A181)*(1+D181)^(E181-1)</f>
        <v>28.9377898900224</v>
      </c>
      <c r="G181" s="24" t="n">
        <f aca="false">F181*Gongsi</f>
        <v>19.9670750241155</v>
      </c>
      <c r="H181" s="24" t="n">
        <f aca="false">G181*FairProp</f>
        <v>11.9802450144693</v>
      </c>
      <c r="I181" s="44" t="n">
        <f aca="false">IF(G181&lt;=SpcLimit,SUMPRODUCT((H181&gt;SLo)*(H181-SLo)*SD),SUMPRODUCT((H181&gt;GLo)*(H181-GLo)*GD))</f>
        <v>0.0416209800578771</v>
      </c>
      <c r="J181" s="44" t="n">
        <f aca="false">H181*CityRate</f>
        <v>0.016772343020257</v>
      </c>
      <c r="K181" s="44" t="n">
        <f aca="false">I181*EduProp</f>
        <v>0.00832419601157542</v>
      </c>
      <c r="L181" s="24" t="n">
        <f aca="false">MAX(0,(G181-JongDeduct)*FairJong)</f>
        <v>4.78024501446928</v>
      </c>
      <c r="M181" s="44" t="n">
        <f aca="false">SUMPRODUCT((L181&gt;JLo)*(L181-JLo)*JD)</f>
        <v>0.0274617151012849</v>
      </c>
      <c r="N181" s="44" t="n">
        <f aca="false">M181*NongJong</f>
        <v>0.00549234302025699</v>
      </c>
      <c r="O181" s="45" t="n">
        <f aca="false">I181+J181+K181+M181+N181</f>
        <v>0.0996715772112514</v>
      </c>
    </row>
    <row r="182" customFormat="false" ht="15" hidden="false" customHeight="false" outlineLevel="0" collapsed="false">
      <c r="A182" s="20" t="n">
        <v>6</v>
      </c>
      <c r="B182" s="43" t="str">
        <f aca="false">INDEX(C_Name,A182)</f>
        <v>신길 보라매SK뷰 84.98㎡</v>
      </c>
      <c r="C182" s="20" t="n">
        <v>3</v>
      </c>
      <c r="D182" s="10" t="n">
        <f aca="false">CHOOSE(C182,GrowLo,GrowMid,GrowHi)</f>
        <v>0.06</v>
      </c>
      <c r="E182" s="20" t="n">
        <v>8</v>
      </c>
      <c r="F182" s="24" t="n">
        <f aca="false">INDEX(C_Price,A182)*(1+D182)^(E182-1)</f>
        <v>30.6740572834238</v>
      </c>
      <c r="G182" s="24" t="n">
        <f aca="false">F182*Gongsi</f>
        <v>21.1650995255624</v>
      </c>
      <c r="H182" s="24" t="n">
        <f aca="false">G182*FairProp</f>
        <v>12.6990597153374</v>
      </c>
      <c r="I182" s="44" t="n">
        <f aca="false">IF(G182&lt;=SpcLimit,SUMPRODUCT((H182&gt;SLo)*(H182-SLo)*SD),SUMPRODUCT((H182&gt;GLo)*(H182-GLo)*GD))</f>
        <v>0.0444962388613497</v>
      </c>
      <c r="J182" s="44" t="n">
        <f aca="false">H182*CityRate</f>
        <v>0.0177786836014724</v>
      </c>
      <c r="K182" s="44" t="n">
        <f aca="false">I182*EduProp</f>
        <v>0.00889924777226995</v>
      </c>
      <c r="L182" s="24" t="n">
        <f aca="false">MAX(0,(G182-JongDeduct)*FairJong)</f>
        <v>5.49905971533743</v>
      </c>
      <c r="M182" s="44" t="n">
        <f aca="false">SUMPRODUCT((L182&gt;JLo)*(L182-JLo)*JD)</f>
        <v>0.032493418007362</v>
      </c>
      <c r="N182" s="44" t="n">
        <f aca="false">M182*NongJong</f>
        <v>0.00649868360147241</v>
      </c>
      <c r="O182" s="45" t="n">
        <f aca="false">I182+J182+K182+M182+N182</f>
        <v>0.110166271843927</v>
      </c>
    </row>
    <row r="183" customFormat="false" ht="15" hidden="false" customHeight="false" outlineLevel="0" collapsed="false">
      <c r="A183" s="20" t="n">
        <v>6</v>
      </c>
      <c r="B183" s="43" t="str">
        <f aca="false">INDEX(C_Name,A183)</f>
        <v>신길 보라매SK뷰 84.98㎡</v>
      </c>
      <c r="C183" s="20" t="n">
        <v>3</v>
      </c>
      <c r="D183" s="10" t="n">
        <f aca="false">CHOOSE(C183,GrowLo,GrowMid,GrowHi)</f>
        <v>0.06</v>
      </c>
      <c r="E183" s="20" t="n">
        <v>9</v>
      </c>
      <c r="F183" s="24" t="n">
        <f aca="false">INDEX(C_Price,A183)*(1+D183)^(E183-1)</f>
        <v>32.5145007204292</v>
      </c>
      <c r="G183" s="24" t="n">
        <f aca="false">F183*Gongsi</f>
        <v>22.4350054970961</v>
      </c>
      <c r="H183" s="24" t="n">
        <f aca="false">G183*FairProp</f>
        <v>13.4610032982577</v>
      </c>
      <c r="I183" s="44" t="n">
        <f aca="false">IF(G183&lt;=SpcLimit,SUMPRODUCT((H183&gt;SLo)*(H183-SLo)*SD),SUMPRODUCT((H183&gt;GLo)*(H183-GLo)*GD))</f>
        <v>0.0475440131930307</v>
      </c>
      <c r="J183" s="44" t="n">
        <f aca="false">H183*CityRate</f>
        <v>0.0188454046175608</v>
      </c>
      <c r="K183" s="44" t="n">
        <f aca="false">I183*EduProp</f>
        <v>0.00950880263860615</v>
      </c>
      <c r="L183" s="24" t="n">
        <f aca="false">MAX(0,(G183-JongDeduct)*FairJong)</f>
        <v>6.26100329825768</v>
      </c>
      <c r="M183" s="44" t="n">
        <f aca="false">SUMPRODUCT((L183&gt;JLo)*(L183-JLo)*JD)</f>
        <v>0.0386100329825768</v>
      </c>
      <c r="N183" s="44" t="n">
        <f aca="false">M183*NongJong</f>
        <v>0.00772200659651536</v>
      </c>
      <c r="O183" s="45" t="n">
        <f aca="false">I183+J183+K183+M183+N183</f>
        <v>0.12223026002829</v>
      </c>
    </row>
    <row r="184" customFormat="false" ht="15" hidden="false" customHeight="false" outlineLevel="0" collapsed="false">
      <c r="A184" s="20" t="n">
        <v>6</v>
      </c>
      <c r="B184" s="43" t="str">
        <f aca="false">INDEX(C_Name,A184)</f>
        <v>신길 보라매SK뷰 84.98㎡</v>
      </c>
      <c r="C184" s="20" t="n">
        <v>3</v>
      </c>
      <c r="D184" s="10" t="n">
        <f aca="false">CHOOSE(C184,GrowLo,GrowMid,GrowHi)</f>
        <v>0.06</v>
      </c>
      <c r="E184" s="20" t="n">
        <v>10</v>
      </c>
      <c r="F184" s="24" t="n">
        <f aca="false">INDEX(C_Price,A184)*(1+D184)^(E184-1)</f>
        <v>34.4653707636549</v>
      </c>
      <c r="G184" s="24" t="n">
        <f aca="false">F184*Gongsi</f>
        <v>23.7811058269219</v>
      </c>
      <c r="H184" s="24" t="n">
        <f aca="false">G184*FairProp</f>
        <v>14.2686634961531</v>
      </c>
      <c r="I184" s="44" t="n">
        <f aca="false">IF(G184&lt;=SpcLimit,SUMPRODUCT((H184&gt;SLo)*(H184-SLo)*SD),SUMPRODUCT((H184&gt;GLo)*(H184-GLo)*GD))</f>
        <v>0.0507746539846126</v>
      </c>
      <c r="J184" s="44" t="n">
        <f aca="false">H184*CityRate</f>
        <v>0.0199761288946144</v>
      </c>
      <c r="K184" s="44" t="n">
        <f aca="false">I184*EduProp</f>
        <v>0.0101549307969225</v>
      </c>
      <c r="L184" s="24" t="n">
        <f aca="false">MAX(0,(G184-JongDeduct)*FairJong)</f>
        <v>7.06866349615314</v>
      </c>
      <c r="M184" s="44" t="n">
        <f aca="false">SUMPRODUCT((L184&gt;JLo)*(L184-JLo)*JD)</f>
        <v>0.0466866349615314</v>
      </c>
      <c r="N184" s="44" t="n">
        <f aca="false">M184*NongJong</f>
        <v>0.00933732699230628</v>
      </c>
      <c r="O184" s="45" t="n">
        <f aca="false">I184+J184+K184+M184+N184</f>
        <v>0.136929675629987</v>
      </c>
    </row>
    <row r="185" customFormat="false" ht="15" hidden="false" customHeight="false" outlineLevel="0" collapsed="false">
      <c r="A185" s="20" t="n">
        <v>7</v>
      </c>
      <c r="B185" s="43" t="str">
        <f aca="false">INDEX(C_Name,A185)</f>
        <v>노량진동 쌍용예가 85㎡</v>
      </c>
      <c r="C185" s="20" t="n">
        <v>1</v>
      </c>
      <c r="D185" s="10" t="n">
        <f aca="false">CHOOSE(C185,GrowLo,GrowMid,GrowHi)</f>
        <v>0.02</v>
      </c>
      <c r="E185" s="20" t="n">
        <v>1</v>
      </c>
      <c r="F185" s="24" t="n">
        <f aca="false">INDEX(C_Price,A185)*(1+D185)^(E185-1)</f>
        <v>14.5</v>
      </c>
      <c r="G185" s="24" t="n">
        <f aca="false">F185*Gongsi</f>
        <v>10.005</v>
      </c>
      <c r="H185" s="24" t="n">
        <f aca="false">G185*FairProp</f>
        <v>6.003</v>
      </c>
      <c r="I185" s="44" t="n">
        <f aca="false">IF(G185&lt;=SpcLimit,SUMPRODUCT((H185&gt;SLo)*(H185-SLo)*SD),SUMPRODUCT((H185&gt;GLo)*(H185-GLo)*GD))</f>
        <v>0.017712</v>
      </c>
      <c r="J185" s="44" t="n">
        <f aca="false">H185*CityRate</f>
        <v>0.0084042</v>
      </c>
      <c r="K185" s="44" t="n">
        <f aca="false">I185*EduProp</f>
        <v>0.0035424</v>
      </c>
      <c r="L185" s="24" t="n">
        <f aca="false">MAX(0,(G185-JongDeduct)*FairJong)</f>
        <v>0</v>
      </c>
      <c r="M185" s="44" t="n">
        <f aca="false">SUMPRODUCT((L185&gt;JLo)*(L185-JLo)*JD)</f>
        <v>0</v>
      </c>
      <c r="N185" s="44" t="n">
        <f aca="false">M185*NongJong</f>
        <v>0</v>
      </c>
      <c r="O185" s="45" t="n">
        <f aca="false">I185+J185+K185+M185+N185</f>
        <v>0.0296586</v>
      </c>
    </row>
    <row r="186" customFormat="false" ht="15" hidden="false" customHeight="false" outlineLevel="0" collapsed="false">
      <c r="A186" s="20" t="n">
        <v>7</v>
      </c>
      <c r="B186" s="43" t="str">
        <f aca="false">INDEX(C_Name,A186)</f>
        <v>노량진동 쌍용예가 85㎡</v>
      </c>
      <c r="C186" s="20" t="n">
        <v>1</v>
      </c>
      <c r="D186" s="10" t="n">
        <f aca="false">CHOOSE(C186,GrowLo,GrowMid,GrowHi)</f>
        <v>0.02</v>
      </c>
      <c r="E186" s="20" t="n">
        <v>2</v>
      </c>
      <c r="F186" s="24" t="n">
        <f aca="false">INDEX(C_Price,A186)*(1+D186)^(E186-1)</f>
        <v>14.79</v>
      </c>
      <c r="G186" s="24" t="n">
        <f aca="false">F186*Gongsi</f>
        <v>10.2051</v>
      </c>
      <c r="H186" s="24" t="n">
        <f aca="false">G186*FairProp</f>
        <v>6.12306</v>
      </c>
      <c r="I186" s="44" t="n">
        <f aca="false">IF(G186&lt;=SpcLimit,SUMPRODUCT((H186&gt;SLo)*(H186-SLo)*SD),SUMPRODUCT((H186&gt;GLo)*(H186-GLo)*GD))</f>
        <v>0.01819224</v>
      </c>
      <c r="J186" s="44" t="n">
        <f aca="false">H186*CityRate</f>
        <v>0.008572284</v>
      </c>
      <c r="K186" s="44" t="n">
        <f aca="false">I186*EduProp</f>
        <v>0.003638448</v>
      </c>
      <c r="L186" s="24" t="n">
        <f aca="false">MAX(0,(G186-JongDeduct)*FairJong)</f>
        <v>0</v>
      </c>
      <c r="M186" s="44" t="n">
        <f aca="false">SUMPRODUCT((L186&gt;JLo)*(L186-JLo)*JD)</f>
        <v>0</v>
      </c>
      <c r="N186" s="44" t="n">
        <f aca="false">M186*NongJong</f>
        <v>0</v>
      </c>
      <c r="O186" s="45" t="n">
        <f aca="false">I186+J186+K186+M186+N186</f>
        <v>0.030402972</v>
      </c>
    </row>
    <row r="187" customFormat="false" ht="15" hidden="false" customHeight="false" outlineLevel="0" collapsed="false">
      <c r="A187" s="20" t="n">
        <v>7</v>
      </c>
      <c r="B187" s="43" t="str">
        <f aca="false">INDEX(C_Name,A187)</f>
        <v>노량진동 쌍용예가 85㎡</v>
      </c>
      <c r="C187" s="20" t="n">
        <v>1</v>
      </c>
      <c r="D187" s="10" t="n">
        <f aca="false">CHOOSE(C187,GrowLo,GrowMid,GrowHi)</f>
        <v>0.02</v>
      </c>
      <c r="E187" s="20" t="n">
        <v>3</v>
      </c>
      <c r="F187" s="24" t="n">
        <f aca="false">INDEX(C_Price,A187)*(1+D187)^(E187-1)</f>
        <v>15.0858</v>
      </c>
      <c r="G187" s="24" t="n">
        <f aca="false">F187*Gongsi</f>
        <v>10.409202</v>
      </c>
      <c r="H187" s="24" t="n">
        <f aca="false">G187*FairProp</f>
        <v>6.2455212</v>
      </c>
      <c r="I187" s="44" t="n">
        <f aca="false">IF(G187&lt;=SpcLimit,SUMPRODUCT((H187&gt;SLo)*(H187-SLo)*SD),SUMPRODUCT((H187&gt;GLo)*(H187-GLo)*GD))</f>
        <v>0.0186820848</v>
      </c>
      <c r="J187" s="44" t="n">
        <f aca="false">H187*CityRate</f>
        <v>0.00874372968</v>
      </c>
      <c r="K187" s="44" t="n">
        <f aca="false">I187*EduProp</f>
        <v>0.00373641696</v>
      </c>
      <c r="L187" s="24" t="n">
        <f aca="false">MAX(0,(G187-JongDeduct)*FairJong)</f>
        <v>0</v>
      </c>
      <c r="M187" s="44" t="n">
        <f aca="false">SUMPRODUCT((L187&gt;JLo)*(L187-JLo)*JD)</f>
        <v>0</v>
      </c>
      <c r="N187" s="44" t="n">
        <f aca="false">M187*NongJong</f>
        <v>0</v>
      </c>
      <c r="O187" s="45" t="n">
        <f aca="false">I187+J187+K187+M187+N187</f>
        <v>0.03116223144</v>
      </c>
    </row>
    <row r="188" customFormat="false" ht="15" hidden="false" customHeight="false" outlineLevel="0" collapsed="false">
      <c r="A188" s="20" t="n">
        <v>7</v>
      </c>
      <c r="B188" s="43" t="str">
        <f aca="false">INDEX(C_Name,A188)</f>
        <v>노량진동 쌍용예가 85㎡</v>
      </c>
      <c r="C188" s="20" t="n">
        <v>1</v>
      </c>
      <c r="D188" s="10" t="n">
        <f aca="false">CHOOSE(C188,GrowLo,GrowMid,GrowHi)</f>
        <v>0.02</v>
      </c>
      <c r="E188" s="20" t="n">
        <v>4</v>
      </c>
      <c r="F188" s="24" t="n">
        <f aca="false">INDEX(C_Price,A188)*(1+D188)^(E188-1)</f>
        <v>15.387516</v>
      </c>
      <c r="G188" s="24" t="n">
        <f aca="false">F188*Gongsi</f>
        <v>10.61738604</v>
      </c>
      <c r="H188" s="24" t="n">
        <f aca="false">G188*FairProp</f>
        <v>6.370431624</v>
      </c>
      <c r="I188" s="44" t="n">
        <f aca="false">IF(G188&lt;=SpcLimit,SUMPRODUCT((H188&gt;SLo)*(H188-SLo)*SD),SUMPRODUCT((H188&gt;GLo)*(H188-GLo)*GD))</f>
        <v>0.019181726496</v>
      </c>
      <c r="J188" s="44" t="n">
        <f aca="false">H188*CityRate</f>
        <v>0.0089186042736</v>
      </c>
      <c r="K188" s="44" t="n">
        <f aca="false">I188*EduProp</f>
        <v>0.0038363452992</v>
      </c>
      <c r="L188" s="24" t="n">
        <f aca="false">MAX(0,(G188-JongDeduct)*FairJong)</f>
        <v>0</v>
      </c>
      <c r="M188" s="44" t="n">
        <f aca="false">SUMPRODUCT((L188&gt;JLo)*(L188-JLo)*JD)</f>
        <v>0</v>
      </c>
      <c r="N188" s="44" t="n">
        <f aca="false">M188*NongJong</f>
        <v>0</v>
      </c>
      <c r="O188" s="45" t="n">
        <f aca="false">I188+J188+K188+M188+N188</f>
        <v>0.0319366760688</v>
      </c>
    </row>
    <row r="189" customFormat="false" ht="15" hidden="false" customHeight="false" outlineLevel="0" collapsed="false">
      <c r="A189" s="20" t="n">
        <v>7</v>
      </c>
      <c r="B189" s="43" t="str">
        <f aca="false">INDEX(C_Name,A189)</f>
        <v>노량진동 쌍용예가 85㎡</v>
      </c>
      <c r="C189" s="20" t="n">
        <v>1</v>
      </c>
      <c r="D189" s="10" t="n">
        <f aca="false">CHOOSE(C189,GrowLo,GrowMid,GrowHi)</f>
        <v>0.02</v>
      </c>
      <c r="E189" s="20" t="n">
        <v>5</v>
      </c>
      <c r="F189" s="24" t="n">
        <f aca="false">INDEX(C_Price,A189)*(1+D189)^(E189-1)</f>
        <v>15.69526632</v>
      </c>
      <c r="G189" s="24" t="n">
        <f aca="false">F189*Gongsi</f>
        <v>10.8297337608</v>
      </c>
      <c r="H189" s="24" t="n">
        <f aca="false">G189*FairProp</f>
        <v>6.49784025648</v>
      </c>
      <c r="I189" s="44" t="n">
        <f aca="false">IF(G189&lt;=SpcLimit,SUMPRODUCT((H189&gt;SLo)*(H189-SLo)*SD),SUMPRODUCT((H189&gt;GLo)*(H189-GLo)*GD))</f>
        <v>0.01969136102592</v>
      </c>
      <c r="J189" s="44" t="n">
        <f aca="false">H189*CityRate</f>
        <v>0.009096976359072</v>
      </c>
      <c r="K189" s="44" t="n">
        <f aca="false">I189*EduProp</f>
        <v>0.003938272205184</v>
      </c>
      <c r="L189" s="24" t="n">
        <f aca="false">MAX(0,(G189-JongDeduct)*FairJong)</f>
        <v>0</v>
      </c>
      <c r="M189" s="44" t="n">
        <f aca="false">SUMPRODUCT((L189&gt;JLo)*(L189-JLo)*JD)</f>
        <v>0</v>
      </c>
      <c r="N189" s="44" t="n">
        <f aca="false">M189*NongJong</f>
        <v>0</v>
      </c>
      <c r="O189" s="45" t="n">
        <f aca="false">I189+J189+K189+M189+N189</f>
        <v>0.032726609590176</v>
      </c>
    </row>
    <row r="190" customFormat="false" ht="15" hidden="false" customHeight="false" outlineLevel="0" collapsed="false">
      <c r="A190" s="20" t="n">
        <v>7</v>
      </c>
      <c r="B190" s="43" t="str">
        <f aca="false">INDEX(C_Name,A190)</f>
        <v>노량진동 쌍용예가 85㎡</v>
      </c>
      <c r="C190" s="20" t="n">
        <v>1</v>
      </c>
      <c r="D190" s="10" t="n">
        <f aca="false">CHOOSE(C190,GrowLo,GrowMid,GrowHi)</f>
        <v>0.02</v>
      </c>
      <c r="E190" s="20" t="n">
        <v>6</v>
      </c>
      <c r="F190" s="24" t="n">
        <f aca="false">INDEX(C_Price,A190)*(1+D190)^(E190-1)</f>
        <v>16.0091716464</v>
      </c>
      <c r="G190" s="24" t="n">
        <f aca="false">F190*Gongsi</f>
        <v>11.046328436016</v>
      </c>
      <c r="H190" s="24" t="n">
        <f aca="false">G190*FairProp</f>
        <v>6.6277970616096</v>
      </c>
      <c r="I190" s="44" t="n">
        <f aca="false">IF(G190&lt;=SpcLimit,SUMPRODUCT((H190&gt;SLo)*(H190-SLo)*SD),SUMPRODUCT((H190&gt;GLo)*(H190-GLo)*GD))</f>
        <v>0.0202111882464384</v>
      </c>
      <c r="J190" s="44" t="n">
        <f aca="false">H190*CityRate</f>
        <v>0.00927891588625344</v>
      </c>
      <c r="K190" s="44" t="n">
        <f aca="false">I190*EduProp</f>
        <v>0.00404223764928768</v>
      </c>
      <c r="L190" s="24" t="n">
        <f aca="false">MAX(0,(G190-JongDeduct)*FairJong)</f>
        <v>0</v>
      </c>
      <c r="M190" s="44" t="n">
        <f aca="false">SUMPRODUCT((L190&gt;JLo)*(L190-JLo)*JD)</f>
        <v>0</v>
      </c>
      <c r="N190" s="44" t="n">
        <f aca="false">M190*NongJong</f>
        <v>0</v>
      </c>
      <c r="O190" s="45" t="n">
        <f aca="false">I190+J190+K190+M190+N190</f>
        <v>0.0335323417819795</v>
      </c>
    </row>
    <row r="191" customFormat="false" ht="15" hidden="false" customHeight="false" outlineLevel="0" collapsed="false">
      <c r="A191" s="20" t="n">
        <v>7</v>
      </c>
      <c r="B191" s="43" t="str">
        <f aca="false">INDEX(C_Name,A191)</f>
        <v>노량진동 쌍용예가 85㎡</v>
      </c>
      <c r="C191" s="20" t="n">
        <v>1</v>
      </c>
      <c r="D191" s="10" t="n">
        <f aca="false">CHOOSE(C191,GrowLo,GrowMid,GrowHi)</f>
        <v>0.02</v>
      </c>
      <c r="E191" s="20" t="n">
        <v>7</v>
      </c>
      <c r="F191" s="24" t="n">
        <f aca="false">INDEX(C_Price,A191)*(1+D191)^(E191-1)</f>
        <v>16.329355079328</v>
      </c>
      <c r="G191" s="24" t="n">
        <f aca="false">F191*Gongsi</f>
        <v>11.2672550047363</v>
      </c>
      <c r="H191" s="24" t="n">
        <f aca="false">G191*FairProp</f>
        <v>6.76035300284179</v>
      </c>
      <c r="I191" s="44" t="n">
        <f aca="false">IF(G191&lt;=SpcLimit,SUMPRODUCT((H191&gt;SLo)*(H191-SLo)*SD),SUMPRODUCT((H191&gt;GLo)*(H191-GLo)*GD))</f>
        <v>0.0207414120113672</v>
      </c>
      <c r="J191" s="44" t="n">
        <f aca="false">H191*CityRate</f>
        <v>0.00946449420397851</v>
      </c>
      <c r="K191" s="44" t="n">
        <f aca="false">I191*EduProp</f>
        <v>0.00414828240227343</v>
      </c>
      <c r="L191" s="24" t="n">
        <f aca="false">MAX(0,(G191-JongDeduct)*FairJong)</f>
        <v>0</v>
      </c>
      <c r="M191" s="44" t="n">
        <f aca="false">SUMPRODUCT((L191&gt;JLo)*(L191-JLo)*JD)</f>
        <v>0</v>
      </c>
      <c r="N191" s="44" t="n">
        <f aca="false">M191*NongJong</f>
        <v>0</v>
      </c>
      <c r="O191" s="45" t="n">
        <f aca="false">I191+J191+K191+M191+N191</f>
        <v>0.0343541886176191</v>
      </c>
    </row>
    <row r="192" customFormat="false" ht="15" hidden="false" customHeight="false" outlineLevel="0" collapsed="false">
      <c r="A192" s="20" t="n">
        <v>7</v>
      </c>
      <c r="B192" s="43" t="str">
        <f aca="false">INDEX(C_Name,A192)</f>
        <v>노량진동 쌍용예가 85㎡</v>
      </c>
      <c r="C192" s="20" t="n">
        <v>1</v>
      </c>
      <c r="D192" s="10" t="n">
        <f aca="false">CHOOSE(C192,GrowLo,GrowMid,GrowHi)</f>
        <v>0.02</v>
      </c>
      <c r="E192" s="20" t="n">
        <v>8</v>
      </c>
      <c r="F192" s="24" t="n">
        <f aca="false">INDEX(C_Price,A192)*(1+D192)^(E192-1)</f>
        <v>16.6559421809146</v>
      </c>
      <c r="G192" s="24" t="n">
        <f aca="false">F192*Gongsi</f>
        <v>11.492600104831</v>
      </c>
      <c r="H192" s="24" t="n">
        <f aca="false">G192*FairProp</f>
        <v>6.89556006289863</v>
      </c>
      <c r="I192" s="44" t="n">
        <f aca="false">IF(G192&lt;=SpcLimit,SUMPRODUCT((H192&gt;SLo)*(H192-SLo)*SD),SUMPRODUCT((H192&gt;GLo)*(H192-GLo)*GD))</f>
        <v>0.0212822402515945</v>
      </c>
      <c r="J192" s="44" t="n">
        <f aca="false">H192*CityRate</f>
        <v>0.00965378408805808</v>
      </c>
      <c r="K192" s="44" t="n">
        <f aca="false">I192*EduProp</f>
        <v>0.0042564480503189</v>
      </c>
      <c r="L192" s="24" t="n">
        <f aca="false">MAX(0,(G192-JongDeduct)*FairJong)</f>
        <v>0</v>
      </c>
      <c r="M192" s="44" t="n">
        <f aca="false">SUMPRODUCT((L192&gt;JLo)*(L192-JLo)*JD)</f>
        <v>0</v>
      </c>
      <c r="N192" s="44" t="n">
        <f aca="false">M192*NongJong</f>
        <v>0</v>
      </c>
      <c r="O192" s="45" t="n">
        <f aca="false">I192+J192+K192+M192+N192</f>
        <v>0.0351924723899715</v>
      </c>
    </row>
    <row r="193" customFormat="false" ht="15" hidden="false" customHeight="false" outlineLevel="0" collapsed="false">
      <c r="A193" s="20" t="n">
        <v>7</v>
      </c>
      <c r="B193" s="43" t="str">
        <f aca="false">INDEX(C_Name,A193)</f>
        <v>노량진동 쌍용예가 85㎡</v>
      </c>
      <c r="C193" s="20" t="n">
        <v>1</v>
      </c>
      <c r="D193" s="10" t="n">
        <f aca="false">CHOOSE(C193,GrowLo,GrowMid,GrowHi)</f>
        <v>0.02</v>
      </c>
      <c r="E193" s="20" t="n">
        <v>9</v>
      </c>
      <c r="F193" s="24" t="n">
        <f aca="false">INDEX(C_Price,A193)*(1+D193)^(E193-1)</f>
        <v>16.9890610245329</v>
      </c>
      <c r="G193" s="24" t="n">
        <f aca="false">F193*Gongsi</f>
        <v>11.7224521069277</v>
      </c>
      <c r="H193" s="24" t="n">
        <f aca="false">G193*FairProp</f>
        <v>7.0334712641566</v>
      </c>
      <c r="I193" s="44" t="n">
        <f aca="false">IF(G193&lt;=SpcLimit,SUMPRODUCT((H193&gt;SLo)*(H193-SLo)*SD),SUMPRODUCT((H193&gt;GLo)*(H193-GLo)*GD))</f>
        <v>0.0218338850566264</v>
      </c>
      <c r="J193" s="44" t="n">
        <f aca="false">H193*CityRate</f>
        <v>0.00984685976981924</v>
      </c>
      <c r="K193" s="44" t="n">
        <f aca="false">I193*EduProp</f>
        <v>0.00436677701132528</v>
      </c>
      <c r="L193" s="24" t="n">
        <f aca="false">MAX(0,(G193-JongDeduct)*FairJong)</f>
        <v>0</v>
      </c>
      <c r="M193" s="44" t="n">
        <f aca="false">SUMPRODUCT((L193&gt;JLo)*(L193-JLo)*JD)</f>
        <v>0</v>
      </c>
      <c r="N193" s="44" t="n">
        <f aca="false">M193*NongJong</f>
        <v>0</v>
      </c>
      <c r="O193" s="45" t="n">
        <f aca="false">I193+J193+K193+M193+N193</f>
        <v>0.0360475218377709</v>
      </c>
    </row>
    <row r="194" customFormat="false" ht="15" hidden="false" customHeight="false" outlineLevel="0" collapsed="false">
      <c r="A194" s="20" t="n">
        <v>7</v>
      </c>
      <c r="B194" s="43" t="str">
        <f aca="false">INDEX(C_Name,A194)</f>
        <v>노량진동 쌍용예가 85㎡</v>
      </c>
      <c r="C194" s="20" t="n">
        <v>1</v>
      </c>
      <c r="D194" s="10" t="n">
        <f aca="false">CHOOSE(C194,GrowLo,GrowMid,GrowHi)</f>
        <v>0.02</v>
      </c>
      <c r="E194" s="20" t="n">
        <v>10</v>
      </c>
      <c r="F194" s="24" t="n">
        <f aca="false">INDEX(C_Price,A194)*(1+D194)^(E194-1)</f>
        <v>17.3288422450235</v>
      </c>
      <c r="G194" s="24" t="n">
        <f aca="false">F194*Gongsi</f>
        <v>11.9569011490662</v>
      </c>
      <c r="H194" s="24" t="n">
        <f aca="false">G194*FairProp</f>
        <v>7.17414068943973</v>
      </c>
      <c r="I194" s="44" t="n">
        <f aca="false">IF(G194&lt;=SpcLimit,SUMPRODUCT((H194&gt;SLo)*(H194-SLo)*SD),SUMPRODUCT((H194&gt;GLo)*(H194-GLo)*GD))</f>
        <v>0.0223965627577589</v>
      </c>
      <c r="J194" s="44" t="n">
        <f aca="false">H194*CityRate</f>
        <v>0.0100437969652156</v>
      </c>
      <c r="K194" s="44" t="n">
        <f aca="false">I194*EduProp</f>
        <v>0.00447931255155179</v>
      </c>
      <c r="L194" s="24" t="n">
        <f aca="false">MAX(0,(G194-JongDeduct)*FairJong)</f>
        <v>0</v>
      </c>
      <c r="M194" s="44" t="n">
        <f aca="false">SUMPRODUCT((L194&gt;JLo)*(L194-JLo)*JD)</f>
        <v>0</v>
      </c>
      <c r="N194" s="44" t="n">
        <f aca="false">M194*NongJong</f>
        <v>0</v>
      </c>
      <c r="O194" s="45" t="n">
        <f aca="false">I194+J194+K194+M194+N194</f>
        <v>0.0369196722745264</v>
      </c>
    </row>
    <row r="195" customFormat="false" ht="15" hidden="false" customHeight="false" outlineLevel="0" collapsed="false">
      <c r="A195" s="20" t="n">
        <v>7</v>
      </c>
      <c r="B195" s="43" t="str">
        <f aca="false">INDEX(C_Name,A195)</f>
        <v>노량진동 쌍용예가 85㎡</v>
      </c>
      <c r="C195" s="20" t="n">
        <v>2</v>
      </c>
      <c r="D195" s="10" t="n">
        <f aca="false">CHOOSE(C195,GrowLo,GrowMid,GrowHi)</f>
        <v>0.04</v>
      </c>
      <c r="E195" s="20" t="n">
        <v>1</v>
      </c>
      <c r="F195" s="24" t="n">
        <f aca="false">INDEX(C_Price,A195)*(1+D195)^(E195-1)</f>
        <v>14.5</v>
      </c>
      <c r="G195" s="24" t="n">
        <f aca="false">F195*Gongsi</f>
        <v>10.005</v>
      </c>
      <c r="H195" s="24" t="n">
        <f aca="false">G195*FairProp</f>
        <v>6.003</v>
      </c>
      <c r="I195" s="44" t="n">
        <f aca="false">IF(G195&lt;=SpcLimit,SUMPRODUCT((H195&gt;SLo)*(H195-SLo)*SD),SUMPRODUCT((H195&gt;GLo)*(H195-GLo)*GD))</f>
        <v>0.017712</v>
      </c>
      <c r="J195" s="44" t="n">
        <f aca="false">H195*CityRate</f>
        <v>0.0084042</v>
      </c>
      <c r="K195" s="44" t="n">
        <f aca="false">I195*EduProp</f>
        <v>0.0035424</v>
      </c>
      <c r="L195" s="24" t="n">
        <f aca="false">MAX(0,(G195-JongDeduct)*FairJong)</f>
        <v>0</v>
      </c>
      <c r="M195" s="44" t="n">
        <f aca="false">SUMPRODUCT((L195&gt;JLo)*(L195-JLo)*JD)</f>
        <v>0</v>
      </c>
      <c r="N195" s="44" t="n">
        <f aca="false">M195*NongJong</f>
        <v>0</v>
      </c>
      <c r="O195" s="45" t="n">
        <f aca="false">I195+J195+K195+M195+N195</f>
        <v>0.0296586</v>
      </c>
    </row>
    <row r="196" customFormat="false" ht="15" hidden="false" customHeight="false" outlineLevel="0" collapsed="false">
      <c r="A196" s="20" t="n">
        <v>7</v>
      </c>
      <c r="B196" s="43" t="str">
        <f aca="false">INDEX(C_Name,A196)</f>
        <v>노량진동 쌍용예가 85㎡</v>
      </c>
      <c r="C196" s="20" t="n">
        <v>2</v>
      </c>
      <c r="D196" s="10" t="n">
        <f aca="false">CHOOSE(C196,GrowLo,GrowMid,GrowHi)</f>
        <v>0.04</v>
      </c>
      <c r="E196" s="20" t="n">
        <v>2</v>
      </c>
      <c r="F196" s="24" t="n">
        <f aca="false">INDEX(C_Price,A196)*(1+D196)^(E196-1)</f>
        <v>15.08</v>
      </c>
      <c r="G196" s="24" t="n">
        <f aca="false">F196*Gongsi</f>
        <v>10.4052</v>
      </c>
      <c r="H196" s="24" t="n">
        <f aca="false">G196*FairProp</f>
        <v>6.24312</v>
      </c>
      <c r="I196" s="44" t="n">
        <f aca="false">IF(G196&lt;=SpcLimit,SUMPRODUCT((H196&gt;SLo)*(H196-SLo)*SD),SUMPRODUCT((H196&gt;GLo)*(H196-GLo)*GD))</f>
        <v>0.01867248</v>
      </c>
      <c r="J196" s="44" t="n">
        <f aca="false">H196*CityRate</f>
        <v>0.008740368</v>
      </c>
      <c r="K196" s="44" t="n">
        <f aca="false">I196*EduProp</f>
        <v>0.003734496</v>
      </c>
      <c r="L196" s="24" t="n">
        <f aca="false">MAX(0,(G196-JongDeduct)*FairJong)</f>
        <v>0</v>
      </c>
      <c r="M196" s="44" t="n">
        <f aca="false">SUMPRODUCT((L196&gt;JLo)*(L196-JLo)*JD)</f>
        <v>0</v>
      </c>
      <c r="N196" s="44" t="n">
        <f aca="false">M196*NongJong</f>
        <v>0</v>
      </c>
      <c r="O196" s="45" t="n">
        <f aca="false">I196+J196+K196+M196+N196</f>
        <v>0.031147344</v>
      </c>
    </row>
    <row r="197" customFormat="false" ht="15" hidden="false" customHeight="false" outlineLevel="0" collapsed="false">
      <c r="A197" s="20" t="n">
        <v>7</v>
      </c>
      <c r="B197" s="43" t="str">
        <f aca="false">INDEX(C_Name,A197)</f>
        <v>노량진동 쌍용예가 85㎡</v>
      </c>
      <c r="C197" s="20" t="n">
        <v>2</v>
      </c>
      <c r="D197" s="10" t="n">
        <f aca="false">CHOOSE(C197,GrowLo,GrowMid,GrowHi)</f>
        <v>0.04</v>
      </c>
      <c r="E197" s="20" t="n">
        <v>3</v>
      </c>
      <c r="F197" s="24" t="n">
        <f aca="false">INDEX(C_Price,A197)*(1+D197)^(E197-1)</f>
        <v>15.6832</v>
      </c>
      <c r="G197" s="24" t="n">
        <f aca="false">F197*Gongsi</f>
        <v>10.821408</v>
      </c>
      <c r="H197" s="24" t="n">
        <f aca="false">G197*FairProp</f>
        <v>6.4928448</v>
      </c>
      <c r="I197" s="44" t="n">
        <f aca="false">IF(G197&lt;=SpcLimit,SUMPRODUCT((H197&gt;SLo)*(H197-SLo)*SD),SUMPRODUCT((H197&gt;GLo)*(H197-GLo)*GD))</f>
        <v>0.0196713792</v>
      </c>
      <c r="J197" s="44" t="n">
        <f aca="false">H197*CityRate</f>
        <v>0.00908998272</v>
      </c>
      <c r="K197" s="44" t="n">
        <f aca="false">I197*EduProp</f>
        <v>0.00393427584</v>
      </c>
      <c r="L197" s="24" t="n">
        <f aca="false">MAX(0,(G197-JongDeduct)*FairJong)</f>
        <v>0</v>
      </c>
      <c r="M197" s="44" t="n">
        <f aca="false">SUMPRODUCT((L197&gt;JLo)*(L197-JLo)*JD)</f>
        <v>0</v>
      </c>
      <c r="N197" s="44" t="n">
        <f aca="false">M197*NongJong</f>
        <v>0</v>
      </c>
      <c r="O197" s="45" t="n">
        <f aca="false">I197+J197+K197+M197+N197</f>
        <v>0.03269563776</v>
      </c>
    </row>
    <row r="198" customFormat="false" ht="15" hidden="false" customHeight="false" outlineLevel="0" collapsed="false">
      <c r="A198" s="20" t="n">
        <v>7</v>
      </c>
      <c r="B198" s="43" t="str">
        <f aca="false">INDEX(C_Name,A198)</f>
        <v>노량진동 쌍용예가 85㎡</v>
      </c>
      <c r="C198" s="20" t="n">
        <v>2</v>
      </c>
      <c r="D198" s="10" t="n">
        <f aca="false">CHOOSE(C198,GrowLo,GrowMid,GrowHi)</f>
        <v>0.04</v>
      </c>
      <c r="E198" s="20" t="n">
        <v>4</v>
      </c>
      <c r="F198" s="24" t="n">
        <f aca="false">INDEX(C_Price,A198)*(1+D198)^(E198-1)</f>
        <v>16.310528</v>
      </c>
      <c r="G198" s="24" t="n">
        <f aca="false">F198*Gongsi</f>
        <v>11.25426432</v>
      </c>
      <c r="H198" s="24" t="n">
        <f aca="false">G198*FairProp</f>
        <v>6.752558592</v>
      </c>
      <c r="I198" s="44" t="n">
        <f aca="false">IF(G198&lt;=SpcLimit,SUMPRODUCT((H198&gt;SLo)*(H198-SLo)*SD),SUMPRODUCT((H198&gt;GLo)*(H198-GLo)*GD))</f>
        <v>0.020710234368</v>
      </c>
      <c r="J198" s="44" t="n">
        <f aca="false">H198*CityRate</f>
        <v>0.0094535820288</v>
      </c>
      <c r="K198" s="44" t="n">
        <f aca="false">I198*EduProp</f>
        <v>0.0041420468736</v>
      </c>
      <c r="L198" s="24" t="n">
        <f aca="false">MAX(0,(G198-JongDeduct)*FairJong)</f>
        <v>0</v>
      </c>
      <c r="M198" s="44" t="n">
        <f aca="false">SUMPRODUCT((L198&gt;JLo)*(L198-JLo)*JD)</f>
        <v>0</v>
      </c>
      <c r="N198" s="44" t="n">
        <f aca="false">M198*NongJong</f>
        <v>0</v>
      </c>
      <c r="O198" s="45" t="n">
        <f aca="false">I198+J198+K198+M198+N198</f>
        <v>0.0343058632704</v>
      </c>
    </row>
    <row r="199" customFormat="false" ht="15" hidden="false" customHeight="false" outlineLevel="0" collapsed="false">
      <c r="A199" s="20" t="n">
        <v>7</v>
      </c>
      <c r="B199" s="43" t="str">
        <f aca="false">INDEX(C_Name,A199)</f>
        <v>노량진동 쌍용예가 85㎡</v>
      </c>
      <c r="C199" s="20" t="n">
        <v>2</v>
      </c>
      <c r="D199" s="10" t="n">
        <f aca="false">CHOOSE(C199,GrowLo,GrowMid,GrowHi)</f>
        <v>0.04</v>
      </c>
      <c r="E199" s="20" t="n">
        <v>5</v>
      </c>
      <c r="F199" s="24" t="n">
        <f aca="false">INDEX(C_Price,A199)*(1+D199)^(E199-1)</f>
        <v>16.96294912</v>
      </c>
      <c r="G199" s="24" t="n">
        <f aca="false">F199*Gongsi</f>
        <v>11.7044348928</v>
      </c>
      <c r="H199" s="24" t="n">
        <f aca="false">G199*FairProp</f>
        <v>7.02266093568</v>
      </c>
      <c r="I199" s="44" t="n">
        <f aca="false">IF(G199&lt;=SpcLimit,SUMPRODUCT((H199&gt;SLo)*(H199-SLo)*SD),SUMPRODUCT((H199&gt;GLo)*(H199-GLo)*GD))</f>
        <v>0.02179064374272</v>
      </c>
      <c r="J199" s="44" t="n">
        <f aca="false">H199*CityRate</f>
        <v>0.009831725309952</v>
      </c>
      <c r="K199" s="44" t="n">
        <f aca="false">I199*EduProp</f>
        <v>0.004358128748544</v>
      </c>
      <c r="L199" s="24" t="n">
        <f aca="false">MAX(0,(G199-JongDeduct)*FairJong)</f>
        <v>0</v>
      </c>
      <c r="M199" s="44" t="n">
        <f aca="false">SUMPRODUCT((L199&gt;JLo)*(L199-JLo)*JD)</f>
        <v>0</v>
      </c>
      <c r="N199" s="44" t="n">
        <f aca="false">M199*NongJong</f>
        <v>0</v>
      </c>
      <c r="O199" s="45" t="n">
        <f aca="false">I199+J199+K199+M199+N199</f>
        <v>0.035980497801216</v>
      </c>
    </row>
    <row r="200" customFormat="false" ht="15" hidden="false" customHeight="false" outlineLevel="0" collapsed="false">
      <c r="A200" s="20" t="n">
        <v>7</v>
      </c>
      <c r="B200" s="43" t="str">
        <f aca="false">INDEX(C_Name,A200)</f>
        <v>노량진동 쌍용예가 85㎡</v>
      </c>
      <c r="C200" s="20" t="n">
        <v>2</v>
      </c>
      <c r="D200" s="10" t="n">
        <f aca="false">CHOOSE(C200,GrowLo,GrowMid,GrowHi)</f>
        <v>0.04</v>
      </c>
      <c r="E200" s="20" t="n">
        <v>6</v>
      </c>
      <c r="F200" s="24" t="n">
        <f aca="false">INDEX(C_Price,A200)*(1+D200)^(E200-1)</f>
        <v>17.6414670848</v>
      </c>
      <c r="G200" s="24" t="n">
        <f aca="false">F200*Gongsi</f>
        <v>12.172612288512</v>
      </c>
      <c r="H200" s="24" t="n">
        <f aca="false">G200*FairProp</f>
        <v>7.3035673731072</v>
      </c>
      <c r="I200" s="44" t="n">
        <f aca="false">IF(G200&lt;=SpcLimit,SUMPRODUCT((H200&gt;SLo)*(H200-SLo)*SD),SUMPRODUCT((H200&gt;GLo)*(H200-GLo)*GD))</f>
        <v>0.0229142694924288</v>
      </c>
      <c r="J200" s="44" t="n">
        <f aca="false">H200*CityRate</f>
        <v>0.0102249943223501</v>
      </c>
      <c r="K200" s="44" t="n">
        <f aca="false">I200*EduProp</f>
        <v>0.00458285389848576</v>
      </c>
      <c r="L200" s="24" t="n">
        <f aca="false">MAX(0,(G200-JongDeduct)*FairJong)</f>
        <v>0.103567373107201</v>
      </c>
      <c r="M200" s="44" t="n">
        <f aca="false">SUMPRODUCT((L200&gt;JLo)*(L200-JLo)*JD)</f>
        <v>0.000517836865536003</v>
      </c>
      <c r="N200" s="44" t="n">
        <f aca="false">M200*NongJong</f>
        <v>0.000103567373107201</v>
      </c>
      <c r="O200" s="45" t="n">
        <f aca="false">I200+J200+K200+M200+N200</f>
        <v>0.0383435219519079</v>
      </c>
    </row>
    <row r="201" customFormat="false" ht="15" hidden="false" customHeight="false" outlineLevel="0" collapsed="false">
      <c r="A201" s="20" t="n">
        <v>7</v>
      </c>
      <c r="B201" s="43" t="str">
        <f aca="false">INDEX(C_Name,A201)</f>
        <v>노량진동 쌍용예가 85㎡</v>
      </c>
      <c r="C201" s="20" t="n">
        <v>2</v>
      </c>
      <c r="D201" s="10" t="n">
        <f aca="false">CHOOSE(C201,GrowLo,GrowMid,GrowHi)</f>
        <v>0.04</v>
      </c>
      <c r="E201" s="20" t="n">
        <v>7</v>
      </c>
      <c r="F201" s="24" t="n">
        <f aca="false">INDEX(C_Price,A201)*(1+D201)^(E201-1)</f>
        <v>18.347125768192</v>
      </c>
      <c r="G201" s="24" t="n">
        <f aca="false">F201*Gongsi</f>
        <v>12.6595167800525</v>
      </c>
      <c r="H201" s="24" t="n">
        <f aca="false">G201*FairProp</f>
        <v>7.59571006803149</v>
      </c>
      <c r="I201" s="44" t="n">
        <f aca="false">IF(G201&lt;=SpcLimit,SUMPRODUCT((H201&gt;SLo)*(H201-SLo)*SD),SUMPRODUCT((H201&gt;GLo)*(H201-GLo)*GD))</f>
        <v>0.024082840272126</v>
      </c>
      <c r="J201" s="44" t="n">
        <f aca="false">H201*CityRate</f>
        <v>0.0106339940952441</v>
      </c>
      <c r="K201" s="44" t="n">
        <f aca="false">I201*EduProp</f>
        <v>0.00481656805442519</v>
      </c>
      <c r="L201" s="24" t="n">
        <f aca="false">MAX(0,(G201-JongDeduct)*FairJong)</f>
        <v>0.395710068031489</v>
      </c>
      <c r="M201" s="44" t="n">
        <f aca="false">SUMPRODUCT((L201&gt;JLo)*(L201-JLo)*JD)</f>
        <v>0.00197855034015744</v>
      </c>
      <c r="N201" s="44" t="n">
        <f aca="false">M201*NongJong</f>
        <v>0.000395710068031489</v>
      </c>
      <c r="O201" s="45" t="n">
        <f aca="false">I201+J201+K201+M201+N201</f>
        <v>0.0419076628299842</v>
      </c>
    </row>
    <row r="202" customFormat="false" ht="15" hidden="false" customHeight="false" outlineLevel="0" collapsed="false">
      <c r="A202" s="20" t="n">
        <v>7</v>
      </c>
      <c r="B202" s="43" t="str">
        <f aca="false">INDEX(C_Name,A202)</f>
        <v>노량진동 쌍용예가 85㎡</v>
      </c>
      <c r="C202" s="20" t="n">
        <v>2</v>
      </c>
      <c r="D202" s="10" t="n">
        <f aca="false">CHOOSE(C202,GrowLo,GrowMid,GrowHi)</f>
        <v>0.04</v>
      </c>
      <c r="E202" s="20" t="n">
        <v>8</v>
      </c>
      <c r="F202" s="24" t="n">
        <f aca="false">INDEX(C_Price,A202)*(1+D202)^(E202-1)</f>
        <v>19.0810107989197</v>
      </c>
      <c r="G202" s="24" t="n">
        <f aca="false">F202*Gongsi</f>
        <v>13.1658974512546</v>
      </c>
      <c r="H202" s="24" t="n">
        <f aca="false">G202*FairProp</f>
        <v>7.89953847075275</v>
      </c>
      <c r="I202" s="44" t="n">
        <f aca="false">IF(G202&lt;=SpcLimit,SUMPRODUCT((H202&gt;SLo)*(H202-SLo)*SD),SUMPRODUCT((H202&gt;GLo)*(H202-GLo)*GD))</f>
        <v>0.025298153883011</v>
      </c>
      <c r="J202" s="44" t="n">
        <f aca="false">H202*CityRate</f>
        <v>0.0110593538590538</v>
      </c>
      <c r="K202" s="44" t="n">
        <f aca="false">I202*EduProp</f>
        <v>0.0050596307766022</v>
      </c>
      <c r="L202" s="24" t="n">
        <f aca="false">MAX(0,(G202-JongDeduct)*FairJong)</f>
        <v>0.699538470752749</v>
      </c>
      <c r="M202" s="44" t="n">
        <f aca="false">SUMPRODUCT((L202&gt;JLo)*(L202-JLo)*JD)</f>
        <v>0.00349769235376374</v>
      </c>
      <c r="N202" s="44" t="n">
        <f aca="false">M202*NongJong</f>
        <v>0.000699538470752749</v>
      </c>
      <c r="O202" s="45" t="n">
        <f aca="false">I202+J202+K202+M202+N202</f>
        <v>0.0456143693431835</v>
      </c>
    </row>
    <row r="203" customFormat="false" ht="15" hidden="false" customHeight="false" outlineLevel="0" collapsed="false">
      <c r="A203" s="20" t="n">
        <v>7</v>
      </c>
      <c r="B203" s="43" t="str">
        <f aca="false">INDEX(C_Name,A203)</f>
        <v>노량진동 쌍용예가 85㎡</v>
      </c>
      <c r="C203" s="20" t="n">
        <v>2</v>
      </c>
      <c r="D203" s="10" t="n">
        <f aca="false">CHOOSE(C203,GrowLo,GrowMid,GrowHi)</f>
        <v>0.04</v>
      </c>
      <c r="E203" s="20" t="n">
        <v>9</v>
      </c>
      <c r="F203" s="24" t="n">
        <f aca="false">INDEX(C_Price,A203)*(1+D203)^(E203-1)</f>
        <v>19.8442512308765</v>
      </c>
      <c r="G203" s="24" t="n">
        <f aca="false">F203*Gongsi</f>
        <v>13.6925333493048</v>
      </c>
      <c r="H203" s="24" t="n">
        <f aca="false">G203*FairProp</f>
        <v>8.21552000958286</v>
      </c>
      <c r="I203" s="44" t="n">
        <f aca="false">IF(G203&lt;=SpcLimit,SUMPRODUCT((H203&gt;SLo)*(H203-SLo)*SD),SUMPRODUCT((H203&gt;GLo)*(H203-GLo)*GD))</f>
        <v>0.0265620800383314</v>
      </c>
      <c r="J203" s="44" t="n">
        <f aca="false">H203*CityRate</f>
        <v>0.011501728013416</v>
      </c>
      <c r="K203" s="44" t="n">
        <f aca="false">I203*EduProp</f>
        <v>0.00531241600766629</v>
      </c>
      <c r="L203" s="24" t="n">
        <f aca="false">MAX(0,(G203-JongDeduct)*FairJong)</f>
        <v>1.01552000958286</v>
      </c>
      <c r="M203" s="44" t="n">
        <f aca="false">SUMPRODUCT((L203&gt;JLo)*(L203-JLo)*JD)</f>
        <v>0.00507760004791429</v>
      </c>
      <c r="N203" s="44" t="n">
        <f aca="false">M203*NongJong</f>
        <v>0.00101552000958286</v>
      </c>
      <c r="O203" s="45" t="n">
        <f aca="false">I203+J203+K203+M203+N203</f>
        <v>0.0494693441169109</v>
      </c>
    </row>
    <row r="204" customFormat="false" ht="15" hidden="false" customHeight="false" outlineLevel="0" collapsed="false">
      <c r="A204" s="20" t="n">
        <v>7</v>
      </c>
      <c r="B204" s="43" t="str">
        <f aca="false">INDEX(C_Name,A204)</f>
        <v>노량진동 쌍용예가 85㎡</v>
      </c>
      <c r="C204" s="20" t="n">
        <v>2</v>
      </c>
      <c r="D204" s="10" t="n">
        <f aca="false">CHOOSE(C204,GrowLo,GrowMid,GrowHi)</f>
        <v>0.04</v>
      </c>
      <c r="E204" s="20" t="n">
        <v>10</v>
      </c>
      <c r="F204" s="24" t="n">
        <f aca="false">INDEX(C_Price,A204)*(1+D204)^(E204-1)</f>
        <v>20.6380212801115</v>
      </c>
      <c r="G204" s="24" t="n">
        <f aca="false">F204*Gongsi</f>
        <v>14.240234683277</v>
      </c>
      <c r="H204" s="24" t="n">
        <f aca="false">G204*FairProp</f>
        <v>8.54414080996617</v>
      </c>
      <c r="I204" s="44" t="n">
        <f aca="false">IF(G204&lt;=SpcLimit,SUMPRODUCT((H204&gt;SLo)*(H204-SLo)*SD),SUMPRODUCT((H204&gt;GLo)*(H204-GLo)*GD))</f>
        <v>0.0278765632398647</v>
      </c>
      <c r="J204" s="44" t="n">
        <f aca="false">H204*CityRate</f>
        <v>0.0119617971339526</v>
      </c>
      <c r="K204" s="44" t="n">
        <f aca="false">I204*EduProp</f>
        <v>0.00557531264797294</v>
      </c>
      <c r="L204" s="24" t="n">
        <f aca="false">MAX(0,(G204-JongDeduct)*FairJong)</f>
        <v>1.34414080996617</v>
      </c>
      <c r="M204" s="44" t="n">
        <f aca="false">SUMPRODUCT((L204&gt;JLo)*(L204-JLo)*JD)</f>
        <v>0.00672070404983086</v>
      </c>
      <c r="N204" s="44" t="n">
        <f aca="false">M204*NongJong</f>
        <v>0.00134414080996617</v>
      </c>
      <c r="O204" s="45" t="n">
        <f aca="false">I204+J204+K204+M204+N204</f>
        <v>0.0534785178815873</v>
      </c>
    </row>
    <row r="205" customFormat="false" ht="15" hidden="false" customHeight="false" outlineLevel="0" collapsed="false">
      <c r="A205" s="20" t="n">
        <v>7</v>
      </c>
      <c r="B205" s="43" t="str">
        <f aca="false">INDEX(C_Name,A205)</f>
        <v>노량진동 쌍용예가 85㎡</v>
      </c>
      <c r="C205" s="20" t="n">
        <v>3</v>
      </c>
      <c r="D205" s="10" t="n">
        <f aca="false">CHOOSE(C205,GrowLo,GrowMid,GrowHi)</f>
        <v>0.06</v>
      </c>
      <c r="E205" s="20" t="n">
        <v>1</v>
      </c>
      <c r="F205" s="24" t="n">
        <f aca="false">INDEX(C_Price,A205)*(1+D205)^(E205-1)</f>
        <v>14.5</v>
      </c>
      <c r="G205" s="24" t="n">
        <f aca="false">F205*Gongsi</f>
        <v>10.005</v>
      </c>
      <c r="H205" s="24" t="n">
        <f aca="false">G205*FairProp</f>
        <v>6.003</v>
      </c>
      <c r="I205" s="44" t="n">
        <f aca="false">IF(G205&lt;=SpcLimit,SUMPRODUCT((H205&gt;SLo)*(H205-SLo)*SD),SUMPRODUCT((H205&gt;GLo)*(H205-GLo)*GD))</f>
        <v>0.017712</v>
      </c>
      <c r="J205" s="44" t="n">
        <f aca="false">H205*CityRate</f>
        <v>0.0084042</v>
      </c>
      <c r="K205" s="44" t="n">
        <f aca="false">I205*EduProp</f>
        <v>0.0035424</v>
      </c>
      <c r="L205" s="24" t="n">
        <f aca="false">MAX(0,(G205-JongDeduct)*FairJong)</f>
        <v>0</v>
      </c>
      <c r="M205" s="44" t="n">
        <f aca="false">SUMPRODUCT((L205&gt;JLo)*(L205-JLo)*JD)</f>
        <v>0</v>
      </c>
      <c r="N205" s="44" t="n">
        <f aca="false">M205*NongJong</f>
        <v>0</v>
      </c>
      <c r="O205" s="45" t="n">
        <f aca="false">I205+J205+K205+M205+N205</f>
        <v>0.0296586</v>
      </c>
    </row>
    <row r="206" customFormat="false" ht="15" hidden="false" customHeight="false" outlineLevel="0" collapsed="false">
      <c r="A206" s="20" t="n">
        <v>7</v>
      </c>
      <c r="B206" s="43" t="str">
        <f aca="false">INDEX(C_Name,A206)</f>
        <v>노량진동 쌍용예가 85㎡</v>
      </c>
      <c r="C206" s="20" t="n">
        <v>3</v>
      </c>
      <c r="D206" s="10" t="n">
        <f aca="false">CHOOSE(C206,GrowLo,GrowMid,GrowHi)</f>
        <v>0.06</v>
      </c>
      <c r="E206" s="20" t="n">
        <v>2</v>
      </c>
      <c r="F206" s="24" t="n">
        <f aca="false">INDEX(C_Price,A206)*(1+D206)^(E206-1)</f>
        <v>15.37</v>
      </c>
      <c r="G206" s="24" t="n">
        <f aca="false">F206*Gongsi</f>
        <v>10.6053</v>
      </c>
      <c r="H206" s="24" t="n">
        <f aca="false">G206*FairProp</f>
        <v>6.36318</v>
      </c>
      <c r="I206" s="44" t="n">
        <f aca="false">IF(G206&lt;=SpcLimit,SUMPRODUCT((H206&gt;SLo)*(H206-SLo)*SD),SUMPRODUCT((H206&gt;GLo)*(H206-GLo)*GD))</f>
        <v>0.01915272</v>
      </c>
      <c r="J206" s="44" t="n">
        <f aca="false">H206*CityRate</f>
        <v>0.008908452</v>
      </c>
      <c r="K206" s="44" t="n">
        <f aca="false">I206*EduProp</f>
        <v>0.003830544</v>
      </c>
      <c r="L206" s="24" t="n">
        <f aca="false">MAX(0,(G206-JongDeduct)*FairJong)</f>
        <v>0</v>
      </c>
      <c r="M206" s="44" t="n">
        <f aca="false">SUMPRODUCT((L206&gt;JLo)*(L206-JLo)*JD)</f>
        <v>0</v>
      </c>
      <c r="N206" s="44" t="n">
        <f aca="false">M206*NongJong</f>
        <v>0</v>
      </c>
      <c r="O206" s="45" t="n">
        <f aca="false">I206+J206+K206+M206+N206</f>
        <v>0.031891716</v>
      </c>
    </row>
    <row r="207" customFormat="false" ht="15" hidden="false" customHeight="false" outlineLevel="0" collapsed="false">
      <c r="A207" s="20" t="n">
        <v>7</v>
      </c>
      <c r="B207" s="43" t="str">
        <f aca="false">INDEX(C_Name,A207)</f>
        <v>노량진동 쌍용예가 85㎡</v>
      </c>
      <c r="C207" s="20" t="n">
        <v>3</v>
      </c>
      <c r="D207" s="10" t="n">
        <f aca="false">CHOOSE(C207,GrowLo,GrowMid,GrowHi)</f>
        <v>0.06</v>
      </c>
      <c r="E207" s="20" t="n">
        <v>3</v>
      </c>
      <c r="F207" s="24" t="n">
        <f aca="false">INDEX(C_Price,A207)*(1+D207)^(E207-1)</f>
        <v>16.2922</v>
      </c>
      <c r="G207" s="24" t="n">
        <f aca="false">F207*Gongsi</f>
        <v>11.241618</v>
      </c>
      <c r="H207" s="24" t="n">
        <f aca="false">G207*FairProp</f>
        <v>6.7449708</v>
      </c>
      <c r="I207" s="44" t="n">
        <f aca="false">IF(G207&lt;=SpcLimit,SUMPRODUCT((H207&gt;SLo)*(H207-SLo)*SD),SUMPRODUCT((H207&gt;GLo)*(H207-GLo)*GD))</f>
        <v>0.0206798832</v>
      </c>
      <c r="J207" s="44" t="n">
        <f aca="false">H207*CityRate</f>
        <v>0.00944295912</v>
      </c>
      <c r="K207" s="44" t="n">
        <f aca="false">I207*EduProp</f>
        <v>0.00413597664</v>
      </c>
      <c r="L207" s="24" t="n">
        <f aca="false">MAX(0,(G207-JongDeduct)*FairJong)</f>
        <v>0</v>
      </c>
      <c r="M207" s="44" t="n">
        <f aca="false">SUMPRODUCT((L207&gt;JLo)*(L207-JLo)*JD)</f>
        <v>0</v>
      </c>
      <c r="N207" s="44" t="n">
        <f aca="false">M207*NongJong</f>
        <v>0</v>
      </c>
      <c r="O207" s="45" t="n">
        <f aca="false">I207+J207+K207+M207+N207</f>
        <v>0.03425881896</v>
      </c>
    </row>
    <row r="208" customFormat="false" ht="15" hidden="false" customHeight="false" outlineLevel="0" collapsed="false">
      <c r="A208" s="20" t="n">
        <v>7</v>
      </c>
      <c r="B208" s="43" t="str">
        <f aca="false">INDEX(C_Name,A208)</f>
        <v>노량진동 쌍용예가 85㎡</v>
      </c>
      <c r="C208" s="20" t="n">
        <v>3</v>
      </c>
      <c r="D208" s="10" t="n">
        <f aca="false">CHOOSE(C208,GrowLo,GrowMid,GrowHi)</f>
        <v>0.06</v>
      </c>
      <c r="E208" s="20" t="n">
        <v>4</v>
      </c>
      <c r="F208" s="24" t="n">
        <f aca="false">INDEX(C_Price,A208)*(1+D208)^(E208-1)</f>
        <v>17.269732</v>
      </c>
      <c r="G208" s="24" t="n">
        <f aca="false">F208*Gongsi</f>
        <v>11.91611508</v>
      </c>
      <c r="H208" s="24" t="n">
        <f aca="false">G208*FairProp</f>
        <v>7.149669048</v>
      </c>
      <c r="I208" s="44" t="n">
        <f aca="false">IF(G208&lt;=SpcLimit,SUMPRODUCT((H208&gt;SLo)*(H208-SLo)*SD),SUMPRODUCT((H208&gt;GLo)*(H208-GLo)*GD))</f>
        <v>0.022298676192</v>
      </c>
      <c r="J208" s="44" t="n">
        <f aca="false">H208*CityRate</f>
        <v>0.0100095366672</v>
      </c>
      <c r="K208" s="44" t="n">
        <f aca="false">I208*EduProp</f>
        <v>0.0044597352384</v>
      </c>
      <c r="L208" s="24" t="n">
        <f aca="false">MAX(0,(G208-JongDeduct)*FairJong)</f>
        <v>0</v>
      </c>
      <c r="M208" s="44" t="n">
        <f aca="false">SUMPRODUCT((L208&gt;JLo)*(L208-JLo)*JD)</f>
        <v>0</v>
      </c>
      <c r="N208" s="44" t="n">
        <f aca="false">M208*NongJong</f>
        <v>0</v>
      </c>
      <c r="O208" s="45" t="n">
        <f aca="false">I208+J208+K208+M208+N208</f>
        <v>0.0367679480976</v>
      </c>
    </row>
    <row r="209" customFormat="false" ht="15" hidden="false" customHeight="false" outlineLevel="0" collapsed="false">
      <c r="A209" s="20" t="n">
        <v>7</v>
      </c>
      <c r="B209" s="43" t="str">
        <f aca="false">INDEX(C_Name,A209)</f>
        <v>노량진동 쌍용예가 85㎡</v>
      </c>
      <c r="C209" s="20" t="n">
        <v>3</v>
      </c>
      <c r="D209" s="10" t="n">
        <f aca="false">CHOOSE(C209,GrowLo,GrowMid,GrowHi)</f>
        <v>0.06</v>
      </c>
      <c r="E209" s="20" t="n">
        <v>5</v>
      </c>
      <c r="F209" s="24" t="n">
        <f aca="false">INDEX(C_Price,A209)*(1+D209)^(E209-1)</f>
        <v>18.30591592</v>
      </c>
      <c r="G209" s="24" t="n">
        <f aca="false">F209*Gongsi</f>
        <v>12.6310819848</v>
      </c>
      <c r="H209" s="24" t="n">
        <f aca="false">G209*FairProp</f>
        <v>7.57864919088</v>
      </c>
      <c r="I209" s="44" t="n">
        <f aca="false">IF(G209&lt;=SpcLimit,SUMPRODUCT((H209&gt;SLo)*(H209-SLo)*SD),SUMPRODUCT((H209&gt;GLo)*(H209-GLo)*GD))</f>
        <v>0.02401459676352</v>
      </c>
      <c r="J209" s="44" t="n">
        <f aca="false">H209*CityRate</f>
        <v>0.010610108867232</v>
      </c>
      <c r="K209" s="44" t="n">
        <f aca="false">I209*EduProp</f>
        <v>0.004802919352704</v>
      </c>
      <c r="L209" s="24" t="n">
        <f aca="false">MAX(0,(G209-JongDeduct)*FairJong)</f>
        <v>0.378649190880001</v>
      </c>
      <c r="M209" s="44" t="n">
        <f aca="false">SUMPRODUCT((L209&gt;JLo)*(L209-JLo)*JD)</f>
        <v>0.0018932459544</v>
      </c>
      <c r="N209" s="44" t="n">
        <f aca="false">M209*NongJong</f>
        <v>0.000378649190880001</v>
      </c>
      <c r="O209" s="45" t="n">
        <f aca="false">I209+J209+K209+M209+N209</f>
        <v>0.041699520128736</v>
      </c>
    </row>
    <row r="210" customFormat="false" ht="15" hidden="false" customHeight="false" outlineLevel="0" collapsed="false">
      <c r="A210" s="20" t="n">
        <v>7</v>
      </c>
      <c r="B210" s="43" t="str">
        <f aca="false">INDEX(C_Name,A210)</f>
        <v>노량진동 쌍용예가 85㎡</v>
      </c>
      <c r="C210" s="20" t="n">
        <v>3</v>
      </c>
      <c r="D210" s="10" t="n">
        <f aca="false">CHOOSE(C210,GrowLo,GrowMid,GrowHi)</f>
        <v>0.06</v>
      </c>
      <c r="E210" s="20" t="n">
        <v>6</v>
      </c>
      <c r="F210" s="24" t="n">
        <f aca="false">INDEX(C_Price,A210)*(1+D210)^(E210-1)</f>
        <v>19.4042708752</v>
      </c>
      <c r="G210" s="24" t="n">
        <f aca="false">F210*Gongsi</f>
        <v>13.388946903888</v>
      </c>
      <c r="H210" s="24" t="n">
        <f aca="false">G210*FairProp</f>
        <v>8.0333681423328</v>
      </c>
      <c r="I210" s="44" t="n">
        <f aca="false">IF(G210&lt;=SpcLimit,SUMPRODUCT((H210&gt;SLo)*(H210-SLo)*SD),SUMPRODUCT((H210&gt;GLo)*(H210-GLo)*GD))</f>
        <v>0.0258334725693312</v>
      </c>
      <c r="J210" s="44" t="n">
        <f aca="false">H210*CityRate</f>
        <v>0.0112467153992659</v>
      </c>
      <c r="K210" s="44" t="n">
        <f aca="false">I210*EduProp</f>
        <v>0.00516669451386624</v>
      </c>
      <c r="L210" s="24" t="n">
        <f aca="false">MAX(0,(G210-JongDeduct)*FairJong)</f>
        <v>0.833368142332802</v>
      </c>
      <c r="M210" s="44" t="n">
        <f aca="false">SUMPRODUCT((L210&gt;JLo)*(L210-JLo)*JD)</f>
        <v>0.00416684071166401</v>
      </c>
      <c r="N210" s="44" t="n">
        <f aca="false">M210*NongJong</f>
        <v>0.000833368142332802</v>
      </c>
      <c r="O210" s="45" t="n">
        <f aca="false">I210+J210+K210+M210+N210</f>
        <v>0.0472470913364602</v>
      </c>
    </row>
    <row r="211" customFormat="false" ht="15" hidden="false" customHeight="false" outlineLevel="0" collapsed="false">
      <c r="A211" s="20" t="n">
        <v>7</v>
      </c>
      <c r="B211" s="43" t="str">
        <f aca="false">INDEX(C_Name,A211)</f>
        <v>노량진동 쌍용예가 85㎡</v>
      </c>
      <c r="C211" s="20" t="n">
        <v>3</v>
      </c>
      <c r="D211" s="10" t="n">
        <f aca="false">CHOOSE(C211,GrowLo,GrowMid,GrowHi)</f>
        <v>0.06</v>
      </c>
      <c r="E211" s="20" t="n">
        <v>7</v>
      </c>
      <c r="F211" s="24" t="n">
        <f aca="false">INDEX(C_Price,A211)*(1+D211)^(E211-1)</f>
        <v>20.568527127712</v>
      </c>
      <c r="G211" s="24" t="n">
        <f aca="false">F211*Gongsi</f>
        <v>14.1922837181213</v>
      </c>
      <c r="H211" s="24" t="n">
        <f aca="false">G211*FairProp</f>
        <v>8.51537023087277</v>
      </c>
      <c r="I211" s="44" t="n">
        <f aca="false">IF(G211&lt;=SpcLimit,SUMPRODUCT((H211&gt;SLo)*(H211-SLo)*SD),SUMPRODUCT((H211&gt;GLo)*(H211-GLo)*GD))</f>
        <v>0.0277614809234911</v>
      </c>
      <c r="J211" s="44" t="n">
        <f aca="false">H211*CityRate</f>
        <v>0.0119215183232219</v>
      </c>
      <c r="K211" s="44" t="n">
        <f aca="false">I211*EduProp</f>
        <v>0.00555229618469822</v>
      </c>
      <c r="L211" s="24" t="n">
        <f aca="false">MAX(0,(G211-JongDeduct)*FairJong)</f>
        <v>1.31537023087277</v>
      </c>
      <c r="M211" s="44" t="n">
        <f aca="false">SUMPRODUCT((L211&gt;JLo)*(L211-JLo)*JD)</f>
        <v>0.00657685115436385</v>
      </c>
      <c r="N211" s="44" t="n">
        <f aca="false">M211*NongJong</f>
        <v>0.00131537023087277</v>
      </c>
      <c r="O211" s="45" t="n">
        <f aca="false">I211+J211+K211+M211+N211</f>
        <v>0.0531275168166478</v>
      </c>
    </row>
    <row r="212" customFormat="false" ht="15" hidden="false" customHeight="false" outlineLevel="0" collapsed="false">
      <c r="A212" s="20" t="n">
        <v>7</v>
      </c>
      <c r="B212" s="43" t="str">
        <f aca="false">INDEX(C_Name,A212)</f>
        <v>노량진동 쌍용예가 85㎡</v>
      </c>
      <c r="C212" s="20" t="n">
        <v>3</v>
      </c>
      <c r="D212" s="10" t="n">
        <f aca="false">CHOOSE(C212,GrowLo,GrowMid,GrowHi)</f>
        <v>0.06</v>
      </c>
      <c r="E212" s="20" t="n">
        <v>8</v>
      </c>
      <c r="F212" s="24" t="n">
        <f aca="false">INDEX(C_Price,A212)*(1+D212)^(E212-1)</f>
        <v>21.8026387553747</v>
      </c>
      <c r="G212" s="24" t="n">
        <f aca="false">F212*Gongsi</f>
        <v>15.0438207412086</v>
      </c>
      <c r="H212" s="24" t="n">
        <f aca="false">G212*FairProp</f>
        <v>9.02629244472514</v>
      </c>
      <c r="I212" s="44" t="n">
        <f aca="false">IF(G212&lt;=SpcLimit,SUMPRODUCT((H212&gt;SLo)*(H212-SLo)*SD),SUMPRODUCT((H212&gt;GLo)*(H212-GLo)*GD))</f>
        <v>0.0298051697789006</v>
      </c>
      <c r="J212" s="44" t="n">
        <f aca="false">H212*CityRate</f>
        <v>0.0126368094226152</v>
      </c>
      <c r="K212" s="44" t="n">
        <f aca="false">I212*EduProp</f>
        <v>0.00596103395578011</v>
      </c>
      <c r="L212" s="24" t="n">
        <f aca="false">MAX(0,(G212-JongDeduct)*FairJong)</f>
        <v>1.82629244472514</v>
      </c>
      <c r="M212" s="44" t="n">
        <f aca="false">SUMPRODUCT((L212&gt;JLo)*(L212-JLo)*JD)</f>
        <v>0.00913146222362569</v>
      </c>
      <c r="N212" s="44" t="n">
        <f aca="false">M212*NongJong</f>
        <v>0.00182629244472514</v>
      </c>
      <c r="O212" s="45" t="n">
        <f aca="false">I212+J212+K212+M212+N212</f>
        <v>0.0593607678256467</v>
      </c>
    </row>
    <row r="213" customFormat="false" ht="15" hidden="false" customHeight="false" outlineLevel="0" collapsed="false">
      <c r="A213" s="20" t="n">
        <v>7</v>
      </c>
      <c r="B213" s="43" t="str">
        <f aca="false">INDEX(C_Name,A213)</f>
        <v>노량진동 쌍용예가 85㎡</v>
      </c>
      <c r="C213" s="20" t="n">
        <v>3</v>
      </c>
      <c r="D213" s="10" t="n">
        <f aca="false">CHOOSE(C213,GrowLo,GrowMid,GrowHi)</f>
        <v>0.06</v>
      </c>
      <c r="E213" s="20" t="n">
        <v>9</v>
      </c>
      <c r="F213" s="24" t="n">
        <f aca="false">INDEX(C_Price,A213)*(1+D213)^(E213-1)</f>
        <v>23.1107970806972</v>
      </c>
      <c r="G213" s="24" t="n">
        <f aca="false">F213*Gongsi</f>
        <v>15.9464499856811</v>
      </c>
      <c r="H213" s="24" t="n">
        <f aca="false">G213*FairProp</f>
        <v>9.56786999140865</v>
      </c>
      <c r="I213" s="44" t="n">
        <f aca="false">IF(G213&lt;=SpcLimit,SUMPRODUCT((H213&gt;SLo)*(H213-SLo)*SD),SUMPRODUCT((H213&gt;GLo)*(H213-GLo)*GD))</f>
        <v>0.0319714799656346</v>
      </c>
      <c r="J213" s="44" t="n">
        <f aca="false">H213*CityRate</f>
        <v>0.0133950179879721</v>
      </c>
      <c r="K213" s="44" t="n">
        <f aca="false">I213*EduProp</f>
        <v>0.00639429599312692</v>
      </c>
      <c r="L213" s="24" t="n">
        <f aca="false">MAX(0,(G213-JongDeduct)*FairJong)</f>
        <v>2.36786999140865</v>
      </c>
      <c r="M213" s="44" t="n">
        <f aca="false">SUMPRODUCT((L213&gt;JLo)*(L213-JLo)*JD)</f>
        <v>0.0118393499570432</v>
      </c>
      <c r="N213" s="44" t="n">
        <f aca="false">M213*NongJong</f>
        <v>0.00236786999140865</v>
      </c>
      <c r="O213" s="45" t="n">
        <f aca="false">I213+J213+K213+M213+N213</f>
        <v>0.0659680138951855</v>
      </c>
    </row>
    <row r="214" customFormat="false" ht="15" hidden="false" customHeight="false" outlineLevel="0" collapsed="false">
      <c r="A214" s="20" t="n">
        <v>7</v>
      </c>
      <c r="B214" s="43" t="str">
        <f aca="false">INDEX(C_Name,A214)</f>
        <v>노량진동 쌍용예가 85㎡</v>
      </c>
      <c r="C214" s="20" t="n">
        <v>3</v>
      </c>
      <c r="D214" s="10" t="n">
        <f aca="false">CHOOSE(C214,GrowLo,GrowMid,GrowHi)</f>
        <v>0.06</v>
      </c>
      <c r="E214" s="20" t="n">
        <v>10</v>
      </c>
      <c r="F214" s="24" t="n">
        <f aca="false">INDEX(C_Price,A214)*(1+D214)^(E214-1)</f>
        <v>24.497444905539</v>
      </c>
      <c r="G214" s="24" t="n">
        <f aca="false">F214*Gongsi</f>
        <v>16.9032369848219</v>
      </c>
      <c r="H214" s="24" t="n">
        <f aca="false">G214*FairProp</f>
        <v>10.1419421908932</v>
      </c>
      <c r="I214" s="44" t="n">
        <f aca="false">IF(G214&lt;=SpcLimit,SUMPRODUCT((H214&gt;SLo)*(H214-SLo)*SD),SUMPRODUCT((H214&gt;GLo)*(H214-GLo)*GD))</f>
        <v>0.0342677687635727</v>
      </c>
      <c r="J214" s="44" t="n">
        <f aca="false">H214*CityRate</f>
        <v>0.0141987190672504</v>
      </c>
      <c r="K214" s="44" t="n">
        <f aca="false">I214*EduProp</f>
        <v>0.00685355375271453</v>
      </c>
      <c r="L214" s="24" t="n">
        <f aca="false">MAX(0,(G214-JongDeduct)*FairJong)</f>
        <v>2.94194219089316</v>
      </c>
      <c r="M214" s="44" t="n">
        <f aca="false">SUMPRODUCT((L214&gt;JLo)*(L214-JLo)*JD)</f>
        <v>0.0147097109544658</v>
      </c>
      <c r="N214" s="44" t="n">
        <f aca="false">M214*NongJong</f>
        <v>0.00294194219089317</v>
      </c>
      <c r="O214" s="45" t="n">
        <f aca="false">I214+J214+K214+M214+N214</f>
        <v>0.0729716947288966</v>
      </c>
    </row>
    <row r="215" customFormat="false" ht="15" hidden="false" customHeight="false" outlineLevel="0" collapsed="false">
      <c r="A215" s="20" t="n">
        <v>8</v>
      </c>
      <c r="B215" s="43" t="str">
        <f aca="false">INDEX(C_Name,A215)</f>
        <v>본동 래미안트윈파크 (32평형)</v>
      </c>
      <c r="C215" s="20" t="n">
        <v>1</v>
      </c>
      <c r="D215" s="10" t="n">
        <f aca="false">CHOOSE(C215,GrowLo,GrowMid,GrowHi)</f>
        <v>0.02</v>
      </c>
      <c r="E215" s="20" t="n">
        <v>1</v>
      </c>
      <c r="F215" s="24" t="n">
        <f aca="false">INDEX(C_Price,A215)*(1+D215)^(E215-1)</f>
        <v>24.2</v>
      </c>
      <c r="G215" s="24" t="n">
        <f aca="false">F215*Gongsi</f>
        <v>16.698</v>
      </c>
      <c r="H215" s="24" t="n">
        <f aca="false">G215*FairProp</f>
        <v>10.0188</v>
      </c>
      <c r="I215" s="44" t="n">
        <f aca="false">IF(G215&lt;=SpcLimit,SUMPRODUCT((H215&gt;SLo)*(H215-SLo)*SD),SUMPRODUCT((H215&gt;GLo)*(H215-GLo)*GD))</f>
        <v>0.0337752</v>
      </c>
      <c r="J215" s="44" t="n">
        <f aca="false">H215*CityRate</f>
        <v>0.01402632</v>
      </c>
      <c r="K215" s="44" t="n">
        <f aca="false">I215*EduProp</f>
        <v>0.00675504</v>
      </c>
      <c r="L215" s="24" t="n">
        <f aca="false">MAX(0,(G215-JongDeduct)*FairJong)</f>
        <v>2.8188</v>
      </c>
      <c r="M215" s="44" t="n">
        <f aca="false">SUMPRODUCT((L215&gt;JLo)*(L215-JLo)*JD)</f>
        <v>0.014094</v>
      </c>
      <c r="N215" s="44" t="n">
        <f aca="false">M215*NongJong</f>
        <v>0.0028188</v>
      </c>
      <c r="O215" s="45" t="n">
        <f aca="false">I215+J215+K215+M215+N215</f>
        <v>0.07146936</v>
      </c>
    </row>
    <row r="216" customFormat="false" ht="15" hidden="false" customHeight="false" outlineLevel="0" collapsed="false">
      <c r="A216" s="20" t="n">
        <v>8</v>
      </c>
      <c r="B216" s="43" t="str">
        <f aca="false">INDEX(C_Name,A216)</f>
        <v>본동 래미안트윈파크 (32평형)</v>
      </c>
      <c r="C216" s="20" t="n">
        <v>1</v>
      </c>
      <c r="D216" s="10" t="n">
        <f aca="false">CHOOSE(C216,GrowLo,GrowMid,GrowHi)</f>
        <v>0.02</v>
      </c>
      <c r="E216" s="20" t="n">
        <v>2</v>
      </c>
      <c r="F216" s="24" t="n">
        <f aca="false">INDEX(C_Price,A216)*(1+D216)^(E216-1)</f>
        <v>24.684</v>
      </c>
      <c r="G216" s="24" t="n">
        <f aca="false">F216*Gongsi</f>
        <v>17.03196</v>
      </c>
      <c r="H216" s="24" t="n">
        <f aca="false">G216*FairProp</f>
        <v>10.219176</v>
      </c>
      <c r="I216" s="44" t="n">
        <f aca="false">IF(G216&lt;=SpcLimit,SUMPRODUCT((H216&gt;SLo)*(H216-SLo)*SD),SUMPRODUCT((H216&gt;GLo)*(H216-GLo)*GD))</f>
        <v>0.034576704</v>
      </c>
      <c r="J216" s="44" t="n">
        <f aca="false">H216*CityRate</f>
        <v>0.0143068464</v>
      </c>
      <c r="K216" s="44" t="n">
        <f aca="false">I216*EduProp</f>
        <v>0.0069153408</v>
      </c>
      <c r="L216" s="24" t="n">
        <f aca="false">MAX(0,(G216-JongDeduct)*FairJong)</f>
        <v>3.019176</v>
      </c>
      <c r="M216" s="44" t="n">
        <f aca="false">SUMPRODUCT((L216&gt;JLo)*(L216-JLo)*JD)</f>
        <v>0.015134232</v>
      </c>
      <c r="N216" s="44" t="n">
        <f aca="false">M216*NongJong</f>
        <v>0.0030268464</v>
      </c>
      <c r="O216" s="45" t="n">
        <f aca="false">I216+J216+K216+M216+N216</f>
        <v>0.0739599696</v>
      </c>
    </row>
    <row r="217" customFormat="false" ht="15" hidden="false" customHeight="false" outlineLevel="0" collapsed="false">
      <c r="A217" s="20" t="n">
        <v>8</v>
      </c>
      <c r="B217" s="43" t="str">
        <f aca="false">INDEX(C_Name,A217)</f>
        <v>본동 래미안트윈파크 (32평형)</v>
      </c>
      <c r="C217" s="20" t="n">
        <v>1</v>
      </c>
      <c r="D217" s="10" t="n">
        <f aca="false">CHOOSE(C217,GrowLo,GrowMid,GrowHi)</f>
        <v>0.02</v>
      </c>
      <c r="E217" s="20" t="n">
        <v>3</v>
      </c>
      <c r="F217" s="24" t="n">
        <f aca="false">INDEX(C_Price,A217)*(1+D217)^(E217-1)</f>
        <v>25.17768</v>
      </c>
      <c r="G217" s="24" t="n">
        <f aca="false">F217*Gongsi</f>
        <v>17.3725992</v>
      </c>
      <c r="H217" s="24" t="n">
        <f aca="false">G217*FairProp</f>
        <v>10.42355952</v>
      </c>
      <c r="I217" s="44" t="n">
        <f aca="false">IF(G217&lt;=SpcLimit,SUMPRODUCT((H217&gt;SLo)*(H217-SLo)*SD),SUMPRODUCT((H217&gt;GLo)*(H217-GLo)*GD))</f>
        <v>0.03539423808</v>
      </c>
      <c r="J217" s="44" t="n">
        <f aca="false">H217*CityRate</f>
        <v>0.014592983328</v>
      </c>
      <c r="K217" s="44" t="n">
        <f aca="false">I217*EduProp</f>
        <v>0.007078847616</v>
      </c>
      <c r="L217" s="24" t="n">
        <f aca="false">MAX(0,(G217-JongDeduct)*FairJong)</f>
        <v>3.22355952</v>
      </c>
      <c r="M217" s="44" t="n">
        <f aca="false">SUMPRODUCT((L217&gt;JLo)*(L217-JLo)*JD)</f>
        <v>0.01656491664</v>
      </c>
      <c r="N217" s="44" t="n">
        <f aca="false">M217*NongJong</f>
        <v>0.003312983328</v>
      </c>
      <c r="O217" s="45" t="n">
        <f aca="false">I217+J217+K217+M217+N217</f>
        <v>0.076943968992</v>
      </c>
    </row>
    <row r="218" customFormat="false" ht="15" hidden="false" customHeight="false" outlineLevel="0" collapsed="false">
      <c r="A218" s="20" t="n">
        <v>8</v>
      </c>
      <c r="B218" s="43" t="str">
        <f aca="false">INDEX(C_Name,A218)</f>
        <v>본동 래미안트윈파크 (32평형)</v>
      </c>
      <c r="C218" s="20" t="n">
        <v>1</v>
      </c>
      <c r="D218" s="10" t="n">
        <f aca="false">CHOOSE(C218,GrowLo,GrowMid,GrowHi)</f>
        <v>0.02</v>
      </c>
      <c r="E218" s="20" t="n">
        <v>4</v>
      </c>
      <c r="F218" s="24" t="n">
        <f aca="false">INDEX(C_Price,A218)*(1+D218)^(E218-1)</f>
        <v>25.6812336</v>
      </c>
      <c r="G218" s="24" t="n">
        <f aca="false">F218*Gongsi</f>
        <v>17.720051184</v>
      </c>
      <c r="H218" s="24" t="n">
        <f aca="false">G218*FairProp</f>
        <v>10.6320307104</v>
      </c>
      <c r="I218" s="44" t="n">
        <f aca="false">IF(G218&lt;=SpcLimit,SUMPRODUCT((H218&gt;SLo)*(H218-SLo)*SD),SUMPRODUCT((H218&gt;GLo)*(H218-GLo)*GD))</f>
        <v>0.0362281228416</v>
      </c>
      <c r="J218" s="44" t="n">
        <f aca="false">H218*CityRate</f>
        <v>0.01488484299456</v>
      </c>
      <c r="K218" s="44" t="n">
        <f aca="false">I218*EduProp</f>
        <v>0.00724562456832</v>
      </c>
      <c r="L218" s="24" t="n">
        <f aca="false">MAX(0,(G218-JongDeduct)*FairJong)</f>
        <v>3.4320307104</v>
      </c>
      <c r="M218" s="44" t="n">
        <f aca="false">SUMPRODUCT((L218&gt;JLo)*(L218-JLo)*JD)</f>
        <v>0.0180242149728</v>
      </c>
      <c r="N218" s="44" t="n">
        <f aca="false">M218*NongJong</f>
        <v>0.00360484299456</v>
      </c>
      <c r="O218" s="45" t="n">
        <f aca="false">I218+J218+K218+M218+N218</f>
        <v>0.07998764837184</v>
      </c>
    </row>
    <row r="219" customFormat="false" ht="15" hidden="false" customHeight="false" outlineLevel="0" collapsed="false">
      <c r="A219" s="20" t="n">
        <v>8</v>
      </c>
      <c r="B219" s="43" t="str">
        <f aca="false">INDEX(C_Name,A219)</f>
        <v>본동 래미안트윈파크 (32평형)</v>
      </c>
      <c r="C219" s="20" t="n">
        <v>1</v>
      </c>
      <c r="D219" s="10" t="n">
        <f aca="false">CHOOSE(C219,GrowLo,GrowMid,GrowHi)</f>
        <v>0.02</v>
      </c>
      <c r="E219" s="20" t="n">
        <v>5</v>
      </c>
      <c r="F219" s="24" t="n">
        <f aca="false">INDEX(C_Price,A219)*(1+D219)^(E219-1)</f>
        <v>26.194858272</v>
      </c>
      <c r="G219" s="24" t="n">
        <f aca="false">F219*Gongsi</f>
        <v>18.07445220768</v>
      </c>
      <c r="H219" s="24" t="n">
        <f aca="false">G219*FairProp</f>
        <v>10.844671324608</v>
      </c>
      <c r="I219" s="44" t="n">
        <f aca="false">IF(G219&lt;=SpcLimit,SUMPRODUCT((H219&gt;SLo)*(H219-SLo)*SD),SUMPRODUCT((H219&gt;GLo)*(H219-GLo)*GD))</f>
        <v>0.037078685298432</v>
      </c>
      <c r="J219" s="44" t="n">
        <f aca="false">H219*CityRate</f>
        <v>0.0151825398544512</v>
      </c>
      <c r="K219" s="44" t="n">
        <f aca="false">I219*EduProp</f>
        <v>0.0074157370596864</v>
      </c>
      <c r="L219" s="24" t="n">
        <f aca="false">MAX(0,(G219-JongDeduct)*FairJong)</f>
        <v>3.644671324608</v>
      </c>
      <c r="M219" s="44" t="n">
        <f aca="false">SUMPRODUCT((L219&gt;JLo)*(L219-JLo)*JD)</f>
        <v>0.019512699272256</v>
      </c>
      <c r="N219" s="44" t="n">
        <f aca="false">M219*NongJong</f>
        <v>0.0039025398544512</v>
      </c>
      <c r="O219" s="45" t="n">
        <f aca="false">I219+J219+K219+M219+N219</f>
        <v>0.0830922013392768</v>
      </c>
    </row>
    <row r="220" customFormat="false" ht="15" hidden="false" customHeight="false" outlineLevel="0" collapsed="false">
      <c r="A220" s="20" t="n">
        <v>8</v>
      </c>
      <c r="B220" s="43" t="str">
        <f aca="false">INDEX(C_Name,A220)</f>
        <v>본동 래미안트윈파크 (32평형)</v>
      </c>
      <c r="C220" s="20" t="n">
        <v>1</v>
      </c>
      <c r="D220" s="10" t="n">
        <f aca="false">CHOOSE(C220,GrowLo,GrowMid,GrowHi)</f>
        <v>0.02</v>
      </c>
      <c r="E220" s="20" t="n">
        <v>6</v>
      </c>
      <c r="F220" s="24" t="n">
        <f aca="false">INDEX(C_Price,A220)*(1+D220)^(E220-1)</f>
        <v>26.71875543744</v>
      </c>
      <c r="G220" s="24" t="n">
        <f aca="false">F220*Gongsi</f>
        <v>18.4359412518336</v>
      </c>
      <c r="H220" s="24" t="n">
        <f aca="false">G220*FairProp</f>
        <v>11.0615647511002</v>
      </c>
      <c r="I220" s="44" t="n">
        <f aca="false">IF(G220&lt;=SpcLimit,SUMPRODUCT((H220&gt;SLo)*(H220-SLo)*SD),SUMPRODUCT((H220&gt;GLo)*(H220-GLo)*GD))</f>
        <v>0.0379462590044006</v>
      </c>
      <c r="J220" s="44" t="n">
        <f aca="false">H220*CityRate</f>
        <v>0.0154861906515402</v>
      </c>
      <c r="K220" s="44" t="n">
        <f aca="false">I220*EduProp</f>
        <v>0.00758925180088013</v>
      </c>
      <c r="L220" s="24" t="n">
        <f aca="false">MAX(0,(G220-JongDeduct)*FairJong)</f>
        <v>3.86156475110016</v>
      </c>
      <c r="M220" s="44" t="n">
        <f aca="false">SUMPRODUCT((L220&gt;JLo)*(L220-JLo)*JD)</f>
        <v>0.0210309532577011</v>
      </c>
      <c r="N220" s="44" t="n">
        <f aca="false">M220*NongJong</f>
        <v>0.00420619065154022</v>
      </c>
      <c r="O220" s="45" t="n">
        <f aca="false">I220+J220+K220+M220+N220</f>
        <v>0.0862588453660623</v>
      </c>
    </row>
    <row r="221" customFormat="false" ht="15" hidden="false" customHeight="false" outlineLevel="0" collapsed="false">
      <c r="A221" s="20" t="n">
        <v>8</v>
      </c>
      <c r="B221" s="43" t="str">
        <f aca="false">INDEX(C_Name,A221)</f>
        <v>본동 래미안트윈파크 (32평형)</v>
      </c>
      <c r="C221" s="20" t="n">
        <v>1</v>
      </c>
      <c r="D221" s="10" t="n">
        <f aca="false">CHOOSE(C221,GrowLo,GrowMid,GrowHi)</f>
        <v>0.02</v>
      </c>
      <c r="E221" s="20" t="n">
        <v>7</v>
      </c>
      <c r="F221" s="24" t="n">
        <f aca="false">INDEX(C_Price,A221)*(1+D221)^(E221-1)</f>
        <v>27.2531305461888</v>
      </c>
      <c r="G221" s="24" t="n">
        <f aca="false">F221*Gongsi</f>
        <v>18.8046600768703</v>
      </c>
      <c r="H221" s="24" t="n">
        <f aca="false">G221*FairProp</f>
        <v>11.2827960461222</v>
      </c>
      <c r="I221" s="44" t="n">
        <f aca="false">IF(G221&lt;=SpcLimit,SUMPRODUCT((H221&gt;SLo)*(H221-SLo)*SD),SUMPRODUCT((H221&gt;GLo)*(H221-GLo)*GD))</f>
        <v>0.0388311841844886</v>
      </c>
      <c r="J221" s="44" t="n">
        <f aca="false">H221*CityRate</f>
        <v>0.015795914464571</v>
      </c>
      <c r="K221" s="44" t="n">
        <f aca="false">I221*EduProp</f>
        <v>0.00776623683689773</v>
      </c>
      <c r="L221" s="24" t="n">
        <f aca="false">MAX(0,(G221-JongDeduct)*FairJong)</f>
        <v>4.08279604612216</v>
      </c>
      <c r="M221" s="44" t="n">
        <f aca="false">SUMPRODUCT((L221&gt;JLo)*(L221-JLo)*JD)</f>
        <v>0.0225795723228551</v>
      </c>
      <c r="N221" s="44" t="n">
        <f aca="false">M221*NongJong</f>
        <v>0.00451591446457103</v>
      </c>
      <c r="O221" s="45" t="n">
        <f aca="false">I221+J221+K221+M221+N221</f>
        <v>0.0894888222733836</v>
      </c>
    </row>
    <row r="222" customFormat="false" ht="15" hidden="false" customHeight="false" outlineLevel="0" collapsed="false">
      <c r="A222" s="20" t="n">
        <v>8</v>
      </c>
      <c r="B222" s="43" t="str">
        <f aca="false">INDEX(C_Name,A222)</f>
        <v>본동 래미안트윈파크 (32평형)</v>
      </c>
      <c r="C222" s="20" t="n">
        <v>1</v>
      </c>
      <c r="D222" s="10" t="n">
        <f aca="false">CHOOSE(C222,GrowLo,GrowMid,GrowHi)</f>
        <v>0.02</v>
      </c>
      <c r="E222" s="20" t="n">
        <v>8</v>
      </c>
      <c r="F222" s="24" t="n">
        <f aca="false">INDEX(C_Price,A222)*(1+D222)^(E222-1)</f>
        <v>27.7981931571126</v>
      </c>
      <c r="G222" s="24" t="n">
        <f aca="false">F222*Gongsi</f>
        <v>19.1807532784077</v>
      </c>
      <c r="H222" s="24" t="n">
        <f aca="false">G222*FairProp</f>
        <v>11.5084519670446</v>
      </c>
      <c r="I222" s="44" t="n">
        <f aca="false">IF(G222&lt;=SpcLimit,SUMPRODUCT((H222&gt;SLo)*(H222-SLo)*SD),SUMPRODUCT((H222&gt;GLo)*(H222-GLo)*GD))</f>
        <v>0.0397338078681784</v>
      </c>
      <c r="J222" s="44" t="n">
        <f aca="false">H222*CityRate</f>
        <v>0.0161118327538624</v>
      </c>
      <c r="K222" s="44" t="n">
        <f aca="false">I222*EduProp</f>
        <v>0.00794676157363568</v>
      </c>
      <c r="L222" s="24" t="n">
        <f aca="false">MAX(0,(G222-JongDeduct)*FairJong)</f>
        <v>4.30845196704461</v>
      </c>
      <c r="M222" s="44" t="n">
        <f aca="false">SUMPRODUCT((L222&gt;JLo)*(L222-JLo)*JD)</f>
        <v>0.0241591637693122</v>
      </c>
      <c r="N222" s="44" t="n">
        <f aca="false">M222*NongJong</f>
        <v>0.00483183275386245</v>
      </c>
      <c r="O222" s="45" t="n">
        <f aca="false">I222+J222+K222+M222+N222</f>
        <v>0.0927833987188513</v>
      </c>
    </row>
    <row r="223" customFormat="false" ht="15" hidden="false" customHeight="false" outlineLevel="0" collapsed="false">
      <c r="A223" s="20" t="n">
        <v>8</v>
      </c>
      <c r="B223" s="43" t="str">
        <f aca="false">INDEX(C_Name,A223)</f>
        <v>본동 래미안트윈파크 (32평형)</v>
      </c>
      <c r="C223" s="20" t="n">
        <v>1</v>
      </c>
      <c r="D223" s="10" t="n">
        <f aca="false">CHOOSE(C223,GrowLo,GrowMid,GrowHi)</f>
        <v>0.02</v>
      </c>
      <c r="E223" s="20" t="n">
        <v>9</v>
      </c>
      <c r="F223" s="24" t="n">
        <f aca="false">INDEX(C_Price,A223)*(1+D223)^(E223-1)</f>
        <v>28.3541570202548</v>
      </c>
      <c r="G223" s="24" t="n">
        <f aca="false">F223*Gongsi</f>
        <v>19.5643683439758</v>
      </c>
      <c r="H223" s="24" t="n">
        <f aca="false">G223*FairProp</f>
        <v>11.7386210063855</v>
      </c>
      <c r="I223" s="44" t="n">
        <f aca="false">IF(G223&lt;=SpcLimit,SUMPRODUCT((H223&gt;SLo)*(H223-SLo)*SD),SUMPRODUCT((H223&gt;GLo)*(H223-GLo)*GD))</f>
        <v>0.040654484025542</v>
      </c>
      <c r="J223" s="44" t="n">
        <f aca="false">H223*CityRate</f>
        <v>0.0164340694089397</v>
      </c>
      <c r="K223" s="44" t="n">
        <f aca="false">I223*EduProp</f>
        <v>0.0081308968051084</v>
      </c>
      <c r="L223" s="24" t="n">
        <f aca="false">MAX(0,(G223-JongDeduct)*FairJong)</f>
        <v>4.5386210063855</v>
      </c>
      <c r="M223" s="44" t="n">
        <f aca="false">SUMPRODUCT((L223&gt;JLo)*(L223-JLo)*JD)</f>
        <v>0.0257703470446985</v>
      </c>
      <c r="N223" s="44" t="n">
        <f aca="false">M223*NongJong</f>
        <v>0.0051540694089397</v>
      </c>
      <c r="O223" s="45" t="n">
        <f aca="false">I223+J223+K223+M223+N223</f>
        <v>0.0961438666932283</v>
      </c>
    </row>
    <row r="224" customFormat="false" ht="15" hidden="false" customHeight="false" outlineLevel="0" collapsed="false">
      <c r="A224" s="20" t="n">
        <v>8</v>
      </c>
      <c r="B224" s="43" t="str">
        <f aca="false">INDEX(C_Name,A224)</f>
        <v>본동 래미안트윈파크 (32평형)</v>
      </c>
      <c r="C224" s="20" t="n">
        <v>1</v>
      </c>
      <c r="D224" s="10" t="n">
        <f aca="false">CHOOSE(C224,GrowLo,GrowMid,GrowHi)</f>
        <v>0.02</v>
      </c>
      <c r="E224" s="20" t="n">
        <v>10</v>
      </c>
      <c r="F224" s="24" t="n">
        <f aca="false">INDEX(C_Price,A224)*(1+D224)^(E224-1)</f>
        <v>28.9212401606599</v>
      </c>
      <c r="G224" s="24" t="n">
        <f aca="false">F224*Gongsi</f>
        <v>19.9556557108554</v>
      </c>
      <c r="H224" s="24" t="n">
        <f aca="false">G224*FairProp</f>
        <v>11.9733934265132</v>
      </c>
      <c r="I224" s="44" t="n">
        <f aca="false">IF(G224&lt;=SpcLimit,SUMPRODUCT((H224&gt;SLo)*(H224-SLo)*SD),SUMPRODUCT((H224&gt;GLo)*(H224-GLo)*GD))</f>
        <v>0.0415935737060528</v>
      </c>
      <c r="J224" s="44" t="n">
        <f aca="false">H224*CityRate</f>
        <v>0.0167627507971185</v>
      </c>
      <c r="K224" s="44" t="n">
        <f aca="false">I224*EduProp</f>
        <v>0.00831871474121057</v>
      </c>
      <c r="L224" s="24" t="n">
        <f aca="false">MAX(0,(G224-JongDeduct)*FairJong)</f>
        <v>4.77339342651321</v>
      </c>
      <c r="M224" s="44" t="n">
        <f aca="false">SUMPRODUCT((L224&gt;JLo)*(L224-JLo)*JD)</f>
        <v>0.0274137539855925</v>
      </c>
      <c r="N224" s="44" t="n">
        <f aca="false">M224*NongJong</f>
        <v>0.00548275079711849</v>
      </c>
      <c r="O224" s="45" t="n">
        <f aca="false">I224+J224+K224+M224+N224</f>
        <v>0.0995715440270929</v>
      </c>
    </row>
    <row r="225" customFormat="false" ht="15" hidden="false" customHeight="false" outlineLevel="0" collapsed="false">
      <c r="A225" s="20" t="n">
        <v>8</v>
      </c>
      <c r="B225" s="43" t="str">
        <f aca="false">INDEX(C_Name,A225)</f>
        <v>본동 래미안트윈파크 (32평형)</v>
      </c>
      <c r="C225" s="20" t="n">
        <v>2</v>
      </c>
      <c r="D225" s="10" t="n">
        <f aca="false">CHOOSE(C225,GrowLo,GrowMid,GrowHi)</f>
        <v>0.04</v>
      </c>
      <c r="E225" s="20" t="n">
        <v>1</v>
      </c>
      <c r="F225" s="24" t="n">
        <f aca="false">INDEX(C_Price,A225)*(1+D225)^(E225-1)</f>
        <v>24.2</v>
      </c>
      <c r="G225" s="24" t="n">
        <f aca="false">F225*Gongsi</f>
        <v>16.698</v>
      </c>
      <c r="H225" s="24" t="n">
        <f aca="false">G225*FairProp</f>
        <v>10.0188</v>
      </c>
      <c r="I225" s="44" t="n">
        <f aca="false">IF(G225&lt;=SpcLimit,SUMPRODUCT((H225&gt;SLo)*(H225-SLo)*SD),SUMPRODUCT((H225&gt;GLo)*(H225-GLo)*GD))</f>
        <v>0.0337752</v>
      </c>
      <c r="J225" s="44" t="n">
        <f aca="false">H225*CityRate</f>
        <v>0.01402632</v>
      </c>
      <c r="K225" s="44" t="n">
        <f aca="false">I225*EduProp</f>
        <v>0.00675504</v>
      </c>
      <c r="L225" s="24" t="n">
        <f aca="false">MAX(0,(G225-JongDeduct)*FairJong)</f>
        <v>2.8188</v>
      </c>
      <c r="M225" s="44" t="n">
        <f aca="false">SUMPRODUCT((L225&gt;JLo)*(L225-JLo)*JD)</f>
        <v>0.014094</v>
      </c>
      <c r="N225" s="44" t="n">
        <f aca="false">M225*NongJong</f>
        <v>0.0028188</v>
      </c>
      <c r="O225" s="45" t="n">
        <f aca="false">I225+J225+K225+M225+N225</f>
        <v>0.07146936</v>
      </c>
    </row>
    <row r="226" customFormat="false" ht="15" hidden="false" customHeight="false" outlineLevel="0" collapsed="false">
      <c r="A226" s="20" t="n">
        <v>8</v>
      </c>
      <c r="B226" s="43" t="str">
        <f aca="false">INDEX(C_Name,A226)</f>
        <v>본동 래미안트윈파크 (32평형)</v>
      </c>
      <c r="C226" s="20" t="n">
        <v>2</v>
      </c>
      <c r="D226" s="10" t="n">
        <f aca="false">CHOOSE(C226,GrowLo,GrowMid,GrowHi)</f>
        <v>0.04</v>
      </c>
      <c r="E226" s="20" t="n">
        <v>2</v>
      </c>
      <c r="F226" s="24" t="n">
        <f aca="false">INDEX(C_Price,A226)*(1+D226)^(E226-1)</f>
        <v>25.168</v>
      </c>
      <c r="G226" s="24" t="n">
        <f aca="false">F226*Gongsi</f>
        <v>17.36592</v>
      </c>
      <c r="H226" s="24" t="n">
        <f aca="false">G226*FairProp</f>
        <v>10.419552</v>
      </c>
      <c r="I226" s="44" t="n">
        <f aca="false">IF(G226&lt;=SpcLimit,SUMPRODUCT((H226&gt;SLo)*(H226-SLo)*SD),SUMPRODUCT((H226&gt;GLo)*(H226-GLo)*GD))</f>
        <v>0.035378208</v>
      </c>
      <c r="J226" s="44" t="n">
        <f aca="false">H226*CityRate</f>
        <v>0.0145873728</v>
      </c>
      <c r="K226" s="44" t="n">
        <f aca="false">I226*EduProp</f>
        <v>0.0070756416</v>
      </c>
      <c r="L226" s="24" t="n">
        <f aca="false">MAX(0,(G226-JongDeduct)*FairJong)</f>
        <v>3.219552</v>
      </c>
      <c r="M226" s="44" t="n">
        <f aca="false">SUMPRODUCT((L226&gt;JLo)*(L226-JLo)*JD)</f>
        <v>0.016536864</v>
      </c>
      <c r="N226" s="44" t="n">
        <f aca="false">M226*NongJong</f>
        <v>0.0033073728</v>
      </c>
      <c r="O226" s="45" t="n">
        <f aca="false">I226+J226+K226+M226+N226</f>
        <v>0.0768854592</v>
      </c>
    </row>
    <row r="227" customFormat="false" ht="15" hidden="false" customHeight="false" outlineLevel="0" collapsed="false">
      <c r="A227" s="20" t="n">
        <v>8</v>
      </c>
      <c r="B227" s="43" t="str">
        <f aca="false">INDEX(C_Name,A227)</f>
        <v>본동 래미안트윈파크 (32평형)</v>
      </c>
      <c r="C227" s="20" t="n">
        <v>2</v>
      </c>
      <c r="D227" s="10" t="n">
        <f aca="false">CHOOSE(C227,GrowLo,GrowMid,GrowHi)</f>
        <v>0.04</v>
      </c>
      <c r="E227" s="20" t="n">
        <v>3</v>
      </c>
      <c r="F227" s="24" t="n">
        <f aca="false">INDEX(C_Price,A227)*(1+D227)^(E227-1)</f>
        <v>26.17472</v>
      </c>
      <c r="G227" s="24" t="n">
        <f aca="false">F227*Gongsi</f>
        <v>18.0605568</v>
      </c>
      <c r="H227" s="24" t="n">
        <f aca="false">G227*FairProp</f>
        <v>10.83633408</v>
      </c>
      <c r="I227" s="44" t="n">
        <f aca="false">IF(G227&lt;=SpcLimit,SUMPRODUCT((H227&gt;SLo)*(H227-SLo)*SD),SUMPRODUCT((H227&gt;GLo)*(H227-GLo)*GD))</f>
        <v>0.03704533632</v>
      </c>
      <c r="J227" s="44" t="n">
        <f aca="false">H227*CityRate</f>
        <v>0.015170867712</v>
      </c>
      <c r="K227" s="44" t="n">
        <f aca="false">I227*EduProp</f>
        <v>0.007409067264</v>
      </c>
      <c r="L227" s="24" t="n">
        <f aca="false">MAX(0,(G227-JongDeduct)*FairJong)</f>
        <v>3.63633408</v>
      </c>
      <c r="M227" s="44" t="n">
        <f aca="false">SUMPRODUCT((L227&gt;JLo)*(L227-JLo)*JD)</f>
        <v>0.01945433856</v>
      </c>
      <c r="N227" s="44" t="n">
        <f aca="false">M227*NongJong</f>
        <v>0.003890867712</v>
      </c>
      <c r="O227" s="45" t="n">
        <f aca="false">I227+J227+K227+M227+N227</f>
        <v>0.082970477568</v>
      </c>
    </row>
    <row r="228" customFormat="false" ht="15" hidden="false" customHeight="false" outlineLevel="0" collapsed="false">
      <c r="A228" s="20" t="n">
        <v>8</v>
      </c>
      <c r="B228" s="43" t="str">
        <f aca="false">INDEX(C_Name,A228)</f>
        <v>본동 래미안트윈파크 (32평형)</v>
      </c>
      <c r="C228" s="20" t="n">
        <v>2</v>
      </c>
      <c r="D228" s="10" t="n">
        <f aca="false">CHOOSE(C228,GrowLo,GrowMid,GrowHi)</f>
        <v>0.04</v>
      </c>
      <c r="E228" s="20" t="n">
        <v>4</v>
      </c>
      <c r="F228" s="24" t="n">
        <f aca="false">INDEX(C_Price,A228)*(1+D228)^(E228-1)</f>
        <v>27.2217088</v>
      </c>
      <c r="G228" s="24" t="n">
        <f aca="false">F228*Gongsi</f>
        <v>18.782979072</v>
      </c>
      <c r="H228" s="24" t="n">
        <f aca="false">G228*FairProp</f>
        <v>11.2697874432</v>
      </c>
      <c r="I228" s="44" t="n">
        <f aca="false">IF(G228&lt;=SpcLimit,SUMPRODUCT((H228&gt;SLo)*(H228-SLo)*SD),SUMPRODUCT((H228&gt;GLo)*(H228-GLo)*GD))</f>
        <v>0.0387791497728</v>
      </c>
      <c r="J228" s="44" t="n">
        <f aca="false">H228*CityRate</f>
        <v>0.01577770242048</v>
      </c>
      <c r="K228" s="44" t="n">
        <f aca="false">I228*EduProp</f>
        <v>0.00775582995456</v>
      </c>
      <c r="L228" s="24" t="n">
        <f aca="false">MAX(0,(G228-JongDeduct)*FairJong)</f>
        <v>4.0697874432</v>
      </c>
      <c r="M228" s="44" t="n">
        <f aca="false">SUMPRODUCT((L228&gt;JLo)*(L228-JLo)*JD)</f>
        <v>0.0224885121024</v>
      </c>
      <c r="N228" s="44" t="n">
        <f aca="false">M228*NongJong</f>
        <v>0.00449770242048</v>
      </c>
      <c r="O228" s="45" t="n">
        <f aca="false">I228+J228+K228+M228+N228</f>
        <v>0.08929889667072</v>
      </c>
    </row>
    <row r="229" customFormat="false" ht="15" hidden="false" customHeight="false" outlineLevel="0" collapsed="false">
      <c r="A229" s="20" t="n">
        <v>8</v>
      </c>
      <c r="B229" s="43" t="str">
        <f aca="false">INDEX(C_Name,A229)</f>
        <v>본동 래미안트윈파크 (32평형)</v>
      </c>
      <c r="C229" s="20" t="n">
        <v>2</v>
      </c>
      <c r="D229" s="10" t="n">
        <f aca="false">CHOOSE(C229,GrowLo,GrowMid,GrowHi)</f>
        <v>0.04</v>
      </c>
      <c r="E229" s="20" t="n">
        <v>5</v>
      </c>
      <c r="F229" s="24" t="n">
        <f aca="false">INDEX(C_Price,A229)*(1+D229)^(E229-1)</f>
        <v>28.310577152</v>
      </c>
      <c r="G229" s="24" t="n">
        <f aca="false">F229*Gongsi</f>
        <v>19.53429823488</v>
      </c>
      <c r="H229" s="24" t="n">
        <f aca="false">G229*FairProp</f>
        <v>11.720578940928</v>
      </c>
      <c r="I229" s="44" t="n">
        <f aca="false">IF(G229&lt;=SpcLimit,SUMPRODUCT((H229&gt;SLo)*(H229-SLo)*SD),SUMPRODUCT((H229&gt;GLo)*(H229-GLo)*GD))</f>
        <v>0.040582315763712</v>
      </c>
      <c r="J229" s="44" t="n">
        <f aca="false">H229*CityRate</f>
        <v>0.0164088105172992</v>
      </c>
      <c r="K229" s="44" t="n">
        <f aca="false">I229*EduProp</f>
        <v>0.0081164631527424</v>
      </c>
      <c r="L229" s="24" t="n">
        <f aca="false">MAX(0,(G229-JongDeduct)*FairJong)</f>
        <v>4.520578940928</v>
      </c>
      <c r="M229" s="44" t="n">
        <f aca="false">SUMPRODUCT((L229&gt;JLo)*(L229-JLo)*JD)</f>
        <v>0.025644052586496</v>
      </c>
      <c r="N229" s="44" t="n">
        <f aca="false">M229*NongJong</f>
        <v>0.0051288105172992</v>
      </c>
      <c r="O229" s="45" t="n">
        <f aca="false">I229+J229+K229+M229+N229</f>
        <v>0.0958804525375488</v>
      </c>
    </row>
    <row r="230" customFormat="false" ht="15" hidden="false" customHeight="false" outlineLevel="0" collapsed="false">
      <c r="A230" s="20" t="n">
        <v>8</v>
      </c>
      <c r="B230" s="43" t="str">
        <f aca="false">INDEX(C_Name,A230)</f>
        <v>본동 래미안트윈파크 (32평형)</v>
      </c>
      <c r="C230" s="20" t="n">
        <v>2</v>
      </c>
      <c r="D230" s="10" t="n">
        <f aca="false">CHOOSE(C230,GrowLo,GrowMid,GrowHi)</f>
        <v>0.04</v>
      </c>
      <c r="E230" s="20" t="n">
        <v>6</v>
      </c>
      <c r="F230" s="24" t="n">
        <f aca="false">INDEX(C_Price,A230)*(1+D230)^(E230-1)</f>
        <v>29.44300023808</v>
      </c>
      <c r="G230" s="24" t="n">
        <f aca="false">F230*Gongsi</f>
        <v>20.3156701642752</v>
      </c>
      <c r="H230" s="24" t="n">
        <f aca="false">G230*FairProp</f>
        <v>12.1894020985651</v>
      </c>
      <c r="I230" s="44" t="n">
        <f aca="false">IF(G230&lt;=SpcLimit,SUMPRODUCT((H230&gt;SLo)*(H230-SLo)*SD),SUMPRODUCT((H230&gt;GLo)*(H230-GLo)*GD))</f>
        <v>0.0424576083942605</v>
      </c>
      <c r="J230" s="44" t="n">
        <f aca="false">H230*CityRate</f>
        <v>0.0170651629379912</v>
      </c>
      <c r="K230" s="44" t="n">
        <f aca="false">I230*EduProp</f>
        <v>0.0084915216788521</v>
      </c>
      <c r="L230" s="24" t="n">
        <f aca="false">MAX(0,(G230-JongDeduct)*FairJong)</f>
        <v>4.98940209856512</v>
      </c>
      <c r="M230" s="44" t="n">
        <f aca="false">SUMPRODUCT((L230&gt;JLo)*(L230-JLo)*JD)</f>
        <v>0.0289258146899558</v>
      </c>
      <c r="N230" s="44" t="n">
        <f aca="false">M230*NongJong</f>
        <v>0.00578516293799117</v>
      </c>
      <c r="O230" s="45" t="n">
        <f aca="false">I230+J230+K230+M230+N230</f>
        <v>0.102725270639051</v>
      </c>
    </row>
    <row r="231" customFormat="false" ht="15" hidden="false" customHeight="false" outlineLevel="0" collapsed="false">
      <c r="A231" s="20" t="n">
        <v>8</v>
      </c>
      <c r="B231" s="43" t="str">
        <f aca="false">INDEX(C_Name,A231)</f>
        <v>본동 래미안트윈파크 (32평형)</v>
      </c>
      <c r="C231" s="20" t="n">
        <v>2</v>
      </c>
      <c r="D231" s="10" t="n">
        <f aca="false">CHOOSE(C231,GrowLo,GrowMid,GrowHi)</f>
        <v>0.04</v>
      </c>
      <c r="E231" s="20" t="n">
        <v>7</v>
      </c>
      <c r="F231" s="24" t="n">
        <f aca="false">INDEX(C_Price,A231)*(1+D231)^(E231-1)</f>
        <v>30.6207202476032</v>
      </c>
      <c r="G231" s="24" t="n">
        <f aca="false">F231*Gongsi</f>
        <v>21.1282969708462</v>
      </c>
      <c r="H231" s="24" t="n">
        <f aca="false">G231*FairProp</f>
        <v>12.6769781825077</v>
      </c>
      <c r="I231" s="44" t="n">
        <f aca="false">IF(G231&lt;=SpcLimit,SUMPRODUCT((H231&gt;SLo)*(H231-SLo)*SD),SUMPRODUCT((H231&gt;GLo)*(H231-GLo)*GD))</f>
        <v>0.0444079127300309</v>
      </c>
      <c r="J231" s="44" t="n">
        <f aca="false">H231*CityRate</f>
        <v>0.0177477694555108</v>
      </c>
      <c r="K231" s="44" t="n">
        <f aca="false">I231*EduProp</f>
        <v>0.00888158254600618</v>
      </c>
      <c r="L231" s="24" t="n">
        <f aca="false">MAX(0,(G231-JongDeduct)*FairJong)</f>
        <v>5.47697818250773</v>
      </c>
      <c r="M231" s="44" t="n">
        <f aca="false">SUMPRODUCT((L231&gt;JLo)*(L231-JLo)*JD)</f>
        <v>0.0323388472775541</v>
      </c>
      <c r="N231" s="44" t="n">
        <f aca="false">M231*NongJong</f>
        <v>0.00646776945551082</v>
      </c>
      <c r="O231" s="45" t="n">
        <f aca="false">I231+J231+K231+M231+N231</f>
        <v>0.109843881464613</v>
      </c>
    </row>
    <row r="232" customFormat="false" ht="15" hidden="false" customHeight="false" outlineLevel="0" collapsed="false">
      <c r="A232" s="20" t="n">
        <v>8</v>
      </c>
      <c r="B232" s="43" t="str">
        <f aca="false">INDEX(C_Name,A232)</f>
        <v>본동 래미안트윈파크 (32평형)</v>
      </c>
      <c r="C232" s="20" t="n">
        <v>2</v>
      </c>
      <c r="D232" s="10" t="n">
        <f aca="false">CHOOSE(C232,GrowLo,GrowMid,GrowHi)</f>
        <v>0.04</v>
      </c>
      <c r="E232" s="20" t="n">
        <v>8</v>
      </c>
      <c r="F232" s="24" t="n">
        <f aca="false">INDEX(C_Price,A232)*(1+D232)^(E232-1)</f>
        <v>31.8455490575073</v>
      </c>
      <c r="G232" s="24" t="n">
        <f aca="false">F232*Gongsi</f>
        <v>21.9734288496801</v>
      </c>
      <c r="H232" s="24" t="n">
        <f aca="false">G232*FairProp</f>
        <v>13.184057309808</v>
      </c>
      <c r="I232" s="44" t="n">
        <f aca="false">IF(G232&lt;=SpcLimit,SUMPRODUCT((H232&gt;SLo)*(H232-SLo)*SD),SUMPRODUCT((H232&gt;GLo)*(H232-GLo)*GD))</f>
        <v>0.0464362292392321</v>
      </c>
      <c r="J232" s="44" t="n">
        <f aca="false">H232*CityRate</f>
        <v>0.0184576802337312</v>
      </c>
      <c r="K232" s="44" t="n">
        <f aca="false">I232*EduProp</f>
        <v>0.00928724584784643</v>
      </c>
      <c r="L232" s="24" t="n">
        <f aca="false">MAX(0,(G232-JongDeduct)*FairJong)</f>
        <v>5.98405730980803</v>
      </c>
      <c r="M232" s="44" t="n">
        <f aca="false">SUMPRODUCT((L232&gt;JLo)*(L232-JLo)*JD)</f>
        <v>0.0358884011686562</v>
      </c>
      <c r="N232" s="44" t="n">
        <f aca="false">M232*NongJong</f>
        <v>0.00717768023373125</v>
      </c>
      <c r="O232" s="45" t="n">
        <f aca="false">I232+J232+K232+M232+N232</f>
        <v>0.117247236723197</v>
      </c>
    </row>
    <row r="233" customFormat="false" ht="15" hidden="false" customHeight="false" outlineLevel="0" collapsed="false">
      <c r="A233" s="20" t="n">
        <v>8</v>
      </c>
      <c r="B233" s="43" t="str">
        <f aca="false">INDEX(C_Name,A233)</f>
        <v>본동 래미안트윈파크 (32평형)</v>
      </c>
      <c r="C233" s="20" t="n">
        <v>2</v>
      </c>
      <c r="D233" s="10" t="n">
        <f aca="false">CHOOSE(C233,GrowLo,GrowMid,GrowHi)</f>
        <v>0.04</v>
      </c>
      <c r="E233" s="20" t="n">
        <v>9</v>
      </c>
      <c r="F233" s="24" t="n">
        <f aca="false">INDEX(C_Price,A233)*(1+D233)^(E233-1)</f>
        <v>33.1193710198076</v>
      </c>
      <c r="G233" s="24" t="n">
        <f aca="false">F233*Gongsi</f>
        <v>22.8523660036673</v>
      </c>
      <c r="H233" s="24" t="n">
        <f aca="false">G233*FairProp</f>
        <v>13.7114196022004</v>
      </c>
      <c r="I233" s="44" t="n">
        <f aca="false">IF(G233&lt;=SpcLimit,SUMPRODUCT((H233&gt;SLo)*(H233-SLo)*SD),SUMPRODUCT((H233&gt;GLo)*(H233-GLo)*GD))</f>
        <v>0.0485456784088014</v>
      </c>
      <c r="J233" s="44" t="n">
        <f aca="false">H233*CityRate</f>
        <v>0.0191959874430805</v>
      </c>
      <c r="K233" s="44" t="n">
        <f aca="false">I233*EduProp</f>
        <v>0.00970913568176029</v>
      </c>
      <c r="L233" s="24" t="n">
        <f aca="false">MAX(0,(G233-JongDeduct)*FairJong)</f>
        <v>6.51141960220036</v>
      </c>
      <c r="M233" s="44" t="n">
        <f aca="false">SUMPRODUCT((L233&gt;JLo)*(L233-JLo)*JD)</f>
        <v>0.0411141960220036</v>
      </c>
      <c r="N233" s="44" t="n">
        <f aca="false">M233*NongJong</f>
        <v>0.00822283920440072</v>
      </c>
      <c r="O233" s="45" t="n">
        <f aca="false">I233+J233+K233+M233+N233</f>
        <v>0.126787836760047</v>
      </c>
    </row>
    <row r="234" customFormat="false" ht="15" hidden="false" customHeight="false" outlineLevel="0" collapsed="false">
      <c r="A234" s="20" t="n">
        <v>8</v>
      </c>
      <c r="B234" s="43" t="str">
        <f aca="false">INDEX(C_Name,A234)</f>
        <v>본동 래미안트윈파크 (32평형)</v>
      </c>
      <c r="C234" s="20" t="n">
        <v>2</v>
      </c>
      <c r="D234" s="10" t="n">
        <f aca="false">CHOOSE(C234,GrowLo,GrowMid,GrowHi)</f>
        <v>0.04</v>
      </c>
      <c r="E234" s="20" t="n">
        <v>10</v>
      </c>
      <c r="F234" s="24" t="n">
        <f aca="false">INDEX(C_Price,A234)*(1+D234)^(E234-1)</f>
        <v>34.4441458605999</v>
      </c>
      <c r="G234" s="24" t="n">
        <f aca="false">F234*Gongsi</f>
        <v>23.766460643814</v>
      </c>
      <c r="H234" s="24" t="n">
        <f aca="false">G234*FairProp</f>
        <v>14.2598763862884</v>
      </c>
      <c r="I234" s="44" t="n">
        <f aca="false">IF(G234&lt;=SpcLimit,SUMPRODUCT((H234&gt;SLo)*(H234-SLo)*SD),SUMPRODUCT((H234&gt;GLo)*(H234-GLo)*GD))</f>
        <v>0.0507395055451535</v>
      </c>
      <c r="J234" s="44" t="n">
        <f aca="false">H234*CityRate</f>
        <v>0.0199638269408037</v>
      </c>
      <c r="K234" s="44" t="n">
        <f aca="false">I234*EduProp</f>
        <v>0.0101479011090307</v>
      </c>
      <c r="L234" s="24" t="n">
        <f aca="false">MAX(0,(G234-JongDeduct)*FairJong)</f>
        <v>7.05987638628837</v>
      </c>
      <c r="M234" s="44" t="n">
        <f aca="false">SUMPRODUCT((L234&gt;JLo)*(L234-JLo)*JD)</f>
        <v>0.0465987638628837</v>
      </c>
      <c r="N234" s="44" t="n">
        <f aca="false">M234*NongJong</f>
        <v>0.00931975277257675</v>
      </c>
      <c r="O234" s="45" t="n">
        <f aca="false">I234+J234+K234+M234+N234</f>
        <v>0.136769750230448</v>
      </c>
    </row>
    <row r="235" customFormat="false" ht="15" hidden="false" customHeight="false" outlineLevel="0" collapsed="false">
      <c r="A235" s="20" t="n">
        <v>8</v>
      </c>
      <c r="B235" s="43" t="str">
        <f aca="false">INDEX(C_Name,A235)</f>
        <v>본동 래미안트윈파크 (32평형)</v>
      </c>
      <c r="C235" s="20" t="n">
        <v>3</v>
      </c>
      <c r="D235" s="10" t="n">
        <f aca="false">CHOOSE(C235,GrowLo,GrowMid,GrowHi)</f>
        <v>0.06</v>
      </c>
      <c r="E235" s="20" t="n">
        <v>1</v>
      </c>
      <c r="F235" s="24" t="n">
        <f aca="false">INDEX(C_Price,A235)*(1+D235)^(E235-1)</f>
        <v>24.2</v>
      </c>
      <c r="G235" s="24" t="n">
        <f aca="false">F235*Gongsi</f>
        <v>16.698</v>
      </c>
      <c r="H235" s="24" t="n">
        <f aca="false">G235*FairProp</f>
        <v>10.0188</v>
      </c>
      <c r="I235" s="44" t="n">
        <f aca="false">IF(G235&lt;=SpcLimit,SUMPRODUCT((H235&gt;SLo)*(H235-SLo)*SD),SUMPRODUCT((H235&gt;GLo)*(H235-GLo)*GD))</f>
        <v>0.0337752</v>
      </c>
      <c r="J235" s="44" t="n">
        <f aca="false">H235*CityRate</f>
        <v>0.01402632</v>
      </c>
      <c r="K235" s="44" t="n">
        <f aca="false">I235*EduProp</f>
        <v>0.00675504</v>
      </c>
      <c r="L235" s="24" t="n">
        <f aca="false">MAX(0,(G235-JongDeduct)*FairJong)</f>
        <v>2.8188</v>
      </c>
      <c r="M235" s="44" t="n">
        <f aca="false">SUMPRODUCT((L235&gt;JLo)*(L235-JLo)*JD)</f>
        <v>0.014094</v>
      </c>
      <c r="N235" s="44" t="n">
        <f aca="false">M235*NongJong</f>
        <v>0.0028188</v>
      </c>
      <c r="O235" s="45" t="n">
        <f aca="false">I235+J235+K235+M235+N235</f>
        <v>0.07146936</v>
      </c>
    </row>
    <row r="236" customFormat="false" ht="15" hidden="false" customHeight="false" outlineLevel="0" collapsed="false">
      <c r="A236" s="20" t="n">
        <v>8</v>
      </c>
      <c r="B236" s="43" t="str">
        <f aca="false">INDEX(C_Name,A236)</f>
        <v>본동 래미안트윈파크 (32평형)</v>
      </c>
      <c r="C236" s="20" t="n">
        <v>3</v>
      </c>
      <c r="D236" s="10" t="n">
        <f aca="false">CHOOSE(C236,GrowLo,GrowMid,GrowHi)</f>
        <v>0.06</v>
      </c>
      <c r="E236" s="20" t="n">
        <v>2</v>
      </c>
      <c r="F236" s="24" t="n">
        <f aca="false">INDEX(C_Price,A236)*(1+D236)^(E236-1)</f>
        <v>25.652</v>
      </c>
      <c r="G236" s="24" t="n">
        <f aca="false">F236*Gongsi</f>
        <v>17.69988</v>
      </c>
      <c r="H236" s="24" t="n">
        <f aca="false">G236*FairProp</f>
        <v>10.619928</v>
      </c>
      <c r="I236" s="44" t="n">
        <f aca="false">IF(G236&lt;=SpcLimit,SUMPRODUCT((H236&gt;SLo)*(H236-SLo)*SD),SUMPRODUCT((H236&gt;GLo)*(H236-GLo)*GD))</f>
        <v>0.036179712</v>
      </c>
      <c r="J236" s="44" t="n">
        <f aca="false">H236*CityRate</f>
        <v>0.0148678992</v>
      </c>
      <c r="K236" s="44" t="n">
        <f aca="false">I236*EduProp</f>
        <v>0.0072359424</v>
      </c>
      <c r="L236" s="24" t="n">
        <f aca="false">MAX(0,(G236-JongDeduct)*FairJong)</f>
        <v>3.419928</v>
      </c>
      <c r="M236" s="44" t="n">
        <f aca="false">SUMPRODUCT((L236&gt;JLo)*(L236-JLo)*JD)</f>
        <v>0.017939496</v>
      </c>
      <c r="N236" s="44" t="n">
        <f aca="false">M236*NongJong</f>
        <v>0.0035878992</v>
      </c>
      <c r="O236" s="45" t="n">
        <f aca="false">I236+J236+K236+M236+N236</f>
        <v>0.0798109488</v>
      </c>
    </row>
    <row r="237" customFormat="false" ht="15" hidden="false" customHeight="false" outlineLevel="0" collapsed="false">
      <c r="A237" s="20" t="n">
        <v>8</v>
      </c>
      <c r="B237" s="43" t="str">
        <f aca="false">INDEX(C_Name,A237)</f>
        <v>본동 래미안트윈파크 (32평형)</v>
      </c>
      <c r="C237" s="20" t="n">
        <v>3</v>
      </c>
      <c r="D237" s="10" t="n">
        <f aca="false">CHOOSE(C237,GrowLo,GrowMid,GrowHi)</f>
        <v>0.06</v>
      </c>
      <c r="E237" s="20" t="n">
        <v>3</v>
      </c>
      <c r="F237" s="24" t="n">
        <f aca="false">INDEX(C_Price,A237)*(1+D237)^(E237-1)</f>
        <v>27.19112</v>
      </c>
      <c r="G237" s="24" t="n">
        <f aca="false">F237*Gongsi</f>
        <v>18.7618728</v>
      </c>
      <c r="H237" s="24" t="n">
        <f aca="false">G237*FairProp</f>
        <v>11.25712368</v>
      </c>
      <c r="I237" s="44" t="n">
        <f aca="false">IF(G237&lt;=SpcLimit,SUMPRODUCT((H237&gt;SLo)*(H237-SLo)*SD),SUMPRODUCT((H237&gt;GLo)*(H237-GLo)*GD))</f>
        <v>0.03872849472</v>
      </c>
      <c r="J237" s="44" t="n">
        <f aca="false">H237*CityRate</f>
        <v>0.015759973152</v>
      </c>
      <c r="K237" s="44" t="n">
        <f aca="false">I237*EduProp</f>
        <v>0.007745698944</v>
      </c>
      <c r="L237" s="24" t="n">
        <f aca="false">MAX(0,(G237-JongDeduct)*FairJong)</f>
        <v>4.05712368</v>
      </c>
      <c r="M237" s="44" t="n">
        <f aca="false">SUMPRODUCT((L237&gt;JLo)*(L237-JLo)*JD)</f>
        <v>0.02239986576</v>
      </c>
      <c r="N237" s="44" t="n">
        <f aca="false">M237*NongJong</f>
        <v>0.004479973152</v>
      </c>
      <c r="O237" s="45" t="n">
        <f aca="false">I237+J237+K237+M237+N237</f>
        <v>0.089114005728</v>
      </c>
    </row>
    <row r="238" customFormat="false" ht="15" hidden="false" customHeight="false" outlineLevel="0" collapsed="false">
      <c r="A238" s="20" t="n">
        <v>8</v>
      </c>
      <c r="B238" s="43" t="str">
        <f aca="false">INDEX(C_Name,A238)</f>
        <v>본동 래미안트윈파크 (32평형)</v>
      </c>
      <c r="C238" s="20" t="n">
        <v>3</v>
      </c>
      <c r="D238" s="10" t="n">
        <f aca="false">CHOOSE(C238,GrowLo,GrowMid,GrowHi)</f>
        <v>0.06</v>
      </c>
      <c r="E238" s="20" t="n">
        <v>4</v>
      </c>
      <c r="F238" s="24" t="n">
        <f aca="false">INDEX(C_Price,A238)*(1+D238)^(E238-1)</f>
        <v>28.8225872</v>
      </c>
      <c r="G238" s="24" t="n">
        <f aca="false">F238*Gongsi</f>
        <v>19.887585168</v>
      </c>
      <c r="H238" s="24" t="n">
        <f aca="false">G238*FairProp</f>
        <v>11.9325511008</v>
      </c>
      <c r="I238" s="44" t="n">
        <f aca="false">IF(G238&lt;=SpcLimit,SUMPRODUCT((H238&gt;SLo)*(H238-SLo)*SD),SUMPRODUCT((H238&gt;GLo)*(H238-GLo)*GD))</f>
        <v>0.0414302044032</v>
      </c>
      <c r="J238" s="44" t="n">
        <f aca="false">H238*CityRate</f>
        <v>0.01670557154112</v>
      </c>
      <c r="K238" s="44" t="n">
        <f aca="false">I238*EduProp</f>
        <v>0.00828604088064</v>
      </c>
      <c r="L238" s="24" t="n">
        <f aca="false">MAX(0,(G238-JongDeduct)*FairJong)</f>
        <v>4.7325511008</v>
      </c>
      <c r="M238" s="44" t="n">
        <f aca="false">SUMPRODUCT((L238&gt;JLo)*(L238-JLo)*JD)</f>
        <v>0.0271278577056</v>
      </c>
      <c r="N238" s="44" t="n">
        <f aca="false">M238*NongJong</f>
        <v>0.00542557154112</v>
      </c>
      <c r="O238" s="45" t="n">
        <f aca="false">I238+J238+K238+M238+N238</f>
        <v>0.09897524607168</v>
      </c>
    </row>
    <row r="239" customFormat="false" ht="15" hidden="false" customHeight="false" outlineLevel="0" collapsed="false">
      <c r="A239" s="20" t="n">
        <v>8</v>
      </c>
      <c r="B239" s="43" t="str">
        <f aca="false">INDEX(C_Name,A239)</f>
        <v>본동 래미안트윈파크 (32평형)</v>
      </c>
      <c r="C239" s="20" t="n">
        <v>3</v>
      </c>
      <c r="D239" s="10" t="n">
        <f aca="false">CHOOSE(C239,GrowLo,GrowMid,GrowHi)</f>
        <v>0.06</v>
      </c>
      <c r="E239" s="20" t="n">
        <v>5</v>
      </c>
      <c r="F239" s="24" t="n">
        <f aca="false">INDEX(C_Price,A239)*(1+D239)^(E239-1)</f>
        <v>30.551942432</v>
      </c>
      <c r="G239" s="24" t="n">
        <f aca="false">F239*Gongsi</f>
        <v>21.08084027808</v>
      </c>
      <c r="H239" s="24" t="n">
        <f aca="false">G239*FairProp</f>
        <v>12.648504166848</v>
      </c>
      <c r="I239" s="44" t="n">
        <f aca="false">IF(G239&lt;=SpcLimit,SUMPRODUCT((H239&gt;SLo)*(H239-SLo)*SD),SUMPRODUCT((H239&gt;GLo)*(H239-GLo)*GD))</f>
        <v>0.044294016667392</v>
      </c>
      <c r="J239" s="44" t="n">
        <f aca="false">H239*CityRate</f>
        <v>0.0177079058335872</v>
      </c>
      <c r="K239" s="44" t="n">
        <f aca="false">I239*EduProp</f>
        <v>0.0088588033334784</v>
      </c>
      <c r="L239" s="24" t="n">
        <f aca="false">MAX(0,(G239-JongDeduct)*FairJong)</f>
        <v>5.448504166848</v>
      </c>
      <c r="M239" s="44" t="n">
        <f aca="false">SUMPRODUCT((L239&gt;JLo)*(L239-JLo)*JD)</f>
        <v>0.032139529167936</v>
      </c>
      <c r="N239" s="44" t="n">
        <f aca="false">M239*NongJong</f>
        <v>0.0064279058335872</v>
      </c>
      <c r="O239" s="45" t="n">
        <f aca="false">I239+J239+K239+M239+N239</f>
        <v>0.109428160835981</v>
      </c>
    </row>
    <row r="240" customFormat="false" ht="15" hidden="false" customHeight="false" outlineLevel="0" collapsed="false">
      <c r="A240" s="20" t="n">
        <v>8</v>
      </c>
      <c r="B240" s="43" t="str">
        <f aca="false">INDEX(C_Name,A240)</f>
        <v>본동 래미안트윈파크 (32평형)</v>
      </c>
      <c r="C240" s="20" t="n">
        <v>3</v>
      </c>
      <c r="D240" s="10" t="n">
        <f aca="false">CHOOSE(C240,GrowLo,GrowMid,GrowHi)</f>
        <v>0.06</v>
      </c>
      <c r="E240" s="20" t="n">
        <v>6</v>
      </c>
      <c r="F240" s="24" t="n">
        <f aca="false">INDEX(C_Price,A240)*(1+D240)^(E240-1)</f>
        <v>32.38505897792</v>
      </c>
      <c r="G240" s="24" t="n">
        <f aca="false">F240*Gongsi</f>
        <v>22.3456906947648</v>
      </c>
      <c r="H240" s="24" t="n">
        <f aca="false">G240*FairProp</f>
        <v>13.4074144168589</v>
      </c>
      <c r="I240" s="44" t="n">
        <f aca="false">IF(G240&lt;=SpcLimit,SUMPRODUCT((H240&gt;SLo)*(H240-SLo)*SD),SUMPRODUCT((H240&gt;GLo)*(H240-GLo)*GD))</f>
        <v>0.0473296576674355</v>
      </c>
      <c r="J240" s="44" t="n">
        <f aca="false">H240*CityRate</f>
        <v>0.0187703801836024</v>
      </c>
      <c r="K240" s="44" t="n">
        <f aca="false">I240*EduProp</f>
        <v>0.00946593153348711</v>
      </c>
      <c r="L240" s="24" t="n">
        <f aca="false">MAX(0,(G240-JongDeduct)*FairJong)</f>
        <v>6.20741441685888</v>
      </c>
      <c r="M240" s="44" t="n">
        <f aca="false">SUMPRODUCT((L240&gt;JLo)*(L240-JLo)*JD)</f>
        <v>0.0380741441685888</v>
      </c>
      <c r="N240" s="44" t="n">
        <f aca="false">M240*NongJong</f>
        <v>0.00761482883371776</v>
      </c>
      <c r="O240" s="45" t="n">
        <f aca="false">I240+J240+K240+M240+N240</f>
        <v>0.121254942386832</v>
      </c>
    </row>
    <row r="241" customFormat="false" ht="15" hidden="false" customHeight="false" outlineLevel="0" collapsed="false">
      <c r="A241" s="20" t="n">
        <v>8</v>
      </c>
      <c r="B241" s="43" t="str">
        <f aca="false">INDEX(C_Name,A241)</f>
        <v>본동 래미안트윈파크 (32평형)</v>
      </c>
      <c r="C241" s="20" t="n">
        <v>3</v>
      </c>
      <c r="D241" s="10" t="n">
        <f aca="false">CHOOSE(C241,GrowLo,GrowMid,GrowHi)</f>
        <v>0.06</v>
      </c>
      <c r="E241" s="20" t="n">
        <v>7</v>
      </c>
      <c r="F241" s="24" t="n">
        <f aca="false">INDEX(C_Price,A241)*(1+D241)^(E241-1)</f>
        <v>34.3281625165952</v>
      </c>
      <c r="G241" s="24" t="n">
        <f aca="false">F241*Gongsi</f>
        <v>23.6864321364507</v>
      </c>
      <c r="H241" s="24" t="n">
        <f aca="false">G241*FairProp</f>
        <v>14.2118592818704</v>
      </c>
      <c r="I241" s="44" t="n">
        <f aca="false">IF(G241&lt;=SpcLimit,SUMPRODUCT((H241&gt;SLo)*(H241-SLo)*SD),SUMPRODUCT((H241&gt;GLo)*(H241-GLo)*GD))</f>
        <v>0.0505474371274817</v>
      </c>
      <c r="J241" s="44" t="n">
        <f aca="false">H241*CityRate</f>
        <v>0.0198966029946186</v>
      </c>
      <c r="K241" s="44" t="n">
        <f aca="false">I241*EduProp</f>
        <v>0.0101094874254963</v>
      </c>
      <c r="L241" s="24" t="n">
        <f aca="false">MAX(0,(G241-JongDeduct)*FairJong)</f>
        <v>7.01185928187041</v>
      </c>
      <c r="M241" s="44" t="n">
        <f aca="false">SUMPRODUCT((L241&gt;JLo)*(L241-JLo)*JD)</f>
        <v>0.0461185928187041</v>
      </c>
      <c r="N241" s="44" t="n">
        <f aca="false">M241*NongJong</f>
        <v>0.00922371856374083</v>
      </c>
      <c r="O241" s="45" t="n">
        <f aca="false">I241+J241+K241+M241+N241</f>
        <v>0.135895838930042</v>
      </c>
    </row>
    <row r="242" customFormat="false" ht="15" hidden="false" customHeight="false" outlineLevel="0" collapsed="false">
      <c r="A242" s="20" t="n">
        <v>8</v>
      </c>
      <c r="B242" s="43" t="str">
        <f aca="false">INDEX(C_Name,A242)</f>
        <v>본동 래미안트윈파크 (32평형)</v>
      </c>
      <c r="C242" s="20" t="n">
        <v>3</v>
      </c>
      <c r="D242" s="10" t="n">
        <f aca="false">CHOOSE(C242,GrowLo,GrowMid,GrowHi)</f>
        <v>0.06</v>
      </c>
      <c r="E242" s="20" t="n">
        <v>8</v>
      </c>
      <c r="F242" s="24" t="n">
        <f aca="false">INDEX(C_Price,A242)*(1+D242)^(E242-1)</f>
        <v>36.3878522675909</v>
      </c>
      <c r="G242" s="24" t="n">
        <f aca="false">F242*Gongsi</f>
        <v>25.1076180646377</v>
      </c>
      <c r="H242" s="24" t="n">
        <f aca="false">G242*FairProp</f>
        <v>15.0645708387826</v>
      </c>
      <c r="I242" s="44" t="n">
        <f aca="false">IF(G242&lt;=SpcLimit,SUMPRODUCT((H242&gt;SLo)*(H242-SLo)*SD),SUMPRODUCT((H242&gt;GLo)*(H242-GLo)*GD))</f>
        <v>0.0539582833551306</v>
      </c>
      <c r="J242" s="44" t="n">
        <f aca="false">H242*CityRate</f>
        <v>0.0210903991742957</v>
      </c>
      <c r="K242" s="44" t="n">
        <f aca="false">I242*EduProp</f>
        <v>0.0107916566710261</v>
      </c>
      <c r="L242" s="24" t="n">
        <f aca="false">MAX(0,(G242-JongDeduct)*FairJong)</f>
        <v>7.86457083878264</v>
      </c>
      <c r="M242" s="44" t="n">
        <f aca="false">SUMPRODUCT((L242&gt;JLo)*(L242-JLo)*JD)</f>
        <v>0.0546457083878264</v>
      </c>
      <c r="N242" s="44" t="n">
        <f aca="false">M242*NongJong</f>
        <v>0.0109291416775653</v>
      </c>
      <c r="O242" s="45" t="n">
        <f aca="false">I242+J242+K242+M242+N242</f>
        <v>0.151415189265844</v>
      </c>
    </row>
    <row r="243" customFormat="false" ht="15" hidden="false" customHeight="false" outlineLevel="0" collapsed="false">
      <c r="A243" s="20" t="n">
        <v>8</v>
      </c>
      <c r="B243" s="43" t="str">
        <f aca="false">INDEX(C_Name,A243)</f>
        <v>본동 래미안트윈파크 (32평형)</v>
      </c>
      <c r="C243" s="20" t="n">
        <v>3</v>
      </c>
      <c r="D243" s="10" t="n">
        <f aca="false">CHOOSE(C243,GrowLo,GrowMid,GrowHi)</f>
        <v>0.06</v>
      </c>
      <c r="E243" s="20" t="n">
        <v>9</v>
      </c>
      <c r="F243" s="24" t="n">
        <f aca="false">INDEX(C_Price,A243)*(1+D243)^(E243-1)</f>
        <v>38.5711234036464</v>
      </c>
      <c r="G243" s="24" t="n">
        <f aca="false">F243*Gongsi</f>
        <v>26.614075148516</v>
      </c>
      <c r="H243" s="24" t="n">
        <f aca="false">G243*FairProp</f>
        <v>15.9684450891096</v>
      </c>
      <c r="I243" s="44" t="n">
        <f aca="false">IF(G243&lt;=SpcLimit,SUMPRODUCT((H243&gt;SLo)*(H243-SLo)*SD),SUMPRODUCT((H243&gt;GLo)*(H243-GLo)*GD))</f>
        <v>0.0575737803564384</v>
      </c>
      <c r="J243" s="44" t="n">
        <f aca="false">H243*CityRate</f>
        <v>0.0223558231247534</v>
      </c>
      <c r="K243" s="44" t="n">
        <f aca="false">I243*EduProp</f>
        <v>0.0115147560712877</v>
      </c>
      <c r="L243" s="24" t="n">
        <f aca="false">MAX(0,(G243-JongDeduct)*FairJong)</f>
        <v>8.7684450891096</v>
      </c>
      <c r="M243" s="44" t="n">
        <f aca="false">SUMPRODUCT((L243&gt;JLo)*(L243-JLo)*JD)</f>
        <v>0.063684450891096</v>
      </c>
      <c r="N243" s="44" t="n">
        <f aca="false">M243*NongJong</f>
        <v>0.0127368901782192</v>
      </c>
      <c r="O243" s="45" t="n">
        <f aca="false">I243+J243+K243+M243+N243</f>
        <v>0.167865700621795</v>
      </c>
    </row>
    <row r="244" customFormat="false" ht="15" hidden="false" customHeight="false" outlineLevel="0" collapsed="false">
      <c r="A244" s="20" t="n">
        <v>8</v>
      </c>
      <c r="B244" s="43" t="str">
        <f aca="false">INDEX(C_Name,A244)</f>
        <v>본동 래미안트윈파크 (32평형)</v>
      </c>
      <c r="C244" s="20" t="n">
        <v>3</v>
      </c>
      <c r="D244" s="10" t="n">
        <f aca="false">CHOOSE(C244,GrowLo,GrowMid,GrowHi)</f>
        <v>0.06</v>
      </c>
      <c r="E244" s="20" t="n">
        <v>10</v>
      </c>
      <c r="F244" s="24" t="n">
        <f aca="false">INDEX(C_Price,A244)*(1+D244)^(E244-1)</f>
        <v>40.8853908078652</v>
      </c>
      <c r="G244" s="24" t="n">
        <f aca="false">F244*Gongsi</f>
        <v>28.210919657427</v>
      </c>
      <c r="H244" s="24" t="n">
        <f aca="false">G244*FairProp</f>
        <v>16.9265517944562</v>
      </c>
      <c r="I244" s="44" t="n">
        <f aca="false">IF(G244&lt;=SpcLimit,SUMPRODUCT((H244&gt;SLo)*(H244-SLo)*SD),SUMPRODUCT((H244&gt;GLo)*(H244-GLo)*GD))</f>
        <v>0.0614062071778247</v>
      </c>
      <c r="J244" s="44" t="n">
        <f aca="false">H244*CityRate</f>
        <v>0.0236971725122386</v>
      </c>
      <c r="K244" s="44" t="n">
        <f aca="false">I244*EduProp</f>
        <v>0.0122812414355649</v>
      </c>
      <c r="L244" s="24" t="n">
        <f aca="false">MAX(0,(G244-JongDeduct)*FairJong)</f>
        <v>9.72655179445618</v>
      </c>
      <c r="M244" s="44" t="n">
        <f aca="false">SUMPRODUCT((L244&gt;JLo)*(L244-JLo)*JD)</f>
        <v>0.0732655179445618</v>
      </c>
      <c r="N244" s="44" t="n">
        <f aca="false">M244*NongJong</f>
        <v>0.0146531035889124</v>
      </c>
      <c r="O244" s="45" t="n">
        <f aca="false">I244+J244+K244+M244+N244</f>
        <v>0.185303242659102</v>
      </c>
    </row>
    <row r="245" customFormat="false" ht="15" hidden="false" customHeight="false" outlineLevel="0" collapsed="false">
      <c r="A245" s="20" t="n">
        <v>9</v>
      </c>
      <c r="B245" s="43" t="str">
        <f aca="false">INDEX(C_Name,A245)</f>
        <v>흑석한강푸르지오 84.98㎡</v>
      </c>
      <c r="C245" s="20" t="n">
        <v>1</v>
      </c>
      <c r="D245" s="10" t="n">
        <f aca="false">CHOOSE(C245,GrowLo,GrowMid,GrowHi)</f>
        <v>0.02</v>
      </c>
      <c r="E245" s="20" t="n">
        <v>1</v>
      </c>
      <c r="F245" s="24" t="n">
        <f aca="false">INDEX(C_Price,A245)*(1+D245)^(E245-1)</f>
        <v>20</v>
      </c>
      <c r="G245" s="24" t="n">
        <f aca="false">F245*Gongsi</f>
        <v>13.8</v>
      </c>
      <c r="H245" s="24" t="n">
        <f aca="false">G245*FairProp</f>
        <v>8.28</v>
      </c>
      <c r="I245" s="44" t="n">
        <f aca="false">IF(G245&lt;=SpcLimit,SUMPRODUCT((H245&gt;SLo)*(H245-SLo)*SD),SUMPRODUCT((H245&gt;GLo)*(H245-GLo)*GD))</f>
        <v>0.02682</v>
      </c>
      <c r="J245" s="44" t="n">
        <f aca="false">H245*CityRate</f>
        <v>0.011592</v>
      </c>
      <c r="K245" s="44" t="n">
        <f aca="false">I245*EduProp</f>
        <v>0.005364</v>
      </c>
      <c r="L245" s="24" t="n">
        <f aca="false">MAX(0,(G245-JongDeduct)*FairJong)</f>
        <v>1.08</v>
      </c>
      <c r="M245" s="44" t="n">
        <f aca="false">SUMPRODUCT((L245&gt;JLo)*(L245-JLo)*JD)</f>
        <v>0.0054</v>
      </c>
      <c r="N245" s="44" t="n">
        <f aca="false">M245*NongJong</f>
        <v>0.00108</v>
      </c>
      <c r="O245" s="45" t="n">
        <f aca="false">I245+J245+K245+M245+N245</f>
        <v>0.050256</v>
      </c>
    </row>
    <row r="246" customFormat="false" ht="15" hidden="false" customHeight="false" outlineLevel="0" collapsed="false">
      <c r="A246" s="20" t="n">
        <v>9</v>
      </c>
      <c r="B246" s="43" t="str">
        <f aca="false">INDEX(C_Name,A246)</f>
        <v>흑석한강푸르지오 84.98㎡</v>
      </c>
      <c r="C246" s="20" t="n">
        <v>1</v>
      </c>
      <c r="D246" s="10" t="n">
        <f aca="false">CHOOSE(C246,GrowLo,GrowMid,GrowHi)</f>
        <v>0.02</v>
      </c>
      <c r="E246" s="20" t="n">
        <v>2</v>
      </c>
      <c r="F246" s="24" t="n">
        <f aca="false">INDEX(C_Price,A246)*(1+D246)^(E246-1)</f>
        <v>20.4</v>
      </c>
      <c r="G246" s="24" t="n">
        <f aca="false">F246*Gongsi</f>
        <v>14.076</v>
      </c>
      <c r="H246" s="24" t="n">
        <f aca="false">G246*FairProp</f>
        <v>8.4456</v>
      </c>
      <c r="I246" s="44" t="n">
        <f aca="false">IF(G246&lt;=SpcLimit,SUMPRODUCT((H246&gt;SLo)*(H246-SLo)*SD),SUMPRODUCT((H246&gt;GLo)*(H246-GLo)*GD))</f>
        <v>0.0274824</v>
      </c>
      <c r="J246" s="44" t="n">
        <f aca="false">H246*CityRate</f>
        <v>0.01182384</v>
      </c>
      <c r="K246" s="44" t="n">
        <f aca="false">I246*EduProp</f>
        <v>0.00549648</v>
      </c>
      <c r="L246" s="24" t="n">
        <f aca="false">MAX(0,(G246-JongDeduct)*FairJong)</f>
        <v>1.2456</v>
      </c>
      <c r="M246" s="44" t="n">
        <f aca="false">SUMPRODUCT((L246&gt;JLo)*(L246-JLo)*JD)</f>
        <v>0.006228</v>
      </c>
      <c r="N246" s="44" t="n">
        <f aca="false">M246*NongJong</f>
        <v>0.0012456</v>
      </c>
      <c r="O246" s="45" t="n">
        <f aca="false">I246+J246+K246+M246+N246</f>
        <v>0.05227632</v>
      </c>
    </row>
    <row r="247" customFormat="false" ht="15" hidden="false" customHeight="false" outlineLevel="0" collapsed="false">
      <c r="A247" s="20" t="n">
        <v>9</v>
      </c>
      <c r="B247" s="43" t="str">
        <f aca="false">INDEX(C_Name,A247)</f>
        <v>흑석한강푸르지오 84.98㎡</v>
      </c>
      <c r="C247" s="20" t="n">
        <v>1</v>
      </c>
      <c r="D247" s="10" t="n">
        <f aca="false">CHOOSE(C247,GrowLo,GrowMid,GrowHi)</f>
        <v>0.02</v>
      </c>
      <c r="E247" s="20" t="n">
        <v>3</v>
      </c>
      <c r="F247" s="24" t="n">
        <f aca="false">INDEX(C_Price,A247)*(1+D247)^(E247-1)</f>
        <v>20.808</v>
      </c>
      <c r="G247" s="24" t="n">
        <f aca="false">F247*Gongsi</f>
        <v>14.35752</v>
      </c>
      <c r="H247" s="24" t="n">
        <f aca="false">G247*FairProp</f>
        <v>8.614512</v>
      </c>
      <c r="I247" s="44" t="n">
        <f aca="false">IF(G247&lt;=SpcLimit,SUMPRODUCT((H247&gt;SLo)*(H247-SLo)*SD),SUMPRODUCT((H247&gt;GLo)*(H247-GLo)*GD))</f>
        <v>0.028158048</v>
      </c>
      <c r="J247" s="44" t="n">
        <f aca="false">H247*CityRate</f>
        <v>0.0120603168</v>
      </c>
      <c r="K247" s="44" t="n">
        <f aca="false">I247*EduProp</f>
        <v>0.0056316096</v>
      </c>
      <c r="L247" s="24" t="n">
        <f aca="false">MAX(0,(G247-JongDeduct)*FairJong)</f>
        <v>1.414512</v>
      </c>
      <c r="M247" s="44" t="n">
        <f aca="false">SUMPRODUCT((L247&gt;JLo)*(L247-JLo)*JD)</f>
        <v>0.00707256</v>
      </c>
      <c r="N247" s="44" t="n">
        <f aca="false">M247*NongJong</f>
        <v>0.001414512</v>
      </c>
      <c r="O247" s="45" t="n">
        <f aca="false">I247+J247+K247+M247+N247</f>
        <v>0.0543370464</v>
      </c>
    </row>
    <row r="248" customFormat="false" ht="15" hidden="false" customHeight="false" outlineLevel="0" collapsed="false">
      <c r="A248" s="20" t="n">
        <v>9</v>
      </c>
      <c r="B248" s="43" t="str">
        <f aca="false">INDEX(C_Name,A248)</f>
        <v>흑석한강푸르지오 84.98㎡</v>
      </c>
      <c r="C248" s="20" t="n">
        <v>1</v>
      </c>
      <c r="D248" s="10" t="n">
        <f aca="false">CHOOSE(C248,GrowLo,GrowMid,GrowHi)</f>
        <v>0.02</v>
      </c>
      <c r="E248" s="20" t="n">
        <v>4</v>
      </c>
      <c r="F248" s="24" t="n">
        <f aca="false">INDEX(C_Price,A248)*(1+D248)^(E248-1)</f>
        <v>21.22416</v>
      </c>
      <c r="G248" s="24" t="n">
        <f aca="false">F248*Gongsi</f>
        <v>14.6446704</v>
      </c>
      <c r="H248" s="24" t="n">
        <f aca="false">G248*FairProp</f>
        <v>8.78680224</v>
      </c>
      <c r="I248" s="44" t="n">
        <f aca="false">IF(G248&lt;=SpcLimit,SUMPRODUCT((H248&gt;SLo)*(H248-SLo)*SD),SUMPRODUCT((H248&gt;GLo)*(H248-GLo)*GD))</f>
        <v>0.02884720896</v>
      </c>
      <c r="J248" s="44" t="n">
        <f aca="false">H248*CityRate</f>
        <v>0.012301523136</v>
      </c>
      <c r="K248" s="44" t="n">
        <f aca="false">I248*EduProp</f>
        <v>0.005769441792</v>
      </c>
      <c r="L248" s="24" t="n">
        <f aca="false">MAX(0,(G248-JongDeduct)*FairJong)</f>
        <v>1.58680224</v>
      </c>
      <c r="M248" s="44" t="n">
        <f aca="false">SUMPRODUCT((L248&gt;JLo)*(L248-JLo)*JD)</f>
        <v>0.00793401120000001</v>
      </c>
      <c r="N248" s="44" t="n">
        <f aca="false">M248*NongJong</f>
        <v>0.00158680224</v>
      </c>
      <c r="O248" s="45" t="n">
        <f aca="false">I248+J248+K248+M248+N248</f>
        <v>0.056438987328</v>
      </c>
    </row>
    <row r="249" customFormat="false" ht="15" hidden="false" customHeight="false" outlineLevel="0" collapsed="false">
      <c r="A249" s="20" t="n">
        <v>9</v>
      </c>
      <c r="B249" s="43" t="str">
        <f aca="false">INDEX(C_Name,A249)</f>
        <v>흑석한강푸르지오 84.98㎡</v>
      </c>
      <c r="C249" s="20" t="n">
        <v>1</v>
      </c>
      <c r="D249" s="10" t="n">
        <f aca="false">CHOOSE(C249,GrowLo,GrowMid,GrowHi)</f>
        <v>0.02</v>
      </c>
      <c r="E249" s="20" t="n">
        <v>5</v>
      </c>
      <c r="F249" s="24" t="n">
        <f aca="false">INDEX(C_Price,A249)*(1+D249)^(E249-1)</f>
        <v>21.6486432</v>
      </c>
      <c r="G249" s="24" t="n">
        <f aca="false">F249*Gongsi</f>
        <v>14.937563808</v>
      </c>
      <c r="H249" s="24" t="n">
        <f aca="false">G249*FairProp</f>
        <v>8.9625382848</v>
      </c>
      <c r="I249" s="44" t="n">
        <f aca="false">IF(G249&lt;=SpcLimit,SUMPRODUCT((H249&gt;SLo)*(H249-SLo)*SD),SUMPRODUCT((H249&gt;GLo)*(H249-GLo)*GD))</f>
        <v>0.0295501531392</v>
      </c>
      <c r="J249" s="44" t="n">
        <f aca="false">H249*CityRate</f>
        <v>0.01254755359872</v>
      </c>
      <c r="K249" s="44" t="n">
        <f aca="false">I249*EduProp</f>
        <v>0.00591003062784</v>
      </c>
      <c r="L249" s="24" t="n">
        <f aca="false">MAX(0,(G249-JongDeduct)*FairJong)</f>
        <v>1.7625382848</v>
      </c>
      <c r="M249" s="44" t="n">
        <f aca="false">SUMPRODUCT((L249&gt;JLo)*(L249-JLo)*JD)</f>
        <v>0.008812691424</v>
      </c>
      <c r="N249" s="44" t="n">
        <f aca="false">M249*NongJong</f>
        <v>0.0017625382848</v>
      </c>
      <c r="O249" s="45" t="n">
        <f aca="false">I249+J249+K249+M249+N249</f>
        <v>0.05858296707456</v>
      </c>
    </row>
    <row r="250" customFormat="false" ht="15" hidden="false" customHeight="false" outlineLevel="0" collapsed="false">
      <c r="A250" s="20" t="n">
        <v>9</v>
      </c>
      <c r="B250" s="43" t="str">
        <f aca="false">INDEX(C_Name,A250)</f>
        <v>흑석한강푸르지오 84.98㎡</v>
      </c>
      <c r="C250" s="20" t="n">
        <v>1</v>
      </c>
      <c r="D250" s="10" t="n">
        <f aca="false">CHOOSE(C250,GrowLo,GrowMid,GrowHi)</f>
        <v>0.02</v>
      </c>
      <c r="E250" s="20" t="n">
        <v>6</v>
      </c>
      <c r="F250" s="24" t="n">
        <f aca="false">INDEX(C_Price,A250)*(1+D250)^(E250-1)</f>
        <v>22.081616064</v>
      </c>
      <c r="G250" s="24" t="n">
        <f aca="false">F250*Gongsi</f>
        <v>15.23631508416</v>
      </c>
      <c r="H250" s="24" t="n">
        <f aca="false">G250*FairProp</f>
        <v>9.141789050496</v>
      </c>
      <c r="I250" s="44" t="n">
        <f aca="false">IF(G250&lt;=SpcLimit,SUMPRODUCT((H250&gt;SLo)*(H250-SLo)*SD),SUMPRODUCT((H250&gt;GLo)*(H250-GLo)*GD))</f>
        <v>0.030267156201984</v>
      </c>
      <c r="J250" s="44" t="n">
        <f aca="false">H250*CityRate</f>
        <v>0.0127985046706944</v>
      </c>
      <c r="K250" s="44" t="n">
        <f aca="false">I250*EduProp</f>
        <v>0.0060534312403968</v>
      </c>
      <c r="L250" s="24" t="n">
        <f aca="false">MAX(0,(G250-JongDeduct)*FairJong)</f>
        <v>1.941789050496</v>
      </c>
      <c r="M250" s="44" t="n">
        <f aca="false">SUMPRODUCT((L250&gt;JLo)*(L250-JLo)*JD)</f>
        <v>0.00970894525248</v>
      </c>
      <c r="N250" s="44" t="n">
        <f aca="false">M250*NongJong</f>
        <v>0.001941789050496</v>
      </c>
      <c r="O250" s="45" t="n">
        <f aca="false">I250+J250+K250+M250+N250</f>
        <v>0.0607698264160512</v>
      </c>
    </row>
    <row r="251" customFormat="false" ht="15" hidden="false" customHeight="false" outlineLevel="0" collapsed="false">
      <c r="A251" s="20" t="n">
        <v>9</v>
      </c>
      <c r="B251" s="43" t="str">
        <f aca="false">INDEX(C_Name,A251)</f>
        <v>흑석한강푸르지오 84.98㎡</v>
      </c>
      <c r="C251" s="20" t="n">
        <v>1</v>
      </c>
      <c r="D251" s="10" t="n">
        <f aca="false">CHOOSE(C251,GrowLo,GrowMid,GrowHi)</f>
        <v>0.02</v>
      </c>
      <c r="E251" s="20" t="n">
        <v>7</v>
      </c>
      <c r="F251" s="24" t="n">
        <f aca="false">INDEX(C_Price,A251)*(1+D251)^(E251-1)</f>
        <v>22.52324838528</v>
      </c>
      <c r="G251" s="24" t="n">
        <f aca="false">F251*Gongsi</f>
        <v>15.5410413858432</v>
      </c>
      <c r="H251" s="24" t="n">
        <f aca="false">G251*FairProp</f>
        <v>9.32462483150592</v>
      </c>
      <c r="I251" s="44" t="n">
        <f aca="false">IF(G251&lt;=SpcLimit,SUMPRODUCT((H251&gt;SLo)*(H251-SLo)*SD),SUMPRODUCT((H251&gt;GLo)*(H251-GLo)*GD))</f>
        <v>0.0309984993260237</v>
      </c>
      <c r="J251" s="44" t="n">
        <f aca="false">H251*CityRate</f>
        <v>0.0130544747641083</v>
      </c>
      <c r="K251" s="44" t="n">
        <f aca="false">I251*EduProp</f>
        <v>0.00619969986520474</v>
      </c>
      <c r="L251" s="24" t="n">
        <f aca="false">MAX(0,(G251-JongDeduct)*FairJong)</f>
        <v>2.12462483150592</v>
      </c>
      <c r="M251" s="44" t="n">
        <f aca="false">SUMPRODUCT((L251&gt;JLo)*(L251-JLo)*JD)</f>
        <v>0.0106231241575296</v>
      </c>
      <c r="N251" s="44" t="n">
        <f aca="false">M251*NongJong</f>
        <v>0.00212462483150592</v>
      </c>
      <c r="O251" s="45" t="n">
        <f aca="false">I251+J251+K251+M251+N251</f>
        <v>0.0630004229443722</v>
      </c>
    </row>
    <row r="252" customFormat="false" ht="15" hidden="false" customHeight="false" outlineLevel="0" collapsed="false">
      <c r="A252" s="20" t="n">
        <v>9</v>
      </c>
      <c r="B252" s="43" t="str">
        <f aca="false">INDEX(C_Name,A252)</f>
        <v>흑석한강푸르지오 84.98㎡</v>
      </c>
      <c r="C252" s="20" t="n">
        <v>1</v>
      </c>
      <c r="D252" s="10" t="n">
        <f aca="false">CHOOSE(C252,GrowLo,GrowMid,GrowHi)</f>
        <v>0.02</v>
      </c>
      <c r="E252" s="20" t="n">
        <v>8</v>
      </c>
      <c r="F252" s="24" t="n">
        <f aca="false">INDEX(C_Price,A252)*(1+D252)^(E252-1)</f>
        <v>22.9737133529856</v>
      </c>
      <c r="G252" s="24" t="n">
        <f aca="false">F252*Gongsi</f>
        <v>15.8518622135601</v>
      </c>
      <c r="H252" s="24" t="n">
        <f aca="false">G252*FairProp</f>
        <v>9.51111732813604</v>
      </c>
      <c r="I252" s="44" t="n">
        <f aca="false">IF(G252&lt;=SpcLimit,SUMPRODUCT((H252&gt;SLo)*(H252-SLo)*SD),SUMPRODUCT((H252&gt;GLo)*(H252-GLo)*GD))</f>
        <v>0.0317444693125442</v>
      </c>
      <c r="J252" s="44" t="n">
        <f aca="false">H252*CityRate</f>
        <v>0.0133155642593905</v>
      </c>
      <c r="K252" s="44" t="n">
        <f aca="false">I252*EduProp</f>
        <v>0.00634889386250883</v>
      </c>
      <c r="L252" s="24" t="n">
        <f aca="false">MAX(0,(G252-JongDeduct)*FairJong)</f>
        <v>2.31111732813604</v>
      </c>
      <c r="M252" s="44" t="n">
        <f aca="false">SUMPRODUCT((L252&gt;JLo)*(L252-JLo)*JD)</f>
        <v>0.0115555866406802</v>
      </c>
      <c r="N252" s="44" t="n">
        <f aca="false">M252*NongJong</f>
        <v>0.00231111732813604</v>
      </c>
      <c r="O252" s="45" t="n">
        <f aca="false">I252+J252+K252+M252+N252</f>
        <v>0.0652756314032597</v>
      </c>
    </row>
    <row r="253" customFormat="false" ht="15" hidden="false" customHeight="false" outlineLevel="0" collapsed="false">
      <c r="A253" s="20" t="n">
        <v>9</v>
      </c>
      <c r="B253" s="43" t="str">
        <f aca="false">INDEX(C_Name,A253)</f>
        <v>흑석한강푸르지오 84.98㎡</v>
      </c>
      <c r="C253" s="20" t="n">
        <v>1</v>
      </c>
      <c r="D253" s="10" t="n">
        <f aca="false">CHOOSE(C253,GrowLo,GrowMid,GrowHi)</f>
        <v>0.02</v>
      </c>
      <c r="E253" s="20" t="n">
        <v>9</v>
      </c>
      <c r="F253" s="24" t="n">
        <f aca="false">INDEX(C_Price,A253)*(1+D253)^(E253-1)</f>
        <v>23.4331876200453</v>
      </c>
      <c r="G253" s="24" t="n">
        <f aca="false">F253*Gongsi</f>
        <v>16.1688994578313</v>
      </c>
      <c r="H253" s="24" t="n">
        <f aca="false">G253*FairProp</f>
        <v>9.70133967469876</v>
      </c>
      <c r="I253" s="44" t="n">
        <f aca="false">IF(G253&lt;=SpcLimit,SUMPRODUCT((H253&gt;SLo)*(H253-SLo)*SD),SUMPRODUCT((H253&gt;GLo)*(H253-GLo)*GD))</f>
        <v>0.032505358698795</v>
      </c>
      <c r="J253" s="44" t="n">
        <f aca="false">H253*CityRate</f>
        <v>0.0135818755445783</v>
      </c>
      <c r="K253" s="44" t="n">
        <f aca="false">I253*EduProp</f>
        <v>0.00650107173975901</v>
      </c>
      <c r="L253" s="24" t="n">
        <f aca="false">MAX(0,(G253-JongDeduct)*FairJong)</f>
        <v>2.50133967469876</v>
      </c>
      <c r="M253" s="44" t="n">
        <f aca="false">SUMPRODUCT((L253&gt;JLo)*(L253-JLo)*JD)</f>
        <v>0.0125066983734938</v>
      </c>
      <c r="N253" s="44" t="n">
        <f aca="false">M253*NongJong</f>
        <v>0.00250133967469876</v>
      </c>
      <c r="O253" s="45" t="n">
        <f aca="false">I253+J253+K253+M253+N253</f>
        <v>0.0675963440313249</v>
      </c>
    </row>
    <row r="254" customFormat="false" ht="15" hidden="false" customHeight="false" outlineLevel="0" collapsed="false">
      <c r="A254" s="20" t="n">
        <v>9</v>
      </c>
      <c r="B254" s="43" t="str">
        <f aca="false">INDEX(C_Name,A254)</f>
        <v>흑석한강푸르지오 84.98㎡</v>
      </c>
      <c r="C254" s="20" t="n">
        <v>1</v>
      </c>
      <c r="D254" s="10" t="n">
        <f aca="false">CHOOSE(C254,GrowLo,GrowMid,GrowHi)</f>
        <v>0.02</v>
      </c>
      <c r="E254" s="20" t="n">
        <v>10</v>
      </c>
      <c r="F254" s="24" t="n">
        <f aca="false">INDEX(C_Price,A254)*(1+D254)^(E254-1)</f>
        <v>23.9018513724462</v>
      </c>
      <c r="G254" s="24" t="n">
        <f aca="false">F254*Gongsi</f>
        <v>16.4922774469879</v>
      </c>
      <c r="H254" s="24" t="n">
        <f aca="false">G254*FairProp</f>
        <v>9.89536646819274</v>
      </c>
      <c r="I254" s="44" t="n">
        <f aca="false">IF(G254&lt;=SpcLimit,SUMPRODUCT((H254&gt;SLo)*(H254-SLo)*SD),SUMPRODUCT((H254&gt;GLo)*(H254-GLo)*GD))</f>
        <v>0.0332814658727709</v>
      </c>
      <c r="J254" s="44" t="n">
        <f aca="false">H254*CityRate</f>
        <v>0.0138535130554698</v>
      </c>
      <c r="K254" s="44" t="n">
        <f aca="false">I254*EduProp</f>
        <v>0.00665629317455419</v>
      </c>
      <c r="L254" s="24" t="n">
        <f aca="false">MAX(0,(G254-JongDeduct)*FairJong)</f>
        <v>2.69536646819273</v>
      </c>
      <c r="M254" s="44" t="n">
        <f aca="false">SUMPRODUCT((L254&gt;JLo)*(L254-JLo)*JD)</f>
        <v>0.0134768323409637</v>
      </c>
      <c r="N254" s="44" t="n">
        <f aca="false">M254*NongJong</f>
        <v>0.00269536646819274</v>
      </c>
      <c r="O254" s="45" t="n">
        <f aca="false">I254+J254+K254+M254+N254</f>
        <v>0.0699634709119514</v>
      </c>
    </row>
    <row r="255" customFormat="false" ht="15" hidden="false" customHeight="false" outlineLevel="0" collapsed="false">
      <c r="A255" s="20" t="n">
        <v>9</v>
      </c>
      <c r="B255" s="43" t="str">
        <f aca="false">INDEX(C_Name,A255)</f>
        <v>흑석한강푸르지오 84.98㎡</v>
      </c>
      <c r="C255" s="20" t="n">
        <v>2</v>
      </c>
      <c r="D255" s="10" t="n">
        <f aca="false">CHOOSE(C255,GrowLo,GrowMid,GrowHi)</f>
        <v>0.04</v>
      </c>
      <c r="E255" s="20" t="n">
        <v>1</v>
      </c>
      <c r="F255" s="24" t="n">
        <f aca="false">INDEX(C_Price,A255)*(1+D255)^(E255-1)</f>
        <v>20</v>
      </c>
      <c r="G255" s="24" t="n">
        <f aca="false">F255*Gongsi</f>
        <v>13.8</v>
      </c>
      <c r="H255" s="24" t="n">
        <f aca="false">G255*FairProp</f>
        <v>8.28</v>
      </c>
      <c r="I255" s="44" t="n">
        <f aca="false">IF(G255&lt;=SpcLimit,SUMPRODUCT((H255&gt;SLo)*(H255-SLo)*SD),SUMPRODUCT((H255&gt;GLo)*(H255-GLo)*GD))</f>
        <v>0.02682</v>
      </c>
      <c r="J255" s="44" t="n">
        <f aca="false">H255*CityRate</f>
        <v>0.011592</v>
      </c>
      <c r="K255" s="44" t="n">
        <f aca="false">I255*EduProp</f>
        <v>0.005364</v>
      </c>
      <c r="L255" s="24" t="n">
        <f aca="false">MAX(0,(G255-JongDeduct)*FairJong)</f>
        <v>1.08</v>
      </c>
      <c r="M255" s="44" t="n">
        <f aca="false">SUMPRODUCT((L255&gt;JLo)*(L255-JLo)*JD)</f>
        <v>0.0054</v>
      </c>
      <c r="N255" s="44" t="n">
        <f aca="false">M255*NongJong</f>
        <v>0.00108</v>
      </c>
      <c r="O255" s="45" t="n">
        <f aca="false">I255+J255+K255+M255+N255</f>
        <v>0.050256</v>
      </c>
    </row>
    <row r="256" customFormat="false" ht="15" hidden="false" customHeight="false" outlineLevel="0" collapsed="false">
      <c r="A256" s="20" t="n">
        <v>9</v>
      </c>
      <c r="B256" s="43" t="str">
        <f aca="false">INDEX(C_Name,A256)</f>
        <v>흑석한강푸르지오 84.98㎡</v>
      </c>
      <c r="C256" s="20" t="n">
        <v>2</v>
      </c>
      <c r="D256" s="10" t="n">
        <f aca="false">CHOOSE(C256,GrowLo,GrowMid,GrowHi)</f>
        <v>0.04</v>
      </c>
      <c r="E256" s="20" t="n">
        <v>2</v>
      </c>
      <c r="F256" s="24" t="n">
        <f aca="false">INDEX(C_Price,A256)*(1+D256)^(E256-1)</f>
        <v>20.8</v>
      </c>
      <c r="G256" s="24" t="n">
        <f aca="false">F256*Gongsi</f>
        <v>14.352</v>
      </c>
      <c r="H256" s="24" t="n">
        <f aca="false">G256*FairProp</f>
        <v>8.6112</v>
      </c>
      <c r="I256" s="44" t="n">
        <f aca="false">IF(G256&lt;=SpcLimit,SUMPRODUCT((H256&gt;SLo)*(H256-SLo)*SD),SUMPRODUCT((H256&gt;GLo)*(H256-GLo)*GD))</f>
        <v>0.0281448</v>
      </c>
      <c r="J256" s="44" t="n">
        <f aca="false">H256*CityRate</f>
        <v>0.01205568</v>
      </c>
      <c r="K256" s="44" t="n">
        <f aca="false">I256*EduProp</f>
        <v>0.00562896</v>
      </c>
      <c r="L256" s="24" t="n">
        <f aca="false">MAX(0,(G256-JongDeduct)*FairJong)</f>
        <v>1.4112</v>
      </c>
      <c r="M256" s="44" t="n">
        <f aca="false">SUMPRODUCT((L256&gt;JLo)*(L256-JLo)*JD)</f>
        <v>0.007056</v>
      </c>
      <c r="N256" s="44" t="n">
        <f aca="false">M256*NongJong</f>
        <v>0.0014112</v>
      </c>
      <c r="O256" s="45" t="n">
        <f aca="false">I256+J256+K256+M256+N256</f>
        <v>0.05429664</v>
      </c>
    </row>
    <row r="257" customFormat="false" ht="15" hidden="false" customHeight="false" outlineLevel="0" collapsed="false">
      <c r="A257" s="20" t="n">
        <v>9</v>
      </c>
      <c r="B257" s="43" t="str">
        <f aca="false">INDEX(C_Name,A257)</f>
        <v>흑석한강푸르지오 84.98㎡</v>
      </c>
      <c r="C257" s="20" t="n">
        <v>2</v>
      </c>
      <c r="D257" s="10" t="n">
        <f aca="false">CHOOSE(C257,GrowLo,GrowMid,GrowHi)</f>
        <v>0.04</v>
      </c>
      <c r="E257" s="20" t="n">
        <v>3</v>
      </c>
      <c r="F257" s="24" t="n">
        <f aca="false">INDEX(C_Price,A257)*(1+D257)^(E257-1)</f>
        <v>21.632</v>
      </c>
      <c r="G257" s="24" t="n">
        <f aca="false">F257*Gongsi</f>
        <v>14.92608</v>
      </c>
      <c r="H257" s="24" t="n">
        <f aca="false">G257*FairProp</f>
        <v>8.955648</v>
      </c>
      <c r="I257" s="44" t="n">
        <f aca="false">IF(G257&lt;=SpcLimit,SUMPRODUCT((H257&gt;SLo)*(H257-SLo)*SD),SUMPRODUCT((H257&gt;GLo)*(H257-GLo)*GD))</f>
        <v>0.029522592</v>
      </c>
      <c r="J257" s="44" t="n">
        <f aca="false">H257*CityRate</f>
        <v>0.0125379072</v>
      </c>
      <c r="K257" s="44" t="n">
        <f aca="false">I257*EduProp</f>
        <v>0.0059045184</v>
      </c>
      <c r="L257" s="24" t="n">
        <f aca="false">MAX(0,(G257-JongDeduct)*FairJong)</f>
        <v>1.755648</v>
      </c>
      <c r="M257" s="44" t="n">
        <f aca="false">SUMPRODUCT((L257&gt;JLo)*(L257-JLo)*JD)</f>
        <v>0.00877824</v>
      </c>
      <c r="N257" s="44" t="n">
        <f aca="false">M257*NongJong</f>
        <v>0.001755648</v>
      </c>
      <c r="O257" s="45" t="n">
        <f aca="false">I257+J257+K257+M257+N257</f>
        <v>0.0584989056</v>
      </c>
    </row>
    <row r="258" customFormat="false" ht="15" hidden="false" customHeight="false" outlineLevel="0" collapsed="false">
      <c r="A258" s="20" t="n">
        <v>9</v>
      </c>
      <c r="B258" s="43" t="str">
        <f aca="false">INDEX(C_Name,A258)</f>
        <v>흑석한강푸르지오 84.98㎡</v>
      </c>
      <c r="C258" s="20" t="n">
        <v>2</v>
      </c>
      <c r="D258" s="10" t="n">
        <f aca="false">CHOOSE(C258,GrowLo,GrowMid,GrowHi)</f>
        <v>0.04</v>
      </c>
      <c r="E258" s="20" t="n">
        <v>4</v>
      </c>
      <c r="F258" s="24" t="n">
        <f aca="false">INDEX(C_Price,A258)*(1+D258)^(E258-1)</f>
        <v>22.49728</v>
      </c>
      <c r="G258" s="24" t="n">
        <f aca="false">F258*Gongsi</f>
        <v>15.5231232</v>
      </c>
      <c r="H258" s="24" t="n">
        <f aca="false">G258*FairProp</f>
        <v>9.31387392</v>
      </c>
      <c r="I258" s="44" t="n">
        <f aca="false">IF(G258&lt;=SpcLimit,SUMPRODUCT((H258&gt;SLo)*(H258-SLo)*SD),SUMPRODUCT((H258&gt;GLo)*(H258-GLo)*GD))</f>
        <v>0.03095549568</v>
      </c>
      <c r="J258" s="44" t="n">
        <f aca="false">H258*CityRate</f>
        <v>0.013039423488</v>
      </c>
      <c r="K258" s="44" t="n">
        <f aca="false">I258*EduProp</f>
        <v>0.006191099136</v>
      </c>
      <c r="L258" s="24" t="n">
        <f aca="false">MAX(0,(G258-JongDeduct)*FairJong)</f>
        <v>2.11387392</v>
      </c>
      <c r="M258" s="44" t="n">
        <f aca="false">SUMPRODUCT((L258&gt;JLo)*(L258-JLo)*JD)</f>
        <v>0.0105693696</v>
      </c>
      <c r="N258" s="44" t="n">
        <f aca="false">M258*NongJong</f>
        <v>0.00211387392</v>
      </c>
      <c r="O258" s="45" t="n">
        <f aca="false">I258+J258+K258+M258+N258</f>
        <v>0.062869261824</v>
      </c>
    </row>
    <row r="259" customFormat="false" ht="15" hidden="false" customHeight="false" outlineLevel="0" collapsed="false">
      <c r="A259" s="20" t="n">
        <v>9</v>
      </c>
      <c r="B259" s="43" t="str">
        <f aca="false">INDEX(C_Name,A259)</f>
        <v>흑석한강푸르지오 84.98㎡</v>
      </c>
      <c r="C259" s="20" t="n">
        <v>2</v>
      </c>
      <c r="D259" s="10" t="n">
        <f aca="false">CHOOSE(C259,GrowLo,GrowMid,GrowHi)</f>
        <v>0.04</v>
      </c>
      <c r="E259" s="20" t="n">
        <v>5</v>
      </c>
      <c r="F259" s="24" t="n">
        <f aca="false">INDEX(C_Price,A259)*(1+D259)^(E259-1)</f>
        <v>23.3971712</v>
      </c>
      <c r="G259" s="24" t="n">
        <f aca="false">F259*Gongsi</f>
        <v>16.144048128</v>
      </c>
      <c r="H259" s="24" t="n">
        <f aca="false">G259*FairProp</f>
        <v>9.6864288768</v>
      </c>
      <c r="I259" s="44" t="n">
        <f aca="false">IF(G259&lt;=SpcLimit,SUMPRODUCT((H259&gt;SLo)*(H259-SLo)*SD),SUMPRODUCT((H259&gt;GLo)*(H259-GLo)*GD))</f>
        <v>0.0324457155072</v>
      </c>
      <c r="J259" s="44" t="n">
        <f aca="false">H259*CityRate</f>
        <v>0.01356100042752</v>
      </c>
      <c r="K259" s="44" t="n">
        <f aca="false">I259*EduProp</f>
        <v>0.00648914310144</v>
      </c>
      <c r="L259" s="24" t="n">
        <f aca="false">MAX(0,(G259-JongDeduct)*FairJong)</f>
        <v>2.4864288768</v>
      </c>
      <c r="M259" s="44" t="n">
        <f aca="false">SUMPRODUCT((L259&gt;JLo)*(L259-JLo)*JD)</f>
        <v>0.012432144384</v>
      </c>
      <c r="N259" s="44" t="n">
        <f aca="false">M259*NongJong</f>
        <v>0.0024864288768</v>
      </c>
      <c r="O259" s="45" t="n">
        <f aca="false">I259+J259+K259+M259+N259</f>
        <v>0.06741443229696</v>
      </c>
    </row>
    <row r="260" customFormat="false" ht="15" hidden="false" customHeight="false" outlineLevel="0" collapsed="false">
      <c r="A260" s="20" t="n">
        <v>9</v>
      </c>
      <c r="B260" s="43" t="str">
        <f aca="false">INDEX(C_Name,A260)</f>
        <v>흑석한강푸르지오 84.98㎡</v>
      </c>
      <c r="C260" s="20" t="n">
        <v>2</v>
      </c>
      <c r="D260" s="10" t="n">
        <f aca="false">CHOOSE(C260,GrowLo,GrowMid,GrowHi)</f>
        <v>0.04</v>
      </c>
      <c r="E260" s="20" t="n">
        <v>6</v>
      </c>
      <c r="F260" s="24" t="n">
        <f aca="false">INDEX(C_Price,A260)*(1+D260)^(E260-1)</f>
        <v>24.333058048</v>
      </c>
      <c r="G260" s="24" t="n">
        <f aca="false">F260*Gongsi</f>
        <v>16.78981005312</v>
      </c>
      <c r="H260" s="24" t="n">
        <f aca="false">G260*FairProp</f>
        <v>10.073886031872</v>
      </c>
      <c r="I260" s="44" t="n">
        <f aca="false">IF(G260&lt;=SpcLimit,SUMPRODUCT((H260&gt;SLo)*(H260-SLo)*SD),SUMPRODUCT((H260&gt;GLo)*(H260-GLo)*GD))</f>
        <v>0.033995544127488</v>
      </c>
      <c r="J260" s="44" t="n">
        <f aca="false">H260*CityRate</f>
        <v>0.0141034404446208</v>
      </c>
      <c r="K260" s="44" t="n">
        <f aca="false">I260*EduProp</f>
        <v>0.0067991088254976</v>
      </c>
      <c r="L260" s="24" t="n">
        <f aca="false">MAX(0,(G260-JongDeduct)*FairJong)</f>
        <v>2.873886031872</v>
      </c>
      <c r="M260" s="44" t="n">
        <f aca="false">SUMPRODUCT((L260&gt;JLo)*(L260-JLo)*JD)</f>
        <v>0.01436943015936</v>
      </c>
      <c r="N260" s="44" t="n">
        <f aca="false">M260*NongJong</f>
        <v>0.002873886031872</v>
      </c>
      <c r="O260" s="45" t="n">
        <f aca="false">I260+J260+K260+M260+N260</f>
        <v>0.0721414095888384</v>
      </c>
    </row>
    <row r="261" customFormat="false" ht="15" hidden="false" customHeight="false" outlineLevel="0" collapsed="false">
      <c r="A261" s="20" t="n">
        <v>9</v>
      </c>
      <c r="B261" s="43" t="str">
        <f aca="false">INDEX(C_Name,A261)</f>
        <v>흑석한강푸르지오 84.98㎡</v>
      </c>
      <c r="C261" s="20" t="n">
        <v>2</v>
      </c>
      <c r="D261" s="10" t="n">
        <f aca="false">CHOOSE(C261,GrowLo,GrowMid,GrowHi)</f>
        <v>0.04</v>
      </c>
      <c r="E261" s="20" t="n">
        <v>7</v>
      </c>
      <c r="F261" s="24" t="n">
        <f aca="false">INDEX(C_Price,A261)*(1+D261)^(E261-1)</f>
        <v>25.30638036992</v>
      </c>
      <c r="G261" s="24" t="n">
        <f aca="false">F261*Gongsi</f>
        <v>17.4614024552448</v>
      </c>
      <c r="H261" s="24" t="n">
        <f aca="false">G261*FairProp</f>
        <v>10.4768414731469</v>
      </c>
      <c r="I261" s="44" t="n">
        <f aca="false">IF(G261&lt;=SpcLimit,SUMPRODUCT((H261&gt;SLo)*(H261-SLo)*SD),SUMPRODUCT((H261&gt;GLo)*(H261-GLo)*GD))</f>
        <v>0.0356073658925875</v>
      </c>
      <c r="J261" s="44" t="n">
        <f aca="false">H261*CityRate</f>
        <v>0.0146675780624056</v>
      </c>
      <c r="K261" s="44" t="n">
        <f aca="false">I261*EduProp</f>
        <v>0.0071214731785175</v>
      </c>
      <c r="L261" s="24" t="n">
        <f aca="false">MAX(0,(G261-JongDeduct)*FairJong)</f>
        <v>3.27684147314688</v>
      </c>
      <c r="M261" s="44" t="n">
        <f aca="false">SUMPRODUCT((L261&gt;JLo)*(L261-JLo)*JD)</f>
        <v>0.0169378903120282</v>
      </c>
      <c r="N261" s="44" t="n">
        <f aca="false">M261*NongJong</f>
        <v>0.00338757806240563</v>
      </c>
      <c r="O261" s="45" t="n">
        <f aca="false">I261+J261+K261+M261+N261</f>
        <v>0.0777218855079445</v>
      </c>
    </row>
    <row r="262" customFormat="false" ht="15" hidden="false" customHeight="false" outlineLevel="0" collapsed="false">
      <c r="A262" s="20" t="n">
        <v>9</v>
      </c>
      <c r="B262" s="43" t="str">
        <f aca="false">INDEX(C_Name,A262)</f>
        <v>흑석한강푸르지오 84.98㎡</v>
      </c>
      <c r="C262" s="20" t="n">
        <v>2</v>
      </c>
      <c r="D262" s="10" t="n">
        <f aca="false">CHOOSE(C262,GrowLo,GrowMid,GrowHi)</f>
        <v>0.04</v>
      </c>
      <c r="E262" s="20" t="n">
        <v>8</v>
      </c>
      <c r="F262" s="24" t="n">
        <f aca="false">INDEX(C_Price,A262)*(1+D262)^(E262-1)</f>
        <v>26.3186355847168</v>
      </c>
      <c r="G262" s="24" t="n">
        <f aca="false">F262*Gongsi</f>
        <v>18.1598585534546</v>
      </c>
      <c r="H262" s="24" t="n">
        <f aca="false">G262*FairProp</f>
        <v>10.8959151320728</v>
      </c>
      <c r="I262" s="44" t="n">
        <f aca="false">IF(G262&lt;=SpcLimit,SUMPRODUCT((H262&gt;SLo)*(H262-SLo)*SD),SUMPRODUCT((H262&gt;GLo)*(H262-GLo)*GD))</f>
        <v>0.037283660528291</v>
      </c>
      <c r="J262" s="44" t="n">
        <f aca="false">H262*CityRate</f>
        <v>0.0152542811849019</v>
      </c>
      <c r="K262" s="44" t="n">
        <f aca="false">I262*EduProp</f>
        <v>0.00745673210565821</v>
      </c>
      <c r="L262" s="24" t="n">
        <f aca="false">MAX(0,(G262-JongDeduct)*FairJong)</f>
        <v>3.69591513207276</v>
      </c>
      <c r="M262" s="44" t="n">
        <f aca="false">SUMPRODUCT((L262&gt;JLo)*(L262-JLo)*JD)</f>
        <v>0.0198714059245093</v>
      </c>
      <c r="N262" s="44" t="n">
        <f aca="false">M262*NongJong</f>
        <v>0.00397428118490186</v>
      </c>
      <c r="O262" s="45" t="n">
        <f aca="false">I262+J262+K262+M262+N262</f>
        <v>0.0838403609282622</v>
      </c>
    </row>
    <row r="263" customFormat="false" ht="15" hidden="false" customHeight="false" outlineLevel="0" collapsed="false">
      <c r="A263" s="20" t="n">
        <v>9</v>
      </c>
      <c r="B263" s="43" t="str">
        <f aca="false">INDEX(C_Name,A263)</f>
        <v>흑석한강푸르지오 84.98㎡</v>
      </c>
      <c r="C263" s="20" t="n">
        <v>2</v>
      </c>
      <c r="D263" s="10" t="n">
        <f aca="false">CHOOSE(C263,GrowLo,GrowMid,GrowHi)</f>
        <v>0.04</v>
      </c>
      <c r="E263" s="20" t="n">
        <v>9</v>
      </c>
      <c r="F263" s="24" t="n">
        <f aca="false">INDEX(C_Price,A263)*(1+D263)^(E263-1)</f>
        <v>27.3713810081055</v>
      </c>
      <c r="G263" s="24" t="n">
        <f aca="false">F263*Gongsi</f>
        <v>18.8862528955928</v>
      </c>
      <c r="H263" s="24" t="n">
        <f aca="false">G263*FairProp</f>
        <v>11.3317517373557</v>
      </c>
      <c r="I263" s="44" t="n">
        <f aca="false">IF(G263&lt;=SpcLimit,SUMPRODUCT((H263&gt;SLo)*(H263-SLo)*SD),SUMPRODUCT((H263&gt;GLo)*(H263-GLo)*GD))</f>
        <v>0.0390270069494227</v>
      </c>
      <c r="J263" s="44" t="n">
        <f aca="false">H263*CityRate</f>
        <v>0.0158644524322979</v>
      </c>
      <c r="K263" s="44" t="n">
        <f aca="false">I263*EduProp</f>
        <v>0.00780540138988453</v>
      </c>
      <c r="L263" s="24" t="n">
        <f aca="false">MAX(0,(G263-JongDeduct)*FairJong)</f>
        <v>4.13175173735567</v>
      </c>
      <c r="M263" s="44" t="n">
        <f aca="false">SUMPRODUCT((L263&gt;JLo)*(L263-JLo)*JD)</f>
        <v>0.0229222621614897</v>
      </c>
      <c r="N263" s="44" t="n">
        <f aca="false">M263*NongJong</f>
        <v>0.00458445243229793</v>
      </c>
      <c r="O263" s="45" t="n">
        <f aca="false">I263+J263+K263+M263+N263</f>
        <v>0.0902035753653927</v>
      </c>
    </row>
    <row r="264" customFormat="false" ht="15" hidden="false" customHeight="false" outlineLevel="0" collapsed="false">
      <c r="A264" s="20" t="n">
        <v>9</v>
      </c>
      <c r="B264" s="43" t="str">
        <f aca="false">INDEX(C_Name,A264)</f>
        <v>흑석한강푸르지오 84.98㎡</v>
      </c>
      <c r="C264" s="20" t="n">
        <v>2</v>
      </c>
      <c r="D264" s="10" t="n">
        <f aca="false">CHOOSE(C264,GrowLo,GrowMid,GrowHi)</f>
        <v>0.04</v>
      </c>
      <c r="E264" s="20" t="n">
        <v>10</v>
      </c>
      <c r="F264" s="24" t="n">
        <f aca="false">INDEX(C_Price,A264)*(1+D264)^(E264-1)</f>
        <v>28.4662362484297</v>
      </c>
      <c r="G264" s="24" t="n">
        <f aca="false">F264*Gongsi</f>
        <v>19.6417030114165</v>
      </c>
      <c r="H264" s="24" t="n">
        <f aca="false">G264*FairProp</f>
        <v>11.7850218068499</v>
      </c>
      <c r="I264" s="44" t="n">
        <f aca="false">IF(G264&lt;=SpcLimit,SUMPRODUCT((H264&gt;SLo)*(H264-SLo)*SD),SUMPRODUCT((H264&gt;GLo)*(H264-GLo)*GD))</f>
        <v>0.0408400872273996</v>
      </c>
      <c r="J264" s="44" t="n">
        <f aca="false">H264*CityRate</f>
        <v>0.0164990305295899</v>
      </c>
      <c r="K264" s="44" t="n">
        <f aca="false">I264*EduProp</f>
        <v>0.00816801744547992</v>
      </c>
      <c r="L264" s="24" t="n">
        <f aca="false">MAX(0,(G264-JongDeduct)*FairJong)</f>
        <v>4.58502180684989</v>
      </c>
      <c r="M264" s="44" t="n">
        <f aca="false">SUMPRODUCT((L264&gt;JLo)*(L264-JLo)*JD)</f>
        <v>0.0260951526479493</v>
      </c>
      <c r="N264" s="44" t="n">
        <f aca="false">M264*NongJong</f>
        <v>0.00521903052958985</v>
      </c>
      <c r="O264" s="45" t="n">
        <f aca="false">I264+J264+K264+M264+N264</f>
        <v>0.0968213183800084</v>
      </c>
    </row>
    <row r="265" customFormat="false" ht="15" hidden="false" customHeight="false" outlineLevel="0" collapsed="false">
      <c r="A265" s="20" t="n">
        <v>9</v>
      </c>
      <c r="B265" s="43" t="str">
        <f aca="false">INDEX(C_Name,A265)</f>
        <v>흑석한강푸르지오 84.98㎡</v>
      </c>
      <c r="C265" s="20" t="n">
        <v>3</v>
      </c>
      <c r="D265" s="10" t="n">
        <f aca="false">CHOOSE(C265,GrowLo,GrowMid,GrowHi)</f>
        <v>0.06</v>
      </c>
      <c r="E265" s="20" t="n">
        <v>1</v>
      </c>
      <c r="F265" s="24" t="n">
        <f aca="false">INDEX(C_Price,A265)*(1+D265)^(E265-1)</f>
        <v>20</v>
      </c>
      <c r="G265" s="24" t="n">
        <f aca="false">F265*Gongsi</f>
        <v>13.8</v>
      </c>
      <c r="H265" s="24" t="n">
        <f aca="false">G265*FairProp</f>
        <v>8.28</v>
      </c>
      <c r="I265" s="44" t="n">
        <f aca="false">IF(G265&lt;=SpcLimit,SUMPRODUCT((H265&gt;SLo)*(H265-SLo)*SD),SUMPRODUCT((H265&gt;GLo)*(H265-GLo)*GD))</f>
        <v>0.02682</v>
      </c>
      <c r="J265" s="44" t="n">
        <f aca="false">H265*CityRate</f>
        <v>0.011592</v>
      </c>
      <c r="K265" s="44" t="n">
        <f aca="false">I265*EduProp</f>
        <v>0.005364</v>
      </c>
      <c r="L265" s="24" t="n">
        <f aca="false">MAX(0,(G265-JongDeduct)*FairJong)</f>
        <v>1.08</v>
      </c>
      <c r="M265" s="44" t="n">
        <f aca="false">SUMPRODUCT((L265&gt;JLo)*(L265-JLo)*JD)</f>
        <v>0.0054</v>
      </c>
      <c r="N265" s="44" t="n">
        <f aca="false">M265*NongJong</f>
        <v>0.00108</v>
      </c>
      <c r="O265" s="45" t="n">
        <f aca="false">I265+J265+K265+M265+N265</f>
        <v>0.050256</v>
      </c>
    </row>
    <row r="266" customFormat="false" ht="15" hidden="false" customHeight="false" outlineLevel="0" collapsed="false">
      <c r="A266" s="20" t="n">
        <v>9</v>
      </c>
      <c r="B266" s="43" t="str">
        <f aca="false">INDEX(C_Name,A266)</f>
        <v>흑석한강푸르지오 84.98㎡</v>
      </c>
      <c r="C266" s="20" t="n">
        <v>3</v>
      </c>
      <c r="D266" s="10" t="n">
        <f aca="false">CHOOSE(C266,GrowLo,GrowMid,GrowHi)</f>
        <v>0.06</v>
      </c>
      <c r="E266" s="20" t="n">
        <v>2</v>
      </c>
      <c r="F266" s="24" t="n">
        <f aca="false">INDEX(C_Price,A266)*(1+D266)^(E266-1)</f>
        <v>21.2</v>
      </c>
      <c r="G266" s="24" t="n">
        <f aca="false">F266*Gongsi</f>
        <v>14.628</v>
      </c>
      <c r="H266" s="24" t="n">
        <f aca="false">G266*FairProp</f>
        <v>8.7768</v>
      </c>
      <c r="I266" s="44" t="n">
        <f aca="false">IF(G266&lt;=SpcLimit,SUMPRODUCT((H266&gt;SLo)*(H266-SLo)*SD),SUMPRODUCT((H266&gt;GLo)*(H266-GLo)*GD))</f>
        <v>0.0288072</v>
      </c>
      <c r="J266" s="44" t="n">
        <f aca="false">H266*CityRate</f>
        <v>0.01228752</v>
      </c>
      <c r="K266" s="44" t="n">
        <f aca="false">I266*EduProp</f>
        <v>0.00576144</v>
      </c>
      <c r="L266" s="24" t="n">
        <f aca="false">MAX(0,(G266-JongDeduct)*FairJong)</f>
        <v>1.5768</v>
      </c>
      <c r="M266" s="44" t="n">
        <f aca="false">SUMPRODUCT((L266&gt;JLo)*(L266-JLo)*JD)</f>
        <v>0.007884</v>
      </c>
      <c r="N266" s="44" t="n">
        <f aca="false">M266*NongJong</f>
        <v>0.0015768</v>
      </c>
      <c r="O266" s="45" t="n">
        <f aca="false">I266+J266+K266+M266+N266</f>
        <v>0.05631696</v>
      </c>
    </row>
    <row r="267" customFormat="false" ht="15" hidden="false" customHeight="false" outlineLevel="0" collapsed="false">
      <c r="A267" s="20" t="n">
        <v>9</v>
      </c>
      <c r="B267" s="43" t="str">
        <f aca="false">INDEX(C_Name,A267)</f>
        <v>흑석한강푸르지오 84.98㎡</v>
      </c>
      <c r="C267" s="20" t="n">
        <v>3</v>
      </c>
      <c r="D267" s="10" t="n">
        <f aca="false">CHOOSE(C267,GrowLo,GrowMid,GrowHi)</f>
        <v>0.06</v>
      </c>
      <c r="E267" s="20" t="n">
        <v>3</v>
      </c>
      <c r="F267" s="24" t="n">
        <f aca="false">INDEX(C_Price,A267)*(1+D267)^(E267-1)</f>
        <v>22.472</v>
      </c>
      <c r="G267" s="24" t="n">
        <f aca="false">F267*Gongsi</f>
        <v>15.50568</v>
      </c>
      <c r="H267" s="24" t="n">
        <f aca="false">G267*FairProp</f>
        <v>9.303408</v>
      </c>
      <c r="I267" s="44" t="n">
        <f aca="false">IF(G267&lt;=SpcLimit,SUMPRODUCT((H267&gt;SLo)*(H267-SLo)*SD),SUMPRODUCT((H267&gt;GLo)*(H267-GLo)*GD))</f>
        <v>0.030913632</v>
      </c>
      <c r="J267" s="44" t="n">
        <f aca="false">H267*CityRate</f>
        <v>0.0130247712</v>
      </c>
      <c r="K267" s="44" t="n">
        <f aca="false">I267*EduProp</f>
        <v>0.0061827264</v>
      </c>
      <c r="L267" s="24" t="n">
        <f aca="false">MAX(0,(G267-JongDeduct)*FairJong)</f>
        <v>2.103408</v>
      </c>
      <c r="M267" s="44" t="n">
        <f aca="false">SUMPRODUCT((L267&gt;JLo)*(L267-JLo)*JD)</f>
        <v>0.01051704</v>
      </c>
      <c r="N267" s="44" t="n">
        <f aca="false">M267*NongJong</f>
        <v>0.002103408</v>
      </c>
      <c r="O267" s="45" t="n">
        <f aca="false">I267+J267+K267+M267+N267</f>
        <v>0.0627415776</v>
      </c>
    </row>
    <row r="268" customFormat="false" ht="15" hidden="false" customHeight="false" outlineLevel="0" collapsed="false">
      <c r="A268" s="20" t="n">
        <v>9</v>
      </c>
      <c r="B268" s="43" t="str">
        <f aca="false">INDEX(C_Name,A268)</f>
        <v>흑석한강푸르지오 84.98㎡</v>
      </c>
      <c r="C268" s="20" t="n">
        <v>3</v>
      </c>
      <c r="D268" s="10" t="n">
        <f aca="false">CHOOSE(C268,GrowLo,GrowMid,GrowHi)</f>
        <v>0.06</v>
      </c>
      <c r="E268" s="20" t="n">
        <v>4</v>
      </c>
      <c r="F268" s="24" t="n">
        <f aca="false">INDEX(C_Price,A268)*(1+D268)^(E268-1)</f>
        <v>23.82032</v>
      </c>
      <c r="G268" s="24" t="n">
        <f aca="false">F268*Gongsi</f>
        <v>16.4360208</v>
      </c>
      <c r="H268" s="24" t="n">
        <f aca="false">G268*FairProp</f>
        <v>9.86161248</v>
      </c>
      <c r="I268" s="44" t="n">
        <f aca="false">IF(G268&lt;=SpcLimit,SUMPRODUCT((H268&gt;SLo)*(H268-SLo)*SD),SUMPRODUCT((H268&gt;GLo)*(H268-GLo)*GD))</f>
        <v>0.03314644992</v>
      </c>
      <c r="J268" s="44" t="n">
        <f aca="false">H268*CityRate</f>
        <v>0.013806257472</v>
      </c>
      <c r="K268" s="44" t="n">
        <f aca="false">I268*EduProp</f>
        <v>0.006629289984</v>
      </c>
      <c r="L268" s="24" t="n">
        <f aca="false">MAX(0,(G268-JongDeduct)*FairJong)</f>
        <v>2.66161248</v>
      </c>
      <c r="M268" s="44" t="n">
        <f aca="false">SUMPRODUCT((L268&gt;JLo)*(L268-JLo)*JD)</f>
        <v>0.0133080624</v>
      </c>
      <c r="N268" s="44" t="n">
        <f aca="false">M268*NongJong</f>
        <v>0.00266161248</v>
      </c>
      <c r="O268" s="45" t="n">
        <f aca="false">I268+J268+K268+M268+N268</f>
        <v>0.069551672256</v>
      </c>
    </row>
    <row r="269" customFormat="false" ht="15" hidden="false" customHeight="false" outlineLevel="0" collapsed="false">
      <c r="A269" s="20" t="n">
        <v>9</v>
      </c>
      <c r="B269" s="43" t="str">
        <f aca="false">INDEX(C_Name,A269)</f>
        <v>흑석한강푸르지오 84.98㎡</v>
      </c>
      <c r="C269" s="20" t="n">
        <v>3</v>
      </c>
      <c r="D269" s="10" t="n">
        <f aca="false">CHOOSE(C269,GrowLo,GrowMid,GrowHi)</f>
        <v>0.06</v>
      </c>
      <c r="E269" s="20" t="n">
        <v>5</v>
      </c>
      <c r="F269" s="24" t="n">
        <f aca="false">INDEX(C_Price,A269)*(1+D269)^(E269-1)</f>
        <v>25.2495392</v>
      </c>
      <c r="G269" s="24" t="n">
        <f aca="false">F269*Gongsi</f>
        <v>17.422182048</v>
      </c>
      <c r="H269" s="24" t="n">
        <f aca="false">G269*FairProp</f>
        <v>10.4533092288</v>
      </c>
      <c r="I269" s="44" t="n">
        <f aca="false">IF(G269&lt;=SpcLimit,SUMPRODUCT((H269&gt;SLo)*(H269-SLo)*SD),SUMPRODUCT((H269&gt;GLo)*(H269-GLo)*GD))</f>
        <v>0.0355132369152</v>
      </c>
      <c r="J269" s="44" t="n">
        <f aca="false">H269*CityRate</f>
        <v>0.01463463292032</v>
      </c>
      <c r="K269" s="44" t="n">
        <f aca="false">I269*EduProp</f>
        <v>0.00710264738304</v>
      </c>
      <c r="L269" s="24" t="n">
        <f aca="false">MAX(0,(G269-JongDeduct)*FairJong)</f>
        <v>3.2533092288</v>
      </c>
      <c r="M269" s="44" t="n">
        <f aca="false">SUMPRODUCT((L269&gt;JLo)*(L269-JLo)*JD)</f>
        <v>0.0167731646016</v>
      </c>
      <c r="N269" s="44" t="n">
        <f aca="false">M269*NongJong</f>
        <v>0.00335463292032</v>
      </c>
      <c r="O269" s="45" t="n">
        <f aca="false">I269+J269+K269+M269+N269</f>
        <v>0.07737831474048</v>
      </c>
    </row>
    <row r="270" customFormat="false" ht="15" hidden="false" customHeight="false" outlineLevel="0" collapsed="false">
      <c r="A270" s="20" t="n">
        <v>9</v>
      </c>
      <c r="B270" s="43" t="str">
        <f aca="false">INDEX(C_Name,A270)</f>
        <v>흑석한강푸르지오 84.98㎡</v>
      </c>
      <c r="C270" s="20" t="n">
        <v>3</v>
      </c>
      <c r="D270" s="10" t="n">
        <f aca="false">CHOOSE(C270,GrowLo,GrowMid,GrowHi)</f>
        <v>0.06</v>
      </c>
      <c r="E270" s="20" t="n">
        <v>6</v>
      </c>
      <c r="F270" s="24" t="n">
        <f aca="false">INDEX(C_Price,A270)*(1+D270)^(E270-1)</f>
        <v>26.764511552</v>
      </c>
      <c r="G270" s="24" t="n">
        <f aca="false">F270*Gongsi</f>
        <v>18.46751297088</v>
      </c>
      <c r="H270" s="24" t="n">
        <f aca="false">G270*FairProp</f>
        <v>11.080507782528</v>
      </c>
      <c r="I270" s="44" t="n">
        <f aca="false">IF(G270&lt;=SpcLimit,SUMPRODUCT((H270&gt;SLo)*(H270-SLo)*SD),SUMPRODUCT((H270&gt;GLo)*(H270-GLo)*GD))</f>
        <v>0.038022031130112</v>
      </c>
      <c r="J270" s="44" t="n">
        <f aca="false">H270*CityRate</f>
        <v>0.0155127108955392</v>
      </c>
      <c r="K270" s="44" t="n">
        <f aca="false">I270*EduProp</f>
        <v>0.0076044062260224</v>
      </c>
      <c r="L270" s="24" t="n">
        <f aca="false">MAX(0,(G270-JongDeduct)*FairJong)</f>
        <v>3.880507782528</v>
      </c>
      <c r="M270" s="44" t="n">
        <f aca="false">SUMPRODUCT((L270&gt;JLo)*(L270-JLo)*JD)</f>
        <v>0.021163554477696</v>
      </c>
      <c r="N270" s="44" t="n">
        <f aca="false">M270*NongJong</f>
        <v>0.0042327108955392</v>
      </c>
      <c r="O270" s="45" t="n">
        <f aca="false">I270+J270+K270+M270+N270</f>
        <v>0.0865354136249088</v>
      </c>
    </row>
    <row r="271" customFormat="false" ht="15" hidden="false" customHeight="false" outlineLevel="0" collapsed="false">
      <c r="A271" s="20" t="n">
        <v>9</v>
      </c>
      <c r="B271" s="43" t="str">
        <f aca="false">INDEX(C_Name,A271)</f>
        <v>흑석한강푸르지오 84.98㎡</v>
      </c>
      <c r="C271" s="20" t="n">
        <v>3</v>
      </c>
      <c r="D271" s="10" t="n">
        <f aca="false">CHOOSE(C271,GrowLo,GrowMid,GrowHi)</f>
        <v>0.06</v>
      </c>
      <c r="E271" s="20" t="n">
        <v>7</v>
      </c>
      <c r="F271" s="24" t="n">
        <f aca="false">INDEX(C_Price,A271)*(1+D271)^(E271-1)</f>
        <v>28.37038224512</v>
      </c>
      <c r="G271" s="24" t="n">
        <f aca="false">F271*Gongsi</f>
        <v>19.5755637491328</v>
      </c>
      <c r="H271" s="24" t="n">
        <f aca="false">G271*FairProp</f>
        <v>11.7453382494797</v>
      </c>
      <c r="I271" s="44" t="n">
        <f aca="false">IF(G271&lt;=SpcLimit,SUMPRODUCT((H271&gt;SLo)*(H271-SLo)*SD),SUMPRODUCT((H271&gt;GLo)*(H271-GLo)*GD))</f>
        <v>0.0406813529979187</v>
      </c>
      <c r="J271" s="44" t="n">
        <f aca="false">H271*CityRate</f>
        <v>0.0164434735492716</v>
      </c>
      <c r="K271" s="44" t="n">
        <f aca="false">I271*EduProp</f>
        <v>0.00813627059958375</v>
      </c>
      <c r="L271" s="24" t="n">
        <f aca="false">MAX(0,(G271-JongDeduct)*FairJong)</f>
        <v>4.54533824947968</v>
      </c>
      <c r="M271" s="44" t="n">
        <f aca="false">SUMPRODUCT((L271&gt;JLo)*(L271-JLo)*JD)</f>
        <v>0.0258173677463578</v>
      </c>
      <c r="N271" s="44" t="n">
        <f aca="false">M271*NongJong</f>
        <v>0.00516347354927155</v>
      </c>
      <c r="O271" s="45" t="n">
        <f aca="false">I271+J271+K271+M271+N271</f>
        <v>0.0962419384424033</v>
      </c>
    </row>
    <row r="272" customFormat="false" ht="15" hidden="false" customHeight="false" outlineLevel="0" collapsed="false">
      <c r="A272" s="20" t="n">
        <v>9</v>
      </c>
      <c r="B272" s="43" t="str">
        <f aca="false">INDEX(C_Name,A272)</f>
        <v>흑석한강푸르지오 84.98㎡</v>
      </c>
      <c r="C272" s="20" t="n">
        <v>3</v>
      </c>
      <c r="D272" s="10" t="n">
        <f aca="false">CHOOSE(C272,GrowLo,GrowMid,GrowHi)</f>
        <v>0.06</v>
      </c>
      <c r="E272" s="20" t="n">
        <v>8</v>
      </c>
      <c r="F272" s="24" t="n">
        <f aca="false">INDEX(C_Price,A272)*(1+D272)^(E272-1)</f>
        <v>30.0726051798272</v>
      </c>
      <c r="G272" s="24" t="n">
        <f aca="false">F272*Gongsi</f>
        <v>20.7500975740808</v>
      </c>
      <c r="H272" s="24" t="n">
        <f aca="false">G272*FairProp</f>
        <v>12.4500585444485</v>
      </c>
      <c r="I272" s="44" t="n">
        <f aca="false">IF(G272&lt;=SpcLimit,SUMPRODUCT((H272&gt;SLo)*(H272-SLo)*SD),SUMPRODUCT((H272&gt;GLo)*(H272-GLo)*GD))</f>
        <v>0.0435002341777939</v>
      </c>
      <c r="J272" s="44" t="n">
        <f aca="false">H272*CityRate</f>
        <v>0.0174300819622279</v>
      </c>
      <c r="K272" s="44" t="n">
        <f aca="false">I272*EduProp</f>
        <v>0.00870004683555877</v>
      </c>
      <c r="L272" s="24" t="n">
        <f aca="false">MAX(0,(G272-JongDeduct)*FairJong)</f>
        <v>5.25005854444847</v>
      </c>
      <c r="M272" s="44" t="n">
        <f aca="false">SUMPRODUCT((L272&gt;JLo)*(L272-JLo)*JD)</f>
        <v>0.0307504098111393</v>
      </c>
      <c r="N272" s="44" t="n">
        <f aca="false">M272*NongJong</f>
        <v>0.00615008196222785</v>
      </c>
      <c r="O272" s="45" t="n">
        <f aca="false">I272+J272+K272+M272+N272</f>
        <v>0.106530854748948</v>
      </c>
    </row>
    <row r="273" customFormat="false" ht="15" hidden="false" customHeight="false" outlineLevel="0" collapsed="false">
      <c r="A273" s="20" t="n">
        <v>9</v>
      </c>
      <c r="B273" s="43" t="str">
        <f aca="false">INDEX(C_Name,A273)</f>
        <v>흑석한강푸르지오 84.98㎡</v>
      </c>
      <c r="C273" s="20" t="n">
        <v>3</v>
      </c>
      <c r="D273" s="10" t="n">
        <f aca="false">CHOOSE(C273,GrowLo,GrowMid,GrowHi)</f>
        <v>0.06</v>
      </c>
      <c r="E273" s="20" t="n">
        <v>9</v>
      </c>
      <c r="F273" s="24" t="n">
        <f aca="false">INDEX(C_Price,A273)*(1+D273)^(E273-1)</f>
        <v>31.8769614906168</v>
      </c>
      <c r="G273" s="24" t="n">
        <f aca="false">F273*Gongsi</f>
        <v>21.9951034285256</v>
      </c>
      <c r="H273" s="24" t="n">
        <f aca="false">G273*FairProp</f>
        <v>13.1970620571154</v>
      </c>
      <c r="I273" s="44" t="n">
        <f aca="false">IF(G273&lt;=SpcLimit,SUMPRODUCT((H273&gt;SLo)*(H273-SLo)*SD),SUMPRODUCT((H273&gt;GLo)*(H273-GLo)*GD))</f>
        <v>0.0464882482284615</v>
      </c>
      <c r="J273" s="44" t="n">
        <f aca="false">H273*CityRate</f>
        <v>0.0184758868799615</v>
      </c>
      <c r="K273" s="44" t="n">
        <f aca="false">I273*EduProp</f>
        <v>0.0092976496456923</v>
      </c>
      <c r="L273" s="24" t="n">
        <f aca="false">MAX(0,(G273-JongDeduct)*FairJong)</f>
        <v>5.99706205711537</v>
      </c>
      <c r="M273" s="44" t="n">
        <f aca="false">SUMPRODUCT((L273&gt;JLo)*(L273-JLo)*JD)</f>
        <v>0.0359794343998076</v>
      </c>
      <c r="N273" s="44" t="n">
        <f aca="false">M273*NongJong</f>
        <v>0.00719588687996152</v>
      </c>
      <c r="O273" s="45" t="n">
        <f aca="false">I273+J273+K273+M273+N273</f>
        <v>0.117437106033884</v>
      </c>
    </row>
    <row r="274" customFormat="false" ht="15" hidden="false" customHeight="false" outlineLevel="0" collapsed="false">
      <c r="A274" s="20" t="n">
        <v>9</v>
      </c>
      <c r="B274" s="43" t="str">
        <f aca="false">INDEX(C_Name,A274)</f>
        <v>흑석한강푸르지오 84.98㎡</v>
      </c>
      <c r="C274" s="20" t="n">
        <v>3</v>
      </c>
      <c r="D274" s="10" t="n">
        <f aca="false">CHOOSE(C274,GrowLo,GrowMid,GrowHi)</f>
        <v>0.06</v>
      </c>
      <c r="E274" s="20" t="n">
        <v>10</v>
      </c>
      <c r="F274" s="24" t="n">
        <f aca="false">INDEX(C_Price,A274)*(1+D274)^(E274-1)</f>
        <v>33.7895791800539</v>
      </c>
      <c r="G274" s="24" t="n">
        <f aca="false">F274*Gongsi</f>
        <v>23.3148096342372</v>
      </c>
      <c r="H274" s="24" t="n">
        <f aca="false">G274*FairProp</f>
        <v>13.9888857805423</v>
      </c>
      <c r="I274" s="44" t="n">
        <f aca="false">IF(G274&lt;=SpcLimit,SUMPRODUCT((H274&gt;SLo)*(H274-SLo)*SD),SUMPRODUCT((H274&gt;GLo)*(H274-GLo)*GD))</f>
        <v>0.0496555431221692</v>
      </c>
      <c r="J274" s="44" t="n">
        <f aca="false">H274*CityRate</f>
        <v>0.0195844400927592</v>
      </c>
      <c r="K274" s="44" t="n">
        <f aca="false">I274*EduProp</f>
        <v>0.00993110862443384</v>
      </c>
      <c r="L274" s="24" t="n">
        <f aca="false">MAX(0,(G274-JongDeduct)*FairJong)</f>
        <v>6.78888578054229</v>
      </c>
      <c r="M274" s="44" t="n">
        <f aca="false">SUMPRODUCT((L274&gt;JLo)*(L274-JLo)*JD)</f>
        <v>0.043888857805423</v>
      </c>
      <c r="N274" s="44" t="n">
        <f aca="false">M274*NongJong</f>
        <v>0.00877777156108459</v>
      </c>
      <c r="O274" s="45" t="n">
        <f aca="false">I274+J274+K274+M274+N274</f>
        <v>0.13183772120587</v>
      </c>
    </row>
    <row r="275" customFormat="false" ht="15" hidden="false" customHeight="false" outlineLevel="0" collapsed="false">
      <c r="A275" s="20" t="n">
        <v>10</v>
      </c>
      <c r="B275" s="43" t="str">
        <f aca="false">INDEX(C_Name,A275)</f>
        <v>흑석리버파크자이 85㎡</v>
      </c>
      <c r="C275" s="20" t="n">
        <v>1</v>
      </c>
      <c r="D275" s="10" t="n">
        <f aca="false">CHOOSE(C275,GrowLo,GrowMid,GrowHi)</f>
        <v>0.02</v>
      </c>
      <c r="E275" s="20" t="n">
        <v>1</v>
      </c>
      <c r="F275" s="24" t="n">
        <f aca="false">INDEX(C_Price,A275)*(1+D275)^(E275-1)</f>
        <v>23.07</v>
      </c>
      <c r="G275" s="24" t="n">
        <f aca="false">F275*Gongsi</f>
        <v>15.9183</v>
      </c>
      <c r="H275" s="24" t="n">
        <f aca="false">G275*FairProp</f>
        <v>9.55098</v>
      </c>
      <c r="I275" s="44" t="n">
        <f aca="false">IF(G275&lt;=SpcLimit,SUMPRODUCT((H275&gt;SLo)*(H275-SLo)*SD),SUMPRODUCT((H275&gt;GLo)*(H275-GLo)*GD))</f>
        <v>0.03190392</v>
      </c>
      <c r="J275" s="44" t="n">
        <f aca="false">H275*CityRate</f>
        <v>0.013371372</v>
      </c>
      <c r="K275" s="44" t="n">
        <f aca="false">I275*EduProp</f>
        <v>0.006380784</v>
      </c>
      <c r="L275" s="24" t="n">
        <f aca="false">MAX(0,(G275-JongDeduct)*FairJong)</f>
        <v>2.35098</v>
      </c>
      <c r="M275" s="44" t="n">
        <f aca="false">SUMPRODUCT((L275&gt;JLo)*(L275-JLo)*JD)</f>
        <v>0.0117549</v>
      </c>
      <c r="N275" s="44" t="n">
        <f aca="false">M275*NongJong</f>
        <v>0.00235098</v>
      </c>
      <c r="O275" s="45" t="n">
        <f aca="false">I275+J275+K275+M275+N275</f>
        <v>0.065761956</v>
      </c>
    </row>
    <row r="276" customFormat="false" ht="15" hidden="false" customHeight="false" outlineLevel="0" collapsed="false">
      <c r="A276" s="20" t="n">
        <v>10</v>
      </c>
      <c r="B276" s="43" t="str">
        <f aca="false">INDEX(C_Name,A276)</f>
        <v>흑석리버파크자이 85㎡</v>
      </c>
      <c r="C276" s="20" t="n">
        <v>1</v>
      </c>
      <c r="D276" s="10" t="n">
        <f aca="false">CHOOSE(C276,GrowLo,GrowMid,GrowHi)</f>
        <v>0.02</v>
      </c>
      <c r="E276" s="20" t="n">
        <v>2</v>
      </c>
      <c r="F276" s="24" t="n">
        <f aca="false">INDEX(C_Price,A276)*(1+D276)^(E276-1)</f>
        <v>23.5314</v>
      </c>
      <c r="G276" s="24" t="n">
        <f aca="false">F276*Gongsi</f>
        <v>16.236666</v>
      </c>
      <c r="H276" s="24" t="n">
        <f aca="false">G276*FairProp</f>
        <v>9.7419996</v>
      </c>
      <c r="I276" s="44" t="n">
        <f aca="false">IF(G276&lt;=SpcLimit,SUMPRODUCT((H276&gt;SLo)*(H276-SLo)*SD),SUMPRODUCT((H276&gt;GLo)*(H276-GLo)*GD))</f>
        <v>0.0326679984</v>
      </c>
      <c r="J276" s="44" t="n">
        <f aca="false">H276*CityRate</f>
        <v>0.01363879944</v>
      </c>
      <c r="K276" s="44" t="n">
        <f aca="false">I276*EduProp</f>
        <v>0.00653359968</v>
      </c>
      <c r="L276" s="24" t="n">
        <f aca="false">MAX(0,(G276-JongDeduct)*FairJong)</f>
        <v>2.5419996</v>
      </c>
      <c r="M276" s="44" t="n">
        <f aca="false">SUMPRODUCT((L276&gt;JLo)*(L276-JLo)*JD)</f>
        <v>0.012709998</v>
      </c>
      <c r="N276" s="44" t="n">
        <f aca="false">M276*NongJong</f>
        <v>0.0025419996</v>
      </c>
      <c r="O276" s="45" t="n">
        <f aca="false">I276+J276+K276+M276+N276</f>
        <v>0.06809239512</v>
      </c>
    </row>
    <row r="277" customFormat="false" ht="15" hidden="false" customHeight="false" outlineLevel="0" collapsed="false">
      <c r="A277" s="20" t="n">
        <v>10</v>
      </c>
      <c r="B277" s="43" t="str">
        <f aca="false">INDEX(C_Name,A277)</f>
        <v>흑석리버파크자이 85㎡</v>
      </c>
      <c r="C277" s="20" t="n">
        <v>1</v>
      </c>
      <c r="D277" s="10" t="n">
        <f aca="false">CHOOSE(C277,GrowLo,GrowMid,GrowHi)</f>
        <v>0.02</v>
      </c>
      <c r="E277" s="20" t="n">
        <v>3</v>
      </c>
      <c r="F277" s="24" t="n">
        <f aca="false">INDEX(C_Price,A277)*(1+D277)^(E277-1)</f>
        <v>24.002028</v>
      </c>
      <c r="G277" s="24" t="n">
        <f aca="false">F277*Gongsi</f>
        <v>16.56139932</v>
      </c>
      <c r="H277" s="24" t="n">
        <f aca="false">G277*FairProp</f>
        <v>9.936839592</v>
      </c>
      <c r="I277" s="44" t="n">
        <f aca="false">IF(G277&lt;=SpcLimit,SUMPRODUCT((H277&gt;SLo)*(H277-SLo)*SD),SUMPRODUCT((H277&gt;GLo)*(H277-GLo)*GD))</f>
        <v>0.033447358368</v>
      </c>
      <c r="J277" s="44" t="n">
        <f aca="false">H277*CityRate</f>
        <v>0.0139115754288</v>
      </c>
      <c r="K277" s="44" t="n">
        <f aca="false">I277*EduProp</f>
        <v>0.0066894716736</v>
      </c>
      <c r="L277" s="24" t="n">
        <f aca="false">MAX(0,(G277-JongDeduct)*FairJong)</f>
        <v>2.736839592</v>
      </c>
      <c r="M277" s="44" t="n">
        <f aca="false">SUMPRODUCT((L277&gt;JLo)*(L277-JLo)*JD)</f>
        <v>0.01368419796</v>
      </c>
      <c r="N277" s="44" t="n">
        <f aca="false">M277*NongJong</f>
        <v>0.002736839592</v>
      </c>
      <c r="O277" s="45" t="n">
        <f aca="false">I277+J277+K277+M277+N277</f>
        <v>0.0704694430224</v>
      </c>
    </row>
    <row r="278" customFormat="false" ht="15" hidden="false" customHeight="false" outlineLevel="0" collapsed="false">
      <c r="A278" s="20" t="n">
        <v>10</v>
      </c>
      <c r="B278" s="43" t="str">
        <f aca="false">INDEX(C_Name,A278)</f>
        <v>흑석리버파크자이 85㎡</v>
      </c>
      <c r="C278" s="20" t="n">
        <v>1</v>
      </c>
      <c r="D278" s="10" t="n">
        <f aca="false">CHOOSE(C278,GrowLo,GrowMid,GrowHi)</f>
        <v>0.02</v>
      </c>
      <c r="E278" s="20" t="n">
        <v>4</v>
      </c>
      <c r="F278" s="24" t="n">
        <f aca="false">INDEX(C_Price,A278)*(1+D278)^(E278-1)</f>
        <v>24.48206856</v>
      </c>
      <c r="G278" s="24" t="n">
        <f aca="false">F278*Gongsi</f>
        <v>16.8926273064</v>
      </c>
      <c r="H278" s="24" t="n">
        <f aca="false">G278*FairProp</f>
        <v>10.13557638384</v>
      </c>
      <c r="I278" s="44" t="n">
        <f aca="false">IF(G278&lt;=SpcLimit,SUMPRODUCT((H278&gt;SLo)*(H278-SLo)*SD),SUMPRODUCT((H278&gt;GLo)*(H278-GLo)*GD))</f>
        <v>0.03424230553536</v>
      </c>
      <c r="J278" s="44" t="n">
        <f aca="false">H278*CityRate</f>
        <v>0.014189806937376</v>
      </c>
      <c r="K278" s="44" t="n">
        <f aca="false">I278*EduProp</f>
        <v>0.006848461107072</v>
      </c>
      <c r="L278" s="24" t="n">
        <f aca="false">MAX(0,(G278-JongDeduct)*FairJong)</f>
        <v>2.93557638384</v>
      </c>
      <c r="M278" s="44" t="n">
        <f aca="false">SUMPRODUCT((L278&gt;JLo)*(L278-JLo)*JD)</f>
        <v>0.0146778819192</v>
      </c>
      <c r="N278" s="44" t="n">
        <f aca="false">M278*NongJong</f>
        <v>0.00293557638384</v>
      </c>
      <c r="O278" s="45" t="n">
        <f aca="false">I278+J278+K278+M278+N278</f>
        <v>0.072894031882848</v>
      </c>
    </row>
    <row r="279" customFormat="false" ht="15" hidden="false" customHeight="false" outlineLevel="0" collapsed="false">
      <c r="A279" s="20" t="n">
        <v>10</v>
      </c>
      <c r="B279" s="43" t="str">
        <f aca="false">INDEX(C_Name,A279)</f>
        <v>흑석리버파크자이 85㎡</v>
      </c>
      <c r="C279" s="20" t="n">
        <v>1</v>
      </c>
      <c r="D279" s="10" t="n">
        <f aca="false">CHOOSE(C279,GrowLo,GrowMid,GrowHi)</f>
        <v>0.02</v>
      </c>
      <c r="E279" s="20" t="n">
        <v>5</v>
      </c>
      <c r="F279" s="24" t="n">
        <f aca="false">INDEX(C_Price,A279)*(1+D279)^(E279-1)</f>
        <v>24.9717099312</v>
      </c>
      <c r="G279" s="24" t="n">
        <f aca="false">F279*Gongsi</f>
        <v>17.230479852528</v>
      </c>
      <c r="H279" s="24" t="n">
        <f aca="false">G279*FairProp</f>
        <v>10.3382879115168</v>
      </c>
      <c r="I279" s="44" t="n">
        <f aca="false">IF(G279&lt;=SpcLimit,SUMPRODUCT((H279&gt;SLo)*(H279-SLo)*SD),SUMPRODUCT((H279&gt;GLo)*(H279-GLo)*GD))</f>
        <v>0.0350531516460672</v>
      </c>
      <c r="J279" s="44" t="n">
        <f aca="false">H279*CityRate</f>
        <v>0.0144736030761235</v>
      </c>
      <c r="K279" s="44" t="n">
        <f aca="false">I279*EduProp</f>
        <v>0.00701063032921344</v>
      </c>
      <c r="L279" s="24" t="n">
        <f aca="false">MAX(0,(G279-JongDeduct)*FairJong)</f>
        <v>3.1382879115168</v>
      </c>
      <c r="M279" s="44" t="n">
        <f aca="false">SUMPRODUCT((L279&gt;JLo)*(L279-JLo)*JD)</f>
        <v>0.0159680153806176</v>
      </c>
      <c r="N279" s="44" t="n">
        <f aca="false">M279*NongJong</f>
        <v>0.00319360307612352</v>
      </c>
      <c r="O279" s="45" t="n">
        <f aca="false">I279+J279+K279+M279+N279</f>
        <v>0.0756990035081453</v>
      </c>
    </row>
    <row r="280" customFormat="false" ht="15" hidden="false" customHeight="false" outlineLevel="0" collapsed="false">
      <c r="A280" s="20" t="n">
        <v>10</v>
      </c>
      <c r="B280" s="43" t="str">
        <f aca="false">INDEX(C_Name,A280)</f>
        <v>흑석리버파크자이 85㎡</v>
      </c>
      <c r="C280" s="20" t="n">
        <v>1</v>
      </c>
      <c r="D280" s="10" t="n">
        <f aca="false">CHOOSE(C280,GrowLo,GrowMid,GrowHi)</f>
        <v>0.02</v>
      </c>
      <c r="E280" s="20" t="n">
        <v>6</v>
      </c>
      <c r="F280" s="24" t="n">
        <f aca="false">INDEX(C_Price,A280)*(1+D280)^(E280-1)</f>
        <v>25.471144129824</v>
      </c>
      <c r="G280" s="24" t="n">
        <f aca="false">F280*Gongsi</f>
        <v>17.5750894495786</v>
      </c>
      <c r="H280" s="24" t="n">
        <f aca="false">G280*FairProp</f>
        <v>10.5450536697471</v>
      </c>
      <c r="I280" s="44" t="n">
        <f aca="false">IF(G280&lt;=SpcLimit,SUMPRODUCT((H280&gt;SLo)*(H280-SLo)*SD),SUMPRODUCT((H280&gt;GLo)*(H280-GLo)*GD))</f>
        <v>0.0358802146789885</v>
      </c>
      <c r="J280" s="44" t="n">
        <f aca="false">H280*CityRate</f>
        <v>0.014763075137646</v>
      </c>
      <c r="K280" s="44" t="n">
        <f aca="false">I280*EduProp</f>
        <v>0.00717604293579771</v>
      </c>
      <c r="L280" s="24" t="n">
        <f aca="false">MAX(0,(G280-JongDeduct)*FairJong)</f>
        <v>3.34505366974714</v>
      </c>
      <c r="M280" s="44" t="n">
        <f aca="false">SUMPRODUCT((L280&gt;JLo)*(L280-JLo)*JD)</f>
        <v>0.01741537568823</v>
      </c>
      <c r="N280" s="44" t="n">
        <f aca="false">M280*NongJong</f>
        <v>0.00348307513764599</v>
      </c>
      <c r="O280" s="45" t="n">
        <f aca="false">I280+J280+K280+M280+N280</f>
        <v>0.0787177835783082</v>
      </c>
    </row>
    <row r="281" customFormat="false" ht="15" hidden="false" customHeight="false" outlineLevel="0" collapsed="false">
      <c r="A281" s="20" t="n">
        <v>10</v>
      </c>
      <c r="B281" s="43" t="str">
        <f aca="false">INDEX(C_Name,A281)</f>
        <v>흑석리버파크자이 85㎡</v>
      </c>
      <c r="C281" s="20" t="n">
        <v>1</v>
      </c>
      <c r="D281" s="10" t="n">
        <f aca="false">CHOOSE(C281,GrowLo,GrowMid,GrowHi)</f>
        <v>0.02</v>
      </c>
      <c r="E281" s="20" t="n">
        <v>7</v>
      </c>
      <c r="F281" s="24" t="n">
        <f aca="false">INDEX(C_Price,A281)*(1+D281)^(E281-1)</f>
        <v>25.9805670124205</v>
      </c>
      <c r="G281" s="24" t="n">
        <f aca="false">F281*Gongsi</f>
        <v>17.9265912385701</v>
      </c>
      <c r="H281" s="24" t="n">
        <f aca="false">G281*FairProp</f>
        <v>10.7559547431421</v>
      </c>
      <c r="I281" s="44" t="n">
        <f aca="false">IF(G281&lt;=SpcLimit,SUMPRODUCT((H281&gt;SLo)*(H281-SLo)*SD),SUMPRODUCT((H281&gt;GLo)*(H281-GLo)*GD))</f>
        <v>0.0367238189725683</v>
      </c>
      <c r="J281" s="44" t="n">
        <f aca="false">H281*CityRate</f>
        <v>0.0150583366403989</v>
      </c>
      <c r="K281" s="44" t="n">
        <f aca="false">I281*EduProp</f>
        <v>0.00734476379451366</v>
      </c>
      <c r="L281" s="24" t="n">
        <f aca="false">MAX(0,(G281-JongDeduct)*FairJong)</f>
        <v>3.55595474314208</v>
      </c>
      <c r="M281" s="44" t="n">
        <f aca="false">SUMPRODUCT((L281&gt;JLo)*(L281-JLo)*JD)</f>
        <v>0.0188916832019946</v>
      </c>
      <c r="N281" s="44" t="n">
        <f aca="false">M281*NongJong</f>
        <v>0.00377833664039891</v>
      </c>
      <c r="O281" s="45" t="n">
        <f aca="false">I281+J281+K281+M281+N281</f>
        <v>0.0817969392498744</v>
      </c>
    </row>
    <row r="282" customFormat="false" ht="15" hidden="false" customHeight="false" outlineLevel="0" collapsed="false">
      <c r="A282" s="20" t="n">
        <v>10</v>
      </c>
      <c r="B282" s="43" t="str">
        <f aca="false">INDEX(C_Name,A282)</f>
        <v>흑석리버파크자이 85㎡</v>
      </c>
      <c r="C282" s="20" t="n">
        <v>1</v>
      </c>
      <c r="D282" s="10" t="n">
        <f aca="false">CHOOSE(C282,GrowLo,GrowMid,GrowHi)</f>
        <v>0.02</v>
      </c>
      <c r="E282" s="20" t="n">
        <v>8</v>
      </c>
      <c r="F282" s="24" t="n">
        <f aca="false">INDEX(C_Price,A282)*(1+D282)^(E282-1)</f>
        <v>26.5001783526689</v>
      </c>
      <c r="G282" s="24" t="n">
        <f aca="false">F282*Gongsi</f>
        <v>18.2851230633415</v>
      </c>
      <c r="H282" s="24" t="n">
        <f aca="false">G282*FairProp</f>
        <v>10.9710738380049</v>
      </c>
      <c r="I282" s="44" t="n">
        <f aca="false">IF(G282&lt;=SpcLimit,SUMPRODUCT((H282&gt;SLo)*(H282-SLo)*SD),SUMPRODUCT((H282&gt;GLo)*(H282-GLo)*GD))</f>
        <v>0.0375842953520197</v>
      </c>
      <c r="J282" s="44" t="n">
        <f aca="false">H282*CityRate</f>
        <v>0.0153595033732069</v>
      </c>
      <c r="K282" s="44" t="n">
        <f aca="false">I282*EduProp</f>
        <v>0.00751685907040394</v>
      </c>
      <c r="L282" s="24" t="n">
        <f aca="false">MAX(0,(G282-JongDeduct)*FairJong)</f>
        <v>3.77107383800492</v>
      </c>
      <c r="M282" s="44" t="n">
        <f aca="false">SUMPRODUCT((L282&gt;JLo)*(L282-JLo)*JD)</f>
        <v>0.0203975168660344</v>
      </c>
      <c r="N282" s="44" t="n">
        <f aca="false">M282*NongJong</f>
        <v>0.00407950337320689</v>
      </c>
      <c r="O282" s="45" t="n">
        <f aca="false">I282+J282+K282+M282+N282</f>
        <v>0.0849376780348718</v>
      </c>
    </row>
    <row r="283" customFormat="false" ht="15" hidden="false" customHeight="false" outlineLevel="0" collapsed="false">
      <c r="A283" s="20" t="n">
        <v>10</v>
      </c>
      <c r="B283" s="43" t="str">
        <f aca="false">INDEX(C_Name,A283)</f>
        <v>흑석리버파크자이 85㎡</v>
      </c>
      <c r="C283" s="20" t="n">
        <v>1</v>
      </c>
      <c r="D283" s="10" t="n">
        <f aca="false">CHOOSE(C283,GrowLo,GrowMid,GrowHi)</f>
        <v>0.02</v>
      </c>
      <c r="E283" s="20" t="n">
        <v>9</v>
      </c>
      <c r="F283" s="24" t="n">
        <f aca="false">INDEX(C_Price,A283)*(1+D283)^(E283-1)</f>
        <v>27.0301819197223</v>
      </c>
      <c r="G283" s="24" t="n">
        <f aca="false">F283*Gongsi</f>
        <v>18.6508255246084</v>
      </c>
      <c r="H283" s="24" t="n">
        <f aca="false">G283*FairProp</f>
        <v>11.190495314765</v>
      </c>
      <c r="I283" s="44" t="n">
        <f aca="false">IF(G283&lt;=SpcLimit,SUMPRODUCT((H283&gt;SLo)*(H283-SLo)*SD),SUMPRODUCT((H283&gt;GLo)*(H283-GLo)*GD))</f>
        <v>0.0384619812590601</v>
      </c>
      <c r="J283" s="44" t="n">
        <f aca="false">H283*CityRate</f>
        <v>0.015666693440671</v>
      </c>
      <c r="K283" s="44" t="n">
        <f aca="false">I283*EduProp</f>
        <v>0.00769239625181202</v>
      </c>
      <c r="L283" s="24" t="n">
        <f aca="false">MAX(0,(G283-JongDeduct)*FairJong)</f>
        <v>3.99049531476502</v>
      </c>
      <c r="M283" s="44" t="n">
        <f aca="false">SUMPRODUCT((L283&gt;JLo)*(L283-JLo)*JD)</f>
        <v>0.0219334672033551</v>
      </c>
      <c r="N283" s="44" t="n">
        <f aca="false">M283*NongJong</f>
        <v>0.00438669344067103</v>
      </c>
      <c r="O283" s="45" t="n">
        <f aca="false">I283+J283+K283+M283+N283</f>
        <v>0.0881412315955693</v>
      </c>
    </row>
    <row r="284" customFormat="false" ht="15" hidden="false" customHeight="false" outlineLevel="0" collapsed="false">
      <c r="A284" s="20" t="n">
        <v>10</v>
      </c>
      <c r="B284" s="43" t="str">
        <f aca="false">INDEX(C_Name,A284)</f>
        <v>흑석리버파크자이 85㎡</v>
      </c>
      <c r="C284" s="20" t="n">
        <v>1</v>
      </c>
      <c r="D284" s="10" t="n">
        <f aca="false">CHOOSE(C284,GrowLo,GrowMid,GrowHi)</f>
        <v>0.02</v>
      </c>
      <c r="E284" s="20" t="n">
        <v>10</v>
      </c>
      <c r="F284" s="24" t="n">
        <f aca="false">INDEX(C_Price,A284)*(1+D284)^(E284-1)</f>
        <v>27.5707855581167</v>
      </c>
      <c r="G284" s="24" t="n">
        <f aca="false">F284*Gongsi</f>
        <v>19.0238420351005</v>
      </c>
      <c r="H284" s="24" t="n">
        <f aca="false">G284*FairProp</f>
        <v>11.4143052210603</v>
      </c>
      <c r="I284" s="44" t="n">
        <f aca="false">IF(G284&lt;=SpcLimit,SUMPRODUCT((H284&gt;SLo)*(H284-SLo)*SD),SUMPRODUCT((H284&gt;GLo)*(H284-GLo)*GD))</f>
        <v>0.0393572208842413</v>
      </c>
      <c r="J284" s="44" t="n">
        <f aca="false">H284*CityRate</f>
        <v>0.0159800273094844</v>
      </c>
      <c r="K284" s="44" t="n">
        <f aca="false">I284*EduProp</f>
        <v>0.00787144417684826</v>
      </c>
      <c r="L284" s="24" t="n">
        <f aca="false">MAX(0,(G284-JongDeduct)*FairJong)</f>
        <v>4.21430522106032</v>
      </c>
      <c r="M284" s="44" t="n">
        <f aca="false">SUMPRODUCT((L284&gt;JLo)*(L284-JLo)*JD)</f>
        <v>0.0235001365474222</v>
      </c>
      <c r="N284" s="44" t="n">
        <f aca="false">M284*NongJong</f>
        <v>0.00470002730948445</v>
      </c>
      <c r="O284" s="45" t="n">
        <f aca="false">I284+J284+K284+M284+N284</f>
        <v>0.0914088562274806</v>
      </c>
    </row>
    <row r="285" customFormat="false" ht="15" hidden="false" customHeight="false" outlineLevel="0" collapsed="false">
      <c r="A285" s="20" t="n">
        <v>10</v>
      </c>
      <c r="B285" s="43" t="str">
        <f aca="false">INDEX(C_Name,A285)</f>
        <v>흑석리버파크자이 85㎡</v>
      </c>
      <c r="C285" s="20" t="n">
        <v>2</v>
      </c>
      <c r="D285" s="10" t="n">
        <f aca="false">CHOOSE(C285,GrowLo,GrowMid,GrowHi)</f>
        <v>0.04</v>
      </c>
      <c r="E285" s="20" t="n">
        <v>1</v>
      </c>
      <c r="F285" s="24" t="n">
        <f aca="false">INDEX(C_Price,A285)*(1+D285)^(E285-1)</f>
        <v>23.07</v>
      </c>
      <c r="G285" s="24" t="n">
        <f aca="false">F285*Gongsi</f>
        <v>15.9183</v>
      </c>
      <c r="H285" s="24" t="n">
        <f aca="false">G285*FairProp</f>
        <v>9.55098</v>
      </c>
      <c r="I285" s="44" t="n">
        <f aca="false">IF(G285&lt;=SpcLimit,SUMPRODUCT((H285&gt;SLo)*(H285-SLo)*SD),SUMPRODUCT((H285&gt;GLo)*(H285-GLo)*GD))</f>
        <v>0.03190392</v>
      </c>
      <c r="J285" s="44" t="n">
        <f aca="false">H285*CityRate</f>
        <v>0.013371372</v>
      </c>
      <c r="K285" s="44" t="n">
        <f aca="false">I285*EduProp</f>
        <v>0.006380784</v>
      </c>
      <c r="L285" s="24" t="n">
        <f aca="false">MAX(0,(G285-JongDeduct)*FairJong)</f>
        <v>2.35098</v>
      </c>
      <c r="M285" s="44" t="n">
        <f aca="false">SUMPRODUCT((L285&gt;JLo)*(L285-JLo)*JD)</f>
        <v>0.0117549</v>
      </c>
      <c r="N285" s="44" t="n">
        <f aca="false">M285*NongJong</f>
        <v>0.00235098</v>
      </c>
      <c r="O285" s="45" t="n">
        <f aca="false">I285+J285+K285+M285+N285</f>
        <v>0.065761956</v>
      </c>
    </row>
    <row r="286" customFormat="false" ht="15" hidden="false" customHeight="false" outlineLevel="0" collapsed="false">
      <c r="A286" s="20" t="n">
        <v>10</v>
      </c>
      <c r="B286" s="43" t="str">
        <f aca="false">INDEX(C_Name,A286)</f>
        <v>흑석리버파크자이 85㎡</v>
      </c>
      <c r="C286" s="20" t="n">
        <v>2</v>
      </c>
      <c r="D286" s="10" t="n">
        <f aca="false">CHOOSE(C286,GrowLo,GrowMid,GrowHi)</f>
        <v>0.04</v>
      </c>
      <c r="E286" s="20" t="n">
        <v>2</v>
      </c>
      <c r="F286" s="24" t="n">
        <f aca="false">INDEX(C_Price,A286)*(1+D286)^(E286-1)</f>
        <v>23.9928</v>
      </c>
      <c r="G286" s="24" t="n">
        <f aca="false">F286*Gongsi</f>
        <v>16.555032</v>
      </c>
      <c r="H286" s="24" t="n">
        <f aca="false">G286*FairProp</f>
        <v>9.9330192</v>
      </c>
      <c r="I286" s="44" t="n">
        <f aca="false">IF(G286&lt;=SpcLimit,SUMPRODUCT((H286&gt;SLo)*(H286-SLo)*SD),SUMPRODUCT((H286&gt;GLo)*(H286-GLo)*GD))</f>
        <v>0.0334320768</v>
      </c>
      <c r="J286" s="44" t="n">
        <f aca="false">H286*CityRate</f>
        <v>0.01390622688</v>
      </c>
      <c r="K286" s="44" t="n">
        <f aca="false">I286*EduProp</f>
        <v>0.00668641536</v>
      </c>
      <c r="L286" s="24" t="n">
        <f aca="false">MAX(0,(G286-JongDeduct)*FairJong)</f>
        <v>2.7330192</v>
      </c>
      <c r="M286" s="44" t="n">
        <f aca="false">SUMPRODUCT((L286&gt;JLo)*(L286-JLo)*JD)</f>
        <v>0.013665096</v>
      </c>
      <c r="N286" s="44" t="n">
        <f aca="false">M286*NongJong</f>
        <v>0.0027330192</v>
      </c>
      <c r="O286" s="45" t="n">
        <f aca="false">I286+J286+K286+M286+N286</f>
        <v>0.07042283424</v>
      </c>
    </row>
    <row r="287" customFormat="false" ht="15" hidden="false" customHeight="false" outlineLevel="0" collapsed="false">
      <c r="A287" s="20" t="n">
        <v>10</v>
      </c>
      <c r="B287" s="43" t="str">
        <f aca="false">INDEX(C_Name,A287)</f>
        <v>흑석리버파크자이 85㎡</v>
      </c>
      <c r="C287" s="20" t="n">
        <v>2</v>
      </c>
      <c r="D287" s="10" t="n">
        <f aca="false">CHOOSE(C287,GrowLo,GrowMid,GrowHi)</f>
        <v>0.04</v>
      </c>
      <c r="E287" s="20" t="n">
        <v>3</v>
      </c>
      <c r="F287" s="24" t="n">
        <f aca="false">INDEX(C_Price,A287)*(1+D287)^(E287-1)</f>
        <v>24.952512</v>
      </c>
      <c r="G287" s="24" t="n">
        <f aca="false">F287*Gongsi</f>
        <v>17.21723328</v>
      </c>
      <c r="H287" s="24" t="n">
        <f aca="false">G287*FairProp</f>
        <v>10.330339968</v>
      </c>
      <c r="I287" s="44" t="n">
        <f aca="false">IF(G287&lt;=SpcLimit,SUMPRODUCT((H287&gt;SLo)*(H287-SLo)*SD),SUMPRODUCT((H287&gt;GLo)*(H287-GLo)*GD))</f>
        <v>0.035021359872</v>
      </c>
      <c r="J287" s="44" t="n">
        <f aca="false">H287*CityRate</f>
        <v>0.0144624759552</v>
      </c>
      <c r="K287" s="44" t="n">
        <f aca="false">I287*EduProp</f>
        <v>0.0070042719744</v>
      </c>
      <c r="L287" s="24" t="n">
        <f aca="false">MAX(0,(G287-JongDeduct)*FairJong)</f>
        <v>3.130339968</v>
      </c>
      <c r="M287" s="44" t="n">
        <f aca="false">SUMPRODUCT((L287&gt;JLo)*(L287-JLo)*JD)</f>
        <v>0.015912379776</v>
      </c>
      <c r="N287" s="44" t="n">
        <f aca="false">M287*NongJong</f>
        <v>0.0031824759552</v>
      </c>
      <c r="O287" s="45" t="n">
        <f aca="false">I287+J287+K287+M287+N287</f>
        <v>0.0755829635328</v>
      </c>
    </row>
    <row r="288" customFormat="false" ht="15" hidden="false" customHeight="false" outlineLevel="0" collapsed="false">
      <c r="A288" s="20" t="n">
        <v>10</v>
      </c>
      <c r="B288" s="43" t="str">
        <f aca="false">INDEX(C_Name,A288)</f>
        <v>흑석리버파크자이 85㎡</v>
      </c>
      <c r="C288" s="20" t="n">
        <v>2</v>
      </c>
      <c r="D288" s="10" t="n">
        <f aca="false">CHOOSE(C288,GrowLo,GrowMid,GrowHi)</f>
        <v>0.04</v>
      </c>
      <c r="E288" s="20" t="n">
        <v>4</v>
      </c>
      <c r="F288" s="24" t="n">
        <f aca="false">INDEX(C_Price,A288)*(1+D288)^(E288-1)</f>
        <v>25.95061248</v>
      </c>
      <c r="G288" s="24" t="n">
        <f aca="false">F288*Gongsi</f>
        <v>17.9059226112</v>
      </c>
      <c r="H288" s="24" t="n">
        <f aca="false">G288*FairProp</f>
        <v>10.74355356672</v>
      </c>
      <c r="I288" s="44" t="n">
        <f aca="false">IF(G288&lt;=SpcLimit,SUMPRODUCT((H288&gt;SLo)*(H288-SLo)*SD),SUMPRODUCT((H288&gt;GLo)*(H288-GLo)*GD))</f>
        <v>0.03667421426688</v>
      </c>
      <c r="J288" s="44" t="n">
        <f aca="false">H288*CityRate</f>
        <v>0.015040974993408</v>
      </c>
      <c r="K288" s="44" t="n">
        <f aca="false">I288*EduProp</f>
        <v>0.007334842853376</v>
      </c>
      <c r="L288" s="24" t="n">
        <f aca="false">MAX(0,(G288-JongDeduct)*FairJong)</f>
        <v>3.54355356672</v>
      </c>
      <c r="M288" s="44" t="n">
        <f aca="false">SUMPRODUCT((L288&gt;JLo)*(L288-JLo)*JD)</f>
        <v>0.01880487496704</v>
      </c>
      <c r="N288" s="44" t="n">
        <f aca="false">M288*NongJong</f>
        <v>0.003760974993408</v>
      </c>
      <c r="O288" s="45" t="n">
        <f aca="false">I288+J288+K288+M288+N288</f>
        <v>0.081615882074112</v>
      </c>
    </row>
    <row r="289" customFormat="false" ht="15" hidden="false" customHeight="false" outlineLevel="0" collapsed="false">
      <c r="A289" s="20" t="n">
        <v>10</v>
      </c>
      <c r="B289" s="43" t="str">
        <f aca="false">INDEX(C_Name,A289)</f>
        <v>흑석리버파크자이 85㎡</v>
      </c>
      <c r="C289" s="20" t="n">
        <v>2</v>
      </c>
      <c r="D289" s="10" t="n">
        <f aca="false">CHOOSE(C289,GrowLo,GrowMid,GrowHi)</f>
        <v>0.04</v>
      </c>
      <c r="E289" s="20" t="n">
        <v>5</v>
      </c>
      <c r="F289" s="24" t="n">
        <f aca="false">INDEX(C_Price,A289)*(1+D289)^(E289-1)</f>
        <v>26.9886369792</v>
      </c>
      <c r="G289" s="24" t="n">
        <f aca="false">F289*Gongsi</f>
        <v>18.622159515648</v>
      </c>
      <c r="H289" s="24" t="n">
        <f aca="false">G289*FairProp</f>
        <v>11.1732957093888</v>
      </c>
      <c r="I289" s="44" t="n">
        <f aca="false">IF(G289&lt;=SpcLimit,SUMPRODUCT((H289&gt;SLo)*(H289-SLo)*SD),SUMPRODUCT((H289&gt;GLo)*(H289-GLo)*GD))</f>
        <v>0.0383931828375552</v>
      </c>
      <c r="J289" s="44" t="n">
        <f aca="false">H289*CityRate</f>
        <v>0.0156426139931443</v>
      </c>
      <c r="K289" s="44" t="n">
        <f aca="false">I289*EduProp</f>
        <v>0.00767863656751104</v>
      </c>
      <c r="L289" s="24" t="n">
        <f aca="false">MAX(0,(G289-JongDeduct)*FairJong)</f>
        <v>3.9732957093888</v>
      </c>
      <c r="M289" s="44" t="n">
        <f aca="false">SUMPRODUCT((L289&gt;JLo)*(L289-JLo)*JD)</f>
        <v>0.0218130699657216</v>
      </c>
      <c r="N289" s="44" t="n">
        <f aca="false">M289*NongJong</f>
        <v>0.00436261399314432</v>
      </c>
      <c r="O289" s="45" t="n">
        <f aca="false">I289+J289+K289+M289+N289</f>
        <v>0.0878901173570765</v>
      </c>
    </row>
    <row r="290" customFormat="false" ht="15" hidden="false" customHeight="false" outlineLevel="0" collapsed="false">
      <c r="A290" s="20" t="n">
        <v>10</v>
      </c>
      <c r="B290" s="43" t="str">
        <f aca="false">INDEX(C_Name,A290)</f>
        <v>흑석리버파크자이 85㎡</v>
      </c>
      <c r="C290" s="20" t="n">
        <v>2</v>
      </c>
      <c r="D290" s="10" t="n">
        <f aca="false">CHOOSE(C290,GrowLo,GrowMid,GrowHi)</f>
        <v>0.04</v>
      </c>
      <c r="E290" s="20" t="n">
        <v>6</v>
      </c>
      <c r="F290" s="24" t="n">
        <f aca="false">INDEX(C_Price,A290)*(1+D290)^(E290-1)</f>
        <v>28.068182458368</v>
      </c>
      <c r="G290" s="24" t="n">
        <f aca="false">F290*Gongsi</f>
        <v>19.3670458962739</v>
      </c>
      <c r="H290" s="24" t="n">
        <f aca="false">G290*FairProp</f>
        <v>11.6202275377644</v>
      </c>
      <c r="I290" s="44" t="n">
        <f aca="false">IF(G290&lt;=SpcLimit,SUMPRODUCT((H290&gt;SLo)*(H290-SLo)*SD),SUMPRODUCT((H290&gt;GLo)*(H290-GLo)*GD))</f>
        <v>0.0401809101510574</v>
      </c>
      <c r="J290" s="44" t="n">
        <f aca="false">H290*CityRate</f>
        <v>0.0162683185528701</v>
      </c>
      <c r="K290" s="44" t="n">
        <f aca="false">I290*EduProp</f>
        <v>0.00803618203021148</v>
      </c>
      <c r="L290" s="24" t="n">
        <f aca="false">MAX(0,(G290-JongDeduct)*FairJong)</f>
        <v>4.42022753776435</v>
      </c>
      <c r="M290" s="44" t="n">
        <f aca="false">SUMPRODUCT((L290&gt;JLo)*(L290-JLo)*JD)</f>
        <v>0.0249415927643505</v>
      </c>
      <c r="N290" s="44" t="n">
        <f aca="false">M290*NongJong</f>
        <v>0.0049883185528701</v>
      </c>
      <c r="O290" s="45" t="n">
        <f aca="false">I290+J290+K290+M290+N290</f>
        <v>0.0944153220513596</v>
      </c>
    </row>
    <row r="291" customFormat="false" ht="15" hidden="false" customHeight="false" outlineLevel="0" collapsed="false">
      <c r="A291" s="20" t="n">
        <v>10</v>
      </c>
      <c r="B291" s="43" t="str">
        <f aca="false">INDEX(C_Name,A291)</f>
        <v>흑석리버파크자이 85㎡</v>
      </c>
      <c r="C291" s="20" t="n">
        <v>2</v>
      </c>
      <c r="D291" s="10" t="n">
        <f aca="false">CHOOSE(C291,GrowLo,GrowMid,GrowHi)</f>
        <v>0.04</v>
      </c>
      <c r="E291" s="20" t="n">
        <v>7</v>
      </c>
      <c r="F291" s="24" t="n">
        <f aca="false">INDEX(C_Price,A291)*(1+D291)^(E291-1)</f>
        <v>29.1909097567027</v>
      </c>
      <c r="G291" s="24" t="n">
        <f aca="false">F291*Gongsi</f>
        <v>20.1417277321249</v>
      </c>
      <c r="H291" s="24" t="n">
        <f aca="false">G291*FairProp</f>
        <v>12.0850366392749</v>
      </c>
      <c r="I291" s="44" t="n">
        <f aca="false">IF(G291&lt;=SpcLimit,SUMPRODUCT((H291&gt;SLo)*(H291-SLo)*SD),SUMPRODUCT((H291&gt;GLo)*(H291-GLo)*GD))</f>
        <v>0.0420401465570997</v>
      </c>
      <c r="J291" s="44" t="n">
        <f aca="false">H291*CityRate</f>
        <v>0.0169190512949849</v>
      </c>
      <c r="K291" s="44" t="n">
        <f aca="false">I291*EduProp</f>
        <v>0.00840802931141994</v>
      </c>
      <c r="L291" s="24" t="n">
        <f aca="false">MAX(0,(G291-JongDeduct)*FairJong)</f>
        <v>4.88503663927493</v>
      </c>
      <c r="M291" s="44" t="n">
        <f aca="false">SUMPRODUCT((L291&gt;JLo)*(L291-JLo)*JD)</f>
        <v>0.0281952564749245</v>
      </c>
      <c r="N291" s="44" t="n">
        <f aca="false">M291*NongJong</f>
        <v>0.0056390512949849</v>
      </c>
      <c r="O291" s="45" t="n">
        <f aca="false">I291+J291+K291+M291+N291</f>
        <v>0.101201534933414</v>
      </c>
    </row>
    <row r="292" customFormat="false" ht="15" hidden="false" customHeight="false" outlineLevel="0" collapsed="false">
      <c r="A292" s="20" t="n">
        <v>10</v>
      </c>
      <c r="B292" s="43" t="str">
        <f aca="false">INDEX(C_Name,A292)</f>
        <v>흑석리버파크자이 85㎡</v>
      </c>
      <c r="C292" s="20" t="n">
        <v>2</v>
      </c>
      <c r="D292" s="10" t="n">
        <f aca="false">CHOOSE(C292,GrowLo,GrowMid,GrowHi)</f>
        <v>0.04</v>
      </c>
      <c r="E292" s="20" t="n">
        <v>8</v>
      </c>
      <c r="F292" s="24" t="n">
        <f aca="false">INDEX(C_Price,A292)*(1+D292)^(E292-1)</f>
        <v>30.3585461469708</v>
      </c>
      <c r="G292" s="24" t="n">
        <f aca="false">F292*Gongsi</f>
        <v>20.9473968414099</v>
      </c>
      <c r="H292" s="24" t="n">
        <f aca="false">G292*FairProp</f>
        <v>12.5684381048459</v>
      </c>
      <c r="I292" s="44" t="n">
        <f aca="false">IF(G292&lt;=SpcLimit,SUMPRODUCT((H292&gt;SLo)*(H292-SLo)*SD),SUMPRODUCT((H292&gt;GLo)*(H292-GLo)*GD))</f>
        <v>0.0439737524193837</v>
      </c>
      <c r="J292" s="44" t="n">
        <f aca="false">H292*CityRate</f>
        <v>0.0175958133467843</v>
      </c>
      <c r="K292" s="44" t="n">
        <f aca="false">I292*EduProp</f>
        <v>0.00879475048387674</v>
      </c>
      <c r="L292" s="24" t="n">
        <f aca="false">MAX(0,(G292-JongDeduct)*FairJong)</f>
        <v>5.36843810484592</v>
      </c>
      <c r="M292" s="44" t="n">
        <f aca="false">SUMPRODUCT((L292&gt;JLo)*(L292-JLo)*JD)</f>
        <v>0.0315790667339215</v>
      </c>
      <c r="N292" s="44" t="n">
        <f aca="false">M292*NongJong</f>
        <v>0.00631581334678429</v>
      </c>
      <c r="O292" s="45" t="n">
        <f aca="false">I292+J292+K292+M292+N292</f>
        <v>0.10825919633075</v>
      </c>
    </row>
    <row r="293" customFormat="false" ht="15" hidden="false" customHeight="false" outlineLevel="0" collapsed="false">
      <c r="A293" s="20" t="n">
        <v>10</v>
      </c>
      <c r="B293" s="43" t="str">
        <f aca="false">INDEX(C_Name,A293)</f>
        <v>흑석리버파크자이 85㎡</v>
      </c>
      <c r="C293" s="20" t="n">
        <v>2</v>
      </c>
      <c r="D293" s="10" t="n">
        <f aca="false">CHOOSE(C293,GrowLo,GrowMid,GrowHi)</f>
        <v>0.04</v>
      </c>
      <c r="E293" s="20" t="n">
        <v>9</v>
      </c>
      <c r="F293" s="24" t="n">
        <f aca="false">INDEX(C_Price,A293)*(1+D293)^(E293-1)</f>
        <v>31.5728879928497</v>
      </c>
      <c r="G293" s="24" t="n">
        <f aca="false">F293*Gongsi</f>
        <v>21.7852927150663</v>
      </c>
      <c r="H293" s="24" t="n">
        <f aca="false">G293*FairProp</f>
        <v>13.0711756290398</v>
      </c>
      <c r="I293" s="44" t="n">
        <f aca="false">IF(G293&lt;=SpcLimit,SUMPRODUCT((H293&gt;SLo)*(H293-SLo)*SD),SUMPRODUCT((H293&gt;GLo)*(H293-GLo)*GD))</f>
        <v>0.045984702516159</v>
      </c>
      <c r="J293" s="44" t="n">
        <f aca="false">H293*CityRate</f>
        <v>0.0182996458806557</v>
      </c>
      <c r="K293" s="44" t="n">
        <f aca="false">I293*EduProp</f>
        <v>0.00919694050323181</v>
      </c>
      <c r="L293" s="24" t="n">
        <f aca="false">MAX(0,(G293-JongDeduct)*FairJong)</f>
        <v>5.87117562903976</v>
      </c>
      <c r="M293" s="44" t="n">
        <f aca="false">SUMPRODUCT((L293&gt;JLo)*(L293-JLo)*JD)</f>
        <v>0.0350982294032783</v>
      </c>
      <c r="N293" s="44" t="n">
        <f aca="false">M293*NongJong</f>
        <v>0.00701964588065567</v>
      </c>
      <c r="O293" s="45" t="n">
        <f aca="false">I293+J293+K293+M293+N293</f>
        <v>0.115599164183981</v>
      </c>
    </row>
    <row r="294" customFormat="false" ht="15" hidden="false" customHeight="false" outlineLevel="0" collapsed="false">
      <c r="A294" s="20" t="n">
        <v>10</v>
      </c>
      <c r="B294" s="43" t="str">
        <f aca="false">INDEX(C_Name,A294)</f>
        <v>흑석리버파크자이 85㎡</v>
      </c>
      <c r="C294" s="20" t="n">
        <v>2</v>
      </c>
      <c r="D294" s="10" t="n">
        <f aca="false">CHOOSE(C294,GrowLo,GrowMid,GrowHi)</f>
        <v>0.04</v>
      </c>
      <c r="E294" s="20" t="n">
        <v>10</v>
      </c>
      <c r="F294" s="24" t="n">
        <f aca="false">INDEX(C_Price,A294)*(1+D294)^(E294-1)</f>
        <v>32.8358035125637</v>
      </c>
      <c r="G294" s="24" t="n">
        <f aca="false">F294*Gongsi</f>
        <v>22.6567044236689</v>
      </c>
      <c r="H294" s="24" t="n">
        <f aca="false">G294*FairProp</f>
        <v>13.5940226542014</v>
      </c>
      <c r="I294" s="44" t="n">
        <f aca="false">IF(G294&lt;=SpcLimit,SUMPRODUCT((H294&gt;SLo)*(H294-SLo)*SD),SUMPRODUCT((H294&gt;GLo)*(H294-GLo)*GD))</f>
        <v>0.0480760906168054</v>
      </c>
      <c r="J294" s="44" t="n">
        <f aca="false">H294*CityRate</f>
        <v>0.0190316317158819</v>
      </c>
      <c r="K294" s="44" t="n">
        <f aca="false">I294*EduProp</f>
        <v>0.00961521812336108</v>
      </c>
      <c r="L294" s="24" t="n">
        <f aca="false">MAX(0,(G294-JongDeduct)*FairJong)</f>
        <v>6.39402265420135</v>
      </c>
      <c r="M294" s="44" t="n">
        <f aca="false">SUMPRODUCT((L294&gt;JLo)*(L294-JLo)*JD)</f>
        <v>0.0399402265420136</v>
      </c>
      <c r="N294" s="44" t="n">
        <f aca="false">M294*NongJong</f>
        <v>0.00798804530840271</v>
      </c>
      <c r="O294" s="45" t="n">
        <f aca="false">I294+J294+K294+M294+N294</f>
        <v>0.124651212306465</v>
      </c>
    </row>
    <row r="295" customFormat="false" ht="15" hidden="false" customHeight="false" outlineLevel="0" collapsed="false">
      <c r="A295" s="20" t="n">
        <v>10</v>
      </c>
      <c r="B295" s="43" t="str">
        <f aca="false">INDEX(C_Name,A295)</f>
        <v>흑석리버파크자이 85㎡</v>
      </c>
      <c r="C295" s="20" t="n">
        <v>3</v>
      </c>
      <c r="D295" s="10" t="n">
        <f aca="false">CHOOSE(C295,GrowLo,GrowMid,GrowHi)</f>
        <v>0.06</v>
      </c>
      <c r="E295" s="20" t="n">
        <v>1</v>
      </c>
      <c r="F295" s="24" t="n">
        <f aca="false">INDEX(C_Price,A295)*(1+D295)^(E295-1)</f>
        <v>23.07</v>
      </c>
      <c r="G295" s="24" t="n">
        <f aca="false">F295*Gongsi</f>
        <v>15.9183</v>
      </c>
      <c r="H295" s="24" t="n">
        <f aca="false">G295*FairProp</f>
        <v>9.55098</v>
      </c>
      <c r="I295" s="44" t="n">
        <f aca="false">IF(G295&lt;=SpcLimit,SUMPRODUCT((H295&gt;SLo)*(H295-SLo)*SD),SUMPRODUCT((H295&gt;GLo)*(H295-GLo)*GD))</f>
        <v>0.03190392</v>
      </c>
      <c r="J295" s="44" t="n">
        <f aca="false">H295*CityRate</f>
        <v>0.013371372</v>
      </c>
      <c r="K295" s="44" t="n">
        <f aca="false">I295*EduProp</f>
        <v>0.006380784</v>
      </c>
      <c r="L295" s="24" t="n">
        <f aca="false">MAX(0,(G295-JongDeduct)*FairJong)</f>
        <v>2.35098</v>
      </c>
      <c r="M295" s="44" t="n">
        <f aca="false">SUMPRODUCT((L295&gt;JLo)*(L295-JLo)*JD)</f>
        <v>0.0117549</v>
      </c>
      <c r="N295" s="44" t="n">
        <f aca="false">M295*NongJong</f>
        <v>0.00235098</v>
      </c>
      <c r="O295" s="45" t="n">
        <f aca="false">I295+J295+K295+M295+N295</f>
        <v>0.065761956</v>
      </c>
    </row>
    <row r="296" customFormat="false" ht="15" hidden="false" customHeight="false" outlineLevel="0" collapsed="false">
      <c r="A296" s="20" t="n">
        <v>10</v>
      </c>
      <c r="B296" s="43" t="str">
        <f aca="false">INDEX(C_Name,A296)</f>
        <v>흑석리버파크자이 85㎡</v>
      </c>
      <c r="C296" s="20" t="n">
        <v>3</v>
      </c>
      <c r="D296" s="10" t="n">
        <f aca="false">CHOOSE(C296,GrowLo,GrowMid,GrowHi)</f>
        <v>0.06</v>
      </c>
      <c r="E296" s="20" t="n">
        <v>2</v>
      </c>
      <c r="F296" s="24" t="n">
        <f aca="false">INDEX(C_Price,A296)*(1+D296)^(E296-1)</f>
        <v>24.4542</v>
      </c>
      <c r="G296" s="24" t="n">
        <f aca="false">F296*Gongsi</f>
        <v>16.873398</v>
      </c>
      <c r="H296" s="24" t="n">
        <f aca="false">G296*FairProp</f>
        <v>10.1240388</v>
      </c>
      <c r="I296" s="44" t="n">
        <f aca="false">IF(G296&lt;=SpcLimit,SUMPRODUCT((H296&gt;SLo)*(H296-SLo)*SD),SUMPRODUCT((H296&gt;GLo)*(H296-GLo)*GD))</f>
        <v>0.0341961552</v>
      </c>
      <c r="J296" s="44" t="n">
        <f aca="false">H296*CityRate</f>
        <v>0.01417365432</v>
      </c>
      <c r="K296" s="44" t="n">
        <f aca="false">I296*EduProp</f>
        <v>0.00683923104</v>
      </c>
      <c r="L296" s="24" t="n">
        <f aca="false">MAX(0,(G296-JongDeduct)*FairJong)</f>
        <v>2.9240388</v>
      </c>
      <c r="M296" s="44" t="n">
        <f aca="false">SUMPRODUCT((L296&gt;JLo)*(L296-JLo)*JD)</f>
        <v>0.014620194</v>
      </c>
      <c r="N296" s="44" t="n">
        <f aca="false">M296*NongJong</f>
        <v>0.0029240388</v>
      </c>
      <c r="O296" s="45" t="n">
        <f aca="false">I296+J296+K296+M296+N296</f>
        <v>0.07275327336</v>
      </c>
    </row>
    <row r="297" customFormat="false" ht="15" hidden="false" customHeight="false" outlineLevel="0" collapsed="false">
      <c r="A297" s="20" t="n">
        <v>10</v>
      </c>
      <c r="B297" s="43" t="str">
        <f aca="false">INDEX(C_Name,A297)</f>
        <v>흑석리버파크자이 85㎡</v>
      </c>
      <c r="C297" s="20" t="n">
        <v>3</v>
      </c>
      <c r="D297" s="10" t="n">
        <f aca="false">CHOOSE(C297,GrowLo,GrowMid,GrowHi)</f>
        <v>0.06</v>
      </c>
      <c r="E297" s="20" t="n">
        <v>3</v>
      </c>
      <c r="F297" s="24" t="n">
        <f aca="false">INDEX(C_Price,A297)*(1+D297)^(E297-1)</f>
        <v>25.921452</v>
      </c>
      <c r="G297" s="24" t="n">
        <f aca="false">F297*Gongsi</f>
        <v>17.88580188</v>
      </c>
      <c r="H297" s="24" t="n">
        <f aca="false">G297*FairProp</f>
        <v>10.731481128</v>
      </c>
      <c r="I297" s="44" t="n">
        <f aca="false">IF(G297&lt;=SpcLimit,SUMPRODUCT((H297&gt;SLo)*(H297-SLo)*SD),SUMPRODUCT((H297&gt;GLo)*(H297-GLo)*GD))</f>
        <v>0.036625924512</v>
      </c>
      <c r="J297" s="44" t="n">
        <f aca="false">H297*CityRate</f>
        <v>0.0150240735792</v>
      </c>
      <c r="K297" s="44" t="n">
        <f aca="false">I297*EduProp</f>
        <v>0.0073251849024</v>
      </c>
      <c r="L297" s="24" t="n">
        <f aca="false">MAX(0,(G297-JongDeduct)*FairJong)</f>
        <v>3.531481128</v>
      </c>
      <c r="M297" s="44" t="n">
        <f aca="false">SUMPRODUCT((L297&gt;JLo)*(L297-JLo)*JD)</f>
        <v>0.018720367896</v>
      </c>
      <c r="N297" s="44" t="n">
        <f aca="false">M297*NongJong</f>
        <v>0.0037440735792</v>
      </c>
      <c r="O297" s="45" t="n">
        <f aca="false">I297+J297+K297+M297+N297</f>
        <v>0.0814396244688</v>
      </c>
    </row>
    <row r="298" customFormat="false" ht="15" hidden="false" customHeight="false" outlineLevel="0" collapsed="false">
      <c r="A298" s="20" t="n">
        <v>10</v>
      </c>
      <c r="B298" s="43" t="str">
        <f aca="false">INDEX(C_Name,A298)</f>
        <v>흑석리버파크자이 85㎡</v>
      </c>
      <c r="C298" s="20" t="n">
        <v>3</v>
      </c>
      <c r="D298" s="10" t="n">
        <f aca="false">CHOOSE(C298,GrowLo,GrowMid,GrowHi)</f>
        <v>0.06</v>
      </c>
      <c r="E298" s="20" t="n">
        <v>4</v>
      </c>
      <c r="F298" s="24" t="n">
        <f aca="false">INDEX(C_Price,A298)*(1+D298)^(E298-1)</f>
        <v>27.47673912</v>
      </c>
      <c r="G298" s="24" t="n">
        <f aca="false">F298*Gongsi</f>
        <v>18.9589499928</v>
      </c>
      <c r="H298" s="24" t="n">
        <f aca="false">G298*FairProp</f>
        <v>11.37536999568</v>
      </c>
      <c r="I298" s="44" t="n">
        <f aca="false">IF(G298&lt;=SpcLimit,SUMPRODUCT((H298&gt;SLo)*(H298-SLo)*SD),SUMPRODUCT((H298&gt;GLo)*(H298-GLo)*GD))</f>
        <v>0.03920147998272</v>
      </c>
      <c r="J298" s="44" t="n">
        <f aca="false">H298*CityRate</f>
        <v>0.015925517993952</v>
      </c>
      <c r="K298" s="44" t="n">
        <f aca="false">I298*EduProp</f>
        <v>0.007840295996544</v>
      </c>
      <c r="L298" s="24" t="n">
        <f aca="false">MAX(0,(G298-JongDeduct)*FairJong)</f>
        <v>4.17536999568</v>
      </c>
      <c r="M298" s="44" t="n">
        <f aca="false">SUMPRODUCT((L298&gt;JLo)*(L298-JLo)*JD)</f>
        <v>0.02322758996976</v>
      </c>
      <c r="N298" s="44" t="n">
        <f aca="false">M298*NongJong</f>
        <v>0.004645517993952</v>
      </c>
      <c r="O298" s="45" t="n">
        <f aca="false">I298+J298+K298+M298+N298</f>
        <v>0.090840401936928</v>
      </c>
    </row>
    <row r="299" customFormat="false" ht="15" hidden="false" customHeight="false" outlineLevel="0" collapsed="false">
      <c r="A299" s="20" t="n">
        <v>10</v>
      </c>
      <c r="B299" s="43" t="str">
        <f aca="false">INDEX(C_Name,A299)</f>
        <v>흑석리버파크자이 85㎡</v>
      </c>
      <c r="C299" s="20" t="n">
        <v>3</v>
      </c>
      <c r="D299" s="10" t="n">
        <f aca="false">CHOOSE(C299,GrowLo,GrowMid,GrowHi)</f>
        <v>0.06</v>
      </c>
      <c r="E299" s="20" t="n">
        <v>5</v>
      </c>
      <c r="F299" s="24" t="n">
        <f aca="false">INDEX(C_Price,A299)*(1+D299)^(E299-1)</f>
        <v>29.1253434672</v>
      </c>
      <c r="G299" s="24" t="n">
        <f aca="false">F299*Gongsi</f>
        <v>20.096486992368</v>
      </c>
      <c r="H299" s="24" t="n">
        <f aca="false">G299*FairProp</f>
        <v>12.0578921954208</v>
      </c>
      <c r="I299" s="44" t="n">
        <f aca="false">IF(G299&lt;=SpcLimit,SUMPRODUCT((H299&gt;SLo)*(H299-SLo)*SD),SUMPRODUCT((H299&gt;GLo)*(H299-GLo)*GD))</f>
        <v>0.0419315687816832</v>
      </c>
      <c r="J299" s="44" t="n">
        <f aca="false">H299*CityRate</f>
        <v>0.0168810490735891</v>
      </c>
      <c r="K299" s="44" t="n">
        <f aca="false">I299*EduProp</f>
        <v>0.00838631375633664</v>
      </c>
      <c r="L299" s="24" t="n">
        <f aca="false">MAX(0,(G299-JongDeduct)*FairJong)</f>
        <v>4.8578921954208</v>
      </c>
      <c r="M299" s="44" t="n">
        <f aca="false">SUMPRODUCT((L299&gt;JLo)*(L299-JLo)*JD)</f>
        <v>0.0280052453679456</v>
      </c>
      <c r="N299" s="44" t="n">
        <f aca="false">M299*NongJong</f>
        <v>0.00560104907358912</v>
      </c>
      <c r="O299" s="45" t="n">
        <f aca="false">I299+J299+K299+M299+N299</f>
        <v>0.100805226053144</v>
      </c>
    </row>
    <row r="300" customFormat="false" ht="15" hidden="false" customHeight="false" outlineLevel="0" collapsed="false">
      <c r="A300" s="20" t="n">
        <v>10</v>
      </c>
      <c r="B300" s="43" t="str">
        <f aca="false">INDEX(C_Name,A300)</f>
        <v>흑석리버파크자이 85㎡</v>
      </c>
      <c r="C300" s="20" t="n">
        <v>3</v>
      </c>
      <c r="D300" s="10" t="n">
        <f aca="false">CHOOSE(C300,GrowLo,GrowMid,GrowHi)</f>
        <v>0.06</v>
      </c>
      <c r="E300" s="20" t="n">
        <v>6</v>
      </c>
      <c r="F300" s="24" t="n">
        <f aca="false">INDEX(C_Price,A300)*(1+D300)^(E300-1)</f>
        <v>30.872864075232</v>
      </c>
      <c r="G300" s="24" t="n">
        <f aca="false">F300*Gongsi</f>
        <v>21.3022762119101</v>
      </c>
      <c r="H300" s="24" t="n">
        <f aca="false">G300*FairProp</f>
        <v>12.7813657271461</v>
      </c>
      <c r="I300" s="44" t="n">
        <f aca="false">IF(G300&lt;=SpcLimit,SUMPRODUCT((H300&gt;SLo)*(H300-SLo)*SD),SUMPRODUCT((H300&gt;GLo)*(H300-GLo)*GD))</f>
        <v>0.0448254629085842</v>
      </c>
      <c r="J300" s="44" t="n">
        <f aca="false">H300*CityRate</f>
        <v>0.0178939120180045</v>
      </c>
      <c r="K300" s="44" t="n">
        <f aca="false">I300*EduProp</f>
        <v>0.00896509258171684</v>
      </c>
      <c r="L300" s="24" t="n">
        <f aca="false">MAX(0,(G300-JongDeduct)*FairJong)</f>
        <v>5.58136572714605</v>
      </c>
      <c r="M300" s="44" t="n">
        <f aca="false">SUMPRODUCT((L300&gt;JLo)*(L300-JLo)*JD)</f>
        <v>0.0330695600900224</v>
      </c>
      <c r="N300" s="44" t="n">
        <f aca="false">M300*NongJong</f>
        <v>0.00661391201800447</v>
      </c>
      <c r="O300" s="45" t="n">
        <f aca="false">I300+J300+K300+M300+N300</f>
        <v>0.111367939616332</v>
      </c>
    </row>
    <row r="301" customFormat="false" ht="15" hidden="false" customHeight="false" outlineLevel="0" collapsed="false">
      <c r="A301" s="20" t="n">
        <v>10</v>
      </c>
      <c r="B301" s="43" t="str">
        <f aca="false">INDEX(C_Name,A301)</f>
        <v>흑석리버파크자이 85㎡</v>
      </c>
      <c r="C301" s="20" t="n">
        <v>3</v>
      </c>
      <c r="D301" s="10" t="n">
        <f aca="false">CHOOSE(C301,GrowLo,GrowMid,GrowHi)</f>
        <v>0.06</v>
      </c>
      <c r="E301" s="20" t="n">
        <v>7</v>
      </c>
      <c r="F301" s="24" t="n">
        <f aca="false">INDEX(C_Price,A301)*(1+D301)^(E301-1)</f>
        <v>32.7252359197459</v>
      </c>
      <c r="G301" s="24" t="n">
        <f aca="false">F301*Gongsi</f>
        <v>22.5804127846247</v>
      </c>
      <c r="H301" s="24" t="n">
        <f aca="false">G301*FairProp</f>
        <v>13.5482476707748</v>
      </c>
      <c r="I301" s="44" t="n">
        <f aca="false">IF(G301&lt;=SpcLimit,SUMPRODUCT((H301&gt;SLo)*(H301-SLo)*SD),SUMPRODUCT((H301&gt;GLo)*(H301-GLo)*GD))</f>
        <v>0.0478929906830993</v>
      </c>
      <c r="J301" s="44" t="n">
        <f aca="false">H301*CityRate</f>
        <v>0.0189675467390847</v>
      </c>
      <c r="K301" s="44" t="n">
        <f aca="false">I301*EduProp</f>
        <v>0.00957859813661985</v>
      </c>
      <c r="L301" s="24" t="n">
        <f aca="false">MAX(0,(G301-JongDeduct)*FairJong)</f>
        <v>6.34824767077481</v>
      </c>
      <c r="M301" s="44" t="n">
        <f aca="false">SUMPRODUCT((L301&gt;JLo)*(L301-JLo)*JD)</f>
        <v>0.0394824767077481</v>
      </c>
      <c r="N301" s="44" t="n">
        <f aca="false">M301*NongJong</f>
        <v>0.00789649534154962</v>
      </c>
      <c r="O301" s="45" t="n">
        <f aca="false">I301+J301+K301+M301+N301</f>
        <v>0.123818107608102</v>
      </c>
    </row>
    <row r="302" customFormat="false" ht="15" hidden="false" customHeight="false" outlineLevel="0" collapsed="false">
      <c r="A302" s="20" t="n">
        <v>10</v>
      </c>
      <c r="B302" s="43" t="str">
        <f aca="false">INDEX(C_Name,A302)</f>
        <v>흑석리버파크자이 85㎡</v>
      </c>
      <c r="C302" s="20" t="n">
        <v>3</v>
      </c>
      <c r="D302" s="10" t="n">
        <f aca="false">CHOOSE(C302,GrowLo,GrowMid,GrowHi)</f>
        <v>0.06</v>
      </c>
      <c r="E302" s="20" t="n">
        <v>8</v>
      </c>
      <c r="F302" s="24" t="n">
        <f aca="false">INDEX(C_Price,A302)*(1+D302)^(E302-1)</f>
        <v>34.6887500749307</v>
      </c>
      <c r="G302" s="24" t="n">
        <f aca="false">F302*Gongsi</f>
        <v>23.9352375517022</v>
      </c>
      <c r="H302" s="24" t="n">
        <f aca="false">G302*FairProp</f>
        <v>14.3611425310213</v>
      </c>
      <c r="I302" s="44" t="n">
        <f aca="false">IF(G302&lt;=SpcLimit,SUMPRODUCT((H302&gt;SLo)*(H302-SLo)*SD),SUMPRODUCT((H302&gt;GLo)*(H302-GLo)*GD))</f>
        <v>0.0511445701240852</v>
      </c>
      <c r="J302" s="44" t="n">
        <f aca="false">H302*CityRate</f>
        <v>0.0201055995434298</v>
      </c>
      <c r="K302" s="44" t="n">
        <f aca="false">I302*EduProp</f>
        <v>0.010228914024817</v>
      </c>
      <c r="L302" s="24" t="n">
        <f aca="false">MAX(0,(G302-JongDeduct)*FairJong)</f>
        <v>7.1611425310213</v>
      </c>
      <c r="M302" s="44" t="n">
        <f aca="false">SUMPRODUCT((L302&gt;JLo)*(L302-JLo)*JD)</f>
        <v>0.047611425310213</v>
      </c>
      <c r="N302" s="44" t="n">
        <f aca="false">M302*NongJong</f>
        <v>0.00952228506204261</v>
      </c>
      <c r="O302" s="45" t="n">
        <f aca="false">I302+J302+K302+M302+N302</f>
        <v>0.138612794064588</v>
      </c>
    </row>
    <row r="303" customFormat="false" ht="15" hidden="false" customHeight="false" outlineLevel="0" collapsed="false">
      <c r="A303" s="20" t="n">
        <v>10</v>
      </c>
      <c r="B303" s="43" t="str">
        <f aca="false">INDEX(C_Name,A303)</f>
        <v>흑석리버파크자이 85㎡</v>
      </c>
      <c r="C303" s="20" t="n">
        <v>3</v>
      </c>
      <c r="D303" s="10" t="n">
        <f aca="false">CHOOSE(C303,GrowLo,GrowMid,GrowHi)</f>
        <v>0.06</v>
      </c>
      <c r="E303" s="20" t="n">
        <v>9</v>
      </c>
      <c r="F303" s="24" t="n">
        <f aca="false">INDEX(C_Price,A303)*(1+D303)^(E303-1)</f>
        <v>36.7700750794265</v>
      </c>
      <c r="G303" s="24" t="n">
        <f aca="false">F303*Gongsi</f>
        <v>25.3713518048043</v>
      </c>
      <c r="H303" s="24" t="n">
        <f aca="false">G303*FairProp</f>
        <v>15.2228110828826</v>
      </c>
      <c r="I303" s="44" t="n">
        <f aca="false">IF(G303&lt;=SpcLimit,SUMPRODUCT((H303&gt;SLo)*(H303-SLo)*SD),SUMPRODUCT((H303&gt;GLo)*(H303-GLo)*GD))</f>
        <v>0.0545912443315303</v>
      </c>
      <c r="J303" s="44" t="n">
        <f aca="false">H303*CityRate</f>
        <v>0.0213119355160356</v>
      </c>
      <c r="K303" s="44" t="n">
        <f aca="false">I303*EduProp</f>
        <v>0.0109182488663061</v>
      </c>
      <c r="L303" s="24" t="n">
        <f aca="false">MAX(0,(G303-JongDeduct)*FairJong)</f>
        <v>8.02281108288258</v>
      </c>
      <c r="M303" s="44" t="n">
        <f aca="false">SUMPRODUCT((L303&gt;JLo)*(L303-JLo)*JD)</f>
        <v>0.0562281108288258</v>
      </c>
      <c r="N303" s="44" t="n">
        <f aca="false">M303*NongJong</f>
        <v>0.0112456221657652</v>
      </c>
      <c r="O303" s="45" t="n">
        <f aca="false">I303+J303+K303+M303+N303</f>
        <v>0.154295161708463</v>
      </c>
    </row>
    <row r="304" customFormat="false" ht="15" hidden="false" customHeight="false" outlineLevel="0" collapsed="false">
      <c r="A304" s="20" t="n">
        <v>10</v>
      </c>
      <c r="B304" s="43" t="str">
        <f aca="false">INDEX(C_Name,A304)</f>
        <v>흑석리버파크자이 85㎡</v>
      </c>
      <c r="C304" s="20" t="n">
        <v>3</v>
      </c>
      <c r="D304" s="10" t="n">
        <f aca="false">CHOOSE(C304,GrowLo,GrowMid,GrowHi)</f>
        <v>0.06</v>
      </c>
      <c r="E304" s="20" t="n">
        <v>10</v>
      </c>
      <c r="F304" s="24" t="n">
        <f aca="false">INDEX(C_Price,A304)*(1+D304)^(E304-1)</f>
        <v>38.9762795841921</v>
      </c>
      <c r="G304" s="24" t="n">
        <f aca="false">F304*Gongsi</f>
        <v>26.8936329130926</v>
      </c>
      <c r="H304" s="24" t="n">
        <f aca="false">G304*FairProp</f>
        <v>16.1361797478555</v>
      </c>
      <c r="I304" s="44" t="n">
        <f aca="false">IF(G304&lt;=SpcLimit,SUMPRODUCT((H304&gt;SLo)*(H304-SLo)*SD),SUMPRODUCT((H304&gt;GLo)*(H304-GLo)*GD))</f>
        <v>0.0582447189914222</v>
      </c>
      <c r="J304" s="44" t="n">
        <f aca="false">H304*CityRate</f>
        <v>0.0225906516469978</v>
      </c>
      <c r="K304" s="44" t="n">
        <f aca="false">I304*EduProp</f>
        <v>0.0116489437982844</v>
      </c>
      <c r="L304" s="24" t="n">
        <f aca="false">MAX(0,(G304-JongDeduct)*FairJong)</f>
        <v>8.93617974785554</v>
      </c>
      <c r="M304" s="44" t="n">
        <f aca="false">SUMPRODUCT((L304&gt;JLo)*(L304-JLo)*JD)</f>
        <v>0.0653617974785554</v>
      </c>
      <c r="N304" s="44" t="n">
        <f aca="false">M304*NongJong</f>
        <v>0.0130723594957111</v>
      </c>
      <c r="O304" s="45" t="n">
        <f aca="false">I304+J304+K304+M304+N304</f>
        <v>0.170918471410971</v>
      </c>
    </row>
    <row r="305" customFormat="false" ht="15" hidden="false" customHeight="false" outlineLevel="0" collapsed="false">
      <c r="A305" s="20" t="n">
        <v>11</v>
      </c>
      <c r="B305" s="43" t="str">
        <f aca="false">INDEX(C_Name,A305)</f>
        <v>흑석 아크로리버하임 84.75㎡</v>
      </c>
      <c r="C305" s="20" t="n">
        <v>1</v>
      </c>
      <c r="D305" s="10" t="n">
        <f aca="false">CHOOSE(C305,GrowLo,GrowMid,GrowHi)</f>
        <v>0.02</v>
      </c>
      <c r="E305" s="20" t="n">
        <v>1</v>
      </c>
      <c r="F305" s="24" t="n">
        <f aca="false">INDEX(C_Price,A305)*(1+D305)^(E305-1)</f>
        <v>28.75</v>
      </c>
      <c r="G305" s="24" t="n">
        <f aca="false">F305*Gongsi</f>
        <v>19.8375</v>
      </c>
      <c r="H305" s="24" t="n">
        <f aca="false">G305*FairProp</f>
        <v>11.9025</v>
      </c>
      <c r="I305" s="44" t="n">
        <f aca="false">IF(G305&lt;=SpcLimit,SUMPRODUCT((H305&gt;SLo)*(H305-SLo)*SD),SUMPRODUCT((H305&gt;GLo)*(H305-GLo)*GD))</f>
        <v>0.04131</v>
      </c>
      <c r="J305" s="44" t="n">
        <f aca="false">H305*CityRate</f>
        <v>0.0166635</v>
      </c>
      <c r="K305" s="44" t="n">
        <f aca="false">I305*EduProp</f>
        <v>0.008262</v>
      </c>
      <c r="L305" s="24" t="n">
        <f aca="false">MAX(0,(G305-JongDeduct)*FairJong)</f>
        <v>4.7025</v>
      </c>
      <c r="M305" s="44" t="n">
        <f aca="false">SUMPRODUCT((L305&gt;JLo)*(L305-JLo)*JD)</f>
        <v>0.0269175</v>
      </c>
      <c r="N305" s="44" t="n">
        <f aca="false">M305*NongJong</f>
        <v>0.0053835</v>
      </c>
      <c r="O305" s="45" t="n">
        <f aca="false">I305+J305+K305+M305+N305</f>
        <v>0.0985365</v>
      </c>
    </row>
    <row r="306" customFormat="false" ht="15" hidden="false" customHeight="false" outlineLevel="0" collapsed="false">
      <c r="A306" s="20" t="n">
        <v>11</v>
      </c>
      <c r="B306" s="43" t="str">
        <f aca="false">INDEX(C_Name,A306)</f>
        <v>흑석 아크로리버하임 84.75㎡</v>
      </c>
      <c r="C306" s="20" t="n">
        <v>1</v>
      </c>
      <c r="D306" s="10" t="n">
        <f aca="false">CHOOSE(C306,GrowLo,GrowMid,GrowHi)</f>
        <v>0.02</v>
      </c>
      <c r="E306" s="20" t="n">
        <v>2</v>
      </c>
      <c r="F306" s="24" t="n">
        <f aca="false">INDEX(C_Price,A306)*(1+D306)^(E306-1)</f>
        <v>29.325</v>
      </c>
      <c r="G306" s="24" t="n">
        <f aca="false">F306*Gongsi</f>
        <v>20.23425</v>
      </c>
      <c r="H306" s="24" t="n">
        <f aca="false">G306*FairProp</f>
        <v>12.14055</v>
      </c>
      <c r="I306" s="44" t="n">
        <f aca="false">IF(G306&lt;=SpcLimit,SUMPRODUCT((H306&gt;SLo)*(H306-SLo)*SD),SUMPRODUCT((H306&gt;GLo)*(H306-GLo)*GD))</f>
        <v>0.0422622</v>
      </c>
      <c r="J306" s="44" t="n">
        <f aca="false">H306*CityRate</f>
        <v>0.01699677</v>
      </c>
      <c r="K306" s="44" t="n">
        <f aca="false">I306*EduProp</f>
        <v>0.00845244</v>
      </c>
      <c r="L306" s="24" t="n">
        <f aca="false">MAX(0,(G306-JongDeduct)*FairJong)</f>
        <v>4.94055</v>
      </c>
      <c r="M306" s="44" t="n">
        <f aca="false">SUMPRODUCT((L306&gt;JLo)*(L306-JLo)*JD)</f>
        <v>0.02858385</v>
      </c>
      <c r="N306" s="44" t="n">
        <f aca="false">M306*NongJong</f>
        <v>0.00571677</v>
      </c>
      <c r="O306" s="45" t="n">
        <f aca="false">I306+J306+K306+M306+N306</f>
        <v>0.10201203</v>
      </c>
    </row>
    <row r="307" customFormat="false" ht="15" hidden="false" customHeight="false" outlineLevel="0" collapsed="false">
      <c r="A307" s="20" t="n">
        <v>11</v>
      </c>
      <c r="B307" s="43" t="str">
        <f aca="false">INDEX(C_Name,A307)</f>
        <v>흑석 아크로리버하임 84.75㎡</v>
      </c>
      <c r="C307" s="20" t="n">
        <v>1</v>
      </c>
      <c r="D307" s="10" t="n">
        <f aca="false">CHOOSE(C307,GrowLo,GrowMid,GrowHi)</f>
        <v>0.02</v>
      </c>
      <c r="E307" s="20" t="n">
        <v>3</v>
      </c>
      <c r="F307" s="24" t="n">
        <f aca="false">INDEX(C_Price,A307)*(1+D307)^(E307-1)</f>
        <v>29.9115</v>
      </c>
      <c r="G307" s="24" t="n">
        <f aca="false">F307*Gongsi</f>
        <v>20.638935</v>
      </c>
      <c r="H307" s="24" t="n">
        <f aca="false">G307*FairProp</f>
        <v>12.383361</v>
      </c>
      <c r="I307" s="44" t="n">
        <f aca="false">IF(G307&lt;=SpcLimit,SUMPRODUCT((H307&gt;SLo)*(H307-SLo)*SD),SUMPRODUCT((H307&gt;GLo)*(H307-GLo)*GD))</f>
        <v>0.043233444</v>
      </c>
      <c r="J307" s="44" t="n">
        <f aca="false">H307*CityRate</f>
        <v>0.0173367054</v>
      </c>
      <c r="K307" s="44" t="n">
        <f aca="false">I307*EduProp</f>
        <v>0.0086466888</v>
      </c>
      <c r="L307" s="24" t="n">
        <f aca="false">MAX(0,(G307-JongDeduct)*FairJong)</f>
        <v>5.183361</v>
      </c>
      <c r="M307" s="44" t="n">
        <f aca="false">SUMPRODUCT((L307&gt;JLo)*(L307-JLo)*JD)</f>
        <v>0.030283527</v>
      </c>
      <c r="N307" s="44" t="n">
        <f aca="false">M307*NongJong</f>
        <v>0.0060567054</v>
      </c>
      <c r="O307" s="45" t="n">
        <f aca="false">I307+J307+K307+M307+N307</f>
        <v>0.1055570706</v>
      </c>
    </row>
    <row r="308" customFormat="false" ht="15" hidden="false" customHeight="false" outlineLevel="0" collapsed="false">
      <c r="A308" s="20" t="n">
        <v>11</v>
      </c>
      <c r="B308" s="43" t="str">
        <f aca="false">INDEX(C_Name,A308)</f>
        <v>흑석 아크로리버하임 84.75㎡</v>
      </c>
      <c r="C308" s="20" t="n">
        <v>1</v>
      </c>
      <c r="D308" s="10" t="n">
        <f aca="false">CHOOSE(C308,GrowLo,GrowMid,GrowHi)</f>
        <v>0.02</v>
      </c>
      <c r="E308" s="20" t="n">
        <v>4</v>
      </c>
      <c r="F308" s="24" t="n">
        <f aca="false">INDEX(C_Price,A308)*(1+D308)^(E308-1)</f>
        <v>30.50973</v>
      </c>
      <c r="G308" s="24" t="n">
        <f aca="false">F308*Gongsi</f>
        <v>21.0517137</v>
      </c>
      <c r="H308" s="24" t="n">
        <f aca="false">G308*FairProp</f>
        <v>12.63102822</v>
      </c>
      <c r="I308" s="44" t="n">
        <f aca="false">IF(G308&lt;=SpcLimit,SUMPRODUCT((H308&gt;SLo)*(H308-SLo)*SD),SUMPRODUCT((H308&gt;GLo)*(H308-GLo)*GD))</f>
        <v>0.04422411288</v>
      </c>
      <c r="J308" s="44" t="n">
        <f aca="false">H308*CityRate</f>
        <v>0.017683439508</v>
      </c>
      <c r="K308" s="44" t="n">
        <f aca="false">I308*EduProp</f>
        <v>0.008844822576</v>
      </c>
      <c r="L308" s="24" t="n">
        <f aca="false">MAX(0,(G308-JongDeduct)*FairJong)</f>
        <v>5.43102822</v>
      </c>
      <c r="M308" s="44" t="n">
        <f aca="false">SUMPRODUCT((L308&gt;JLo)*(L308-JLo)*JD)</f>
        <v>0.03201719754</v>
      </c>
      <c r="N308" s="44" t="n">
        <f aca="false">M308*NongJong</f>
        <v>0.006403439508</v>
      </c>
      <c r="O308" s="45" t="n">
        <f aca="false">I308+J308+K308+M308+N308</f>
        <v>0.109173012012</v>
      </c>
    </row>
    <row r="309" customFormat="false" ht="15" hidden="false" customHeight="false" outlineLevel="0" collapsed="false">
      <c r="A309" s="20" t="n">
        <v>11</v>
      </c>
      <c r="B309" s="43" t="str">
        <f aca="false">INDEX(C_Name,A309)</f>
        <v>흑석 아크로리버하임 84.75㎡</v>
      </c>
      <c r="C309" s="20" t="n">
        <v>1</v>
      </c>
      <c r="D309" s="10" t="n">
        <f aca="false">CHOOSE(C309,GrowLo,GrowMid,GrowHi)</f>
        <v>0.02</v>
      </c>
      <c r="E309" s="20" t="n">
        <v>5</v>
      </c>
      <c r="F309" s="24" t="n">
        <f aca="false">INDEX(C_Price,A309)*(1+D309)^(E309-1)</f>
        <v>31.1199246</v>
      </c>
      <c r="G309" s="24" t="n">
        <f aca="false">F309*Gongsi</f>
        <v>21.472747974</v>
      </c>
      <c r="H309" s="24" t="n">
        <f aca="false">G309*FairProp</f>
        <v>12.8836487844</v>
      </c>
      <c r="I309" s="44" t="n">
        <f aca="false">IF(G309&lt;=SpcLimit,SUMPRODUCT((H309&gt;SLo)*(H309-SLo)*SD),SUMPRODUCT((H309&gt;GLo)*(H309-GLo)*GD))</f>
        <v>0.0452345951376</v>
      </c>
      <c r="J309" s="44" t="n">
        <f aca="false">H309*CityRate</f>
        <v>0.01803710829816</v>
      </c>
      <c r="K309" s="44" t="n">
        <f aca="false">I309*EduProp</f>
        <v>0.00904691902752</v>
      </c>
      <c r="L309" s="24" t="n">
        <f aca="false">MAX(0,(G309-JongDeduct)*FairJong)</f>
        <v>5.6836487844</v>
      </c>
      <c r="M309" s="44" t="n">
        <f aca="false">SUMPRODUCT((L309&gt;JLo)*(L309-JLo)*JD)</f>
        <v>0.0337855414908</v>
      </c>
      <c r="N309" s="44" t="n">
        <f aca="false">M309*NongJong</f>
        <v>0.00675710829816</v>
      </c>
      <c r="O309" s="45" t="n">
        <f aca="false">I309+J309+K309+M309+N309</f>
        <v>0.11286127225224</v>
      </c>
    </row>
    <row r="310" customFormat="false" ht="15" hidden="false" customHeight="false" outlineLevel="0" collapsed="false">
      <c r="A310" s="20" t="n">
        <v>11</v>
      </c>
      <c r="B310" s="43" t="str">
        <f aca="false">INDEX(C_Name,A310)</f>
        <v>흑석 아크로리버하임 84.75㎡</v>
      </c>
      <c r="C310" s="20" t="n">
        <v>1</v>
      </c>
      <c r="D310" s="10" t="n">
        <f aca="false">CHOOSE(C310,GrowLo,GrowMid,GrowHi)</f>
        <v>0.02</v>
      </c>
      <c r="E310" s="20" t="n">
        <v>6</v>
      </c>
      <c r="F310" s="24" t="n">
        <f aca="false">INDEX(C_Price,A310)*(1+D310)^(E310-1)</f>
        <v>31.742323092</v>
      </c>
      <c r="G310" s="24" t="n">
        <f aca="false">F310*Gongsi</f>
        <v>21.90220293348</v>
      </c>
      <c r="H310" s="24" t="n">
        <f aca="false">G310*FairProp</f>
        <v>13.141321760088</v>
      </c>
      <c r="I310" s="44" t="n">
        <f aca="false">IF(G310&lt;=SpcLimit,SUMPRODUCT((H310&gt;SLo)*(H310-SLo)*SD),SUMPRODUCT((H310&gt;GLo)*(H310-GLo)*GD))</f>
        <v>0.046265287040352</v>
      </c>
      <c r="J310" s="44" t="n">
        <f aca="false">H310*CityRate</f>
        <v>0.0183978504641232</v>
      </c>
      <c r="K310" s="44" t="n">
        <f aca="false">I310*EduProp</f>
        <v>0.0092530574080704</v>
      </c>
      <c r="L310" s="24" t="n">
        <f aca="false">MAX(0,(G310-JongDeduct)*FairJong)</f>
        <v>5.941321760088</v>
      </c>
      <c r="M310" s="44" t="n">
        <f aca="false">SUMPRODUCT((L310&gt;JLo)*(L310-JLo)*JD)</f>
        <v>0.035589252320616</v>
      </c>
      <c r="N310" s="44" t="n">
        <f aca="false">M310*NongJong</f>
        <v>0.0071178504641232</v>
      </c>
      <c r="O310" s="45" t="n">
        <f aca="false">I310+J310+K310+M310+N310</f>
        <v>0.116623297697285</v>
      </c>
    </row>
    <row r="311" customFormat="false" ht="15" hidden="false" customHeight="false" outlineLevel="0" collapsed="false">
      <c r="A311" s="20" t="n">
        <v>11</v>
      </c>
      <c r="B311" s="43" t="str">
        <f aca="false">INDEX(C_Name,A311)</f>
        <v>흑석 아크로리버하임 84.75㎡</v>
      </c>
      <c r="C311" s="20" t="n">
        <v>1</v>
      </c>
      <c r="D311" s="10" t="n">
        <f aca="false">CHOOSE(C311,GrowLo,GrowMid,GrowHi)</f>
        <v>0.02</v>
      </c>
      <c r="E311" s="20" t="n">
        <v>7</v>
      </c>
      <c r="F311" s="24" t="n">
        <f aca="false">INDEX(C_Price,A311)*(1+D311)^(E311-1)</f>
        <v>32.37716955384</v>
      </c>
      <c r="G311" s="24" t="n">
        <f aca="false">F311*Gongsi</f>
        <v>22.3402469921496</v>
      </c>
      <c r="H311" s="24" t="n">
        <f aca="false">G311*FairProp</f>
        <v>13.4041481952898</v>
      </c>
      <c r="I311" s="44" t="n">
        <f aca="false">IF(G311&lt;=SpcLimit,SUMPRODUCT((H311&gt;SLo)*(H311-SLo)*SD),SUMPRODUCT((H311&gt;GLo)*(H311-GLo)*GD))</f>
        <v>0.047316592781159</v>
      </c>
      <c r="J311" s="44" t="n">
        <f aca="false">H311*CityRate</f>
        <v>0.0187658074734057</v>
      </c>
      <c r="K311" s="44" t="n">
        <f aca="false">I311*EduProp</f>
        <v>0.00946331855623181</v>
      </c>
      <c r="L311" s="24" t="n">
        <f aca="false">MAX(0,(G311-JongDeduct)*FairJong)</f>
        <v>6.20414819528976</v>
      </c>
      <c r="M311" s="44" t="n">
        <f aca="false">SUMPRODUCT((L311&gt;JLo)*(L311-JLo)*JD)</f>
        <v>0.0380414819528976</v>
      </c>
      <c r="N311" s="44" t="n">
        <f aca="false">M311*NongJong</f>
        <v>0.00760829639057952</v>
      </c>
      <c r="O311" s="45" t="n">
        <f aca="false">I311+J311+K311+M311+N311</f>
        <v>0.121195497154274</v>
      </c>
    </row>
    <row r="312" customFormat="false" ht="15" hidden="false" customHeight="false" outlineLevel="0" collapsed="false">
      <c r="A312" s="20" t="n">
        <v>11</v>
      </c>
      <c r="B312" s="43" t="str">
        <f aca="false">INDEX(C_Name,A312)</f>
        <v>흑석 아크로리버하임 84.75㎡</v>
      </c>
      <c r="C312" s="20" t="n">
        <v>1</v>
      </c>
      <c r="D312" s="10" t="n">
        <f aca="false">CHOOSE(C312,GrowLo,GrowMid,GrowHi)</f>
        <v>0.02</v>
      </c>
      <c r="E312" s="20" t="n">
        <v>8</v>
      </c>
      <c r="F312" s="24" t="n">
        <f aca="false">INDEX(C_Price,A312)*(1+D312)^(E312-1)</f>
        <v>33.0247129449168</v>
      </c>
      <c r="G312" s="24" t="n">
        <f aca="false">F312*Gongsi</f>
        <v>22.7870519319926</v>
      </c>
      <c r="H312" s="24" t="n">
        <f aca="false">G312*FairProp</f>
        <v>13.6722311591956</v>
      </c>
      <c r="I312" s="44" t="n">
        <f aca="false">IF(G312&lt;=SpcLimit,SUMPRODUCT((H312&gt;SLo)*(H312-SLo)*SD),SUMPRODUCT((H312&gt;GLo)*(H312-GLo)*GD))</f>
        <v>0.0483889246367822</v>
      </c>
      <c r="J312" s="44" t="n">
        <f aca="false">H312*CityRate</f>
        <v>0.0191411236228738</v>
      </c>
      <c r="K312" s="44" t="n">
        <f aca="false">I312*EduProp</f>
        <v>0.00967778492735644</v>
      </c>
      <c r="L312" s="24" t="n">
        <f aca="false">MAX(0,(G312-JongDeduct)*FairJong)</f>
        <v>6.47223115919555</v>
      </c>
      <c r="M312" s="44" t="n">
        <f aca="false">SUMPRODUCT((L312&gt;JLo)*(L312-JLo)*JD)</f>
        <v>0.0407223115919555</v>
      </c>
      <c r="N312" s="44" t="n">
        <f aca="false">M312*NongJong</f>
        <v>0.00814446231839111</v>
      </c>
      <c r="O312" s="45" t="n">
        <f aca="false">I312+J312+K312+M312+N312</f>
        <v>0.126074607097359</v>
      </c>
    </row>
    <row r="313" customFormat="false" ht="15" hidden="false" customHeight="false" outlineLevel="0" collapsed="false">
      <c r="A313" s="20" t="n">
        <v>11</v>
      </c>
      <c r="B313" s="43" t="str">
        <f aca="false">INDEX(C_Name,A313)</f>
        <v>흑석 아크로리버하임 84.75㎡</v>
      </c>
      <c r="C313" s="20" t="n">
        <v>1</v>
      </c>
      <c r="D313" s="10" t="n">
        <f aca="false">CHOOSE(C313,GrowLo,GrowMid,GrowHi)</f>
        <v>0.02</v>
      </c>
      <c r="E313" s="20" t="n">
        <v>9</v>
      </c>
      <c r="F313" s="24" t="n">
        <f aca="false">INDEX(C_Price,A313)*(1+D313)^(E313-1)</f>
        <v>33.6852072038151</v>
      </c>
      <c r="G313" s="24" t="n">
        <f aca="false">F313*Gongsi</f>
        <v>23.2427929706324</v>
      </c>
      <c r="H313" s="24" t="n">
        <f aca="false">G313*FairProp</f>
        <v>13.9456757823795</v>
      </c>
      <c r="I313" s="44" t="n">
        <f aca="false">IF(G313&lt;=SpcLimit,SUMPRODUCT((H313&gt;SLo)*(H313-SLo)*SD),SUMPRODUCT((H313&gt;GLo)*(H313-GLo)*GD))</f>
        <v>0.0494827031295179</v>
      </c>
      <c r="J313" s="44" t="n">
        <f aca="false">H313*CityRate</f>
        <v>0.0195239460953313</v>
      </c>
      <c r="K313" s="44" t="n">
        <f aca="false">I313*EduProp</f>
        <v>0.00989654062590357</v>
      </c>
      <c r="L313" s="24" t="n">
        <f aca="false">MAX(0,(G313-JongDeduct)*FairJong)</f>
        <v>6.74567578237947</v>
      </c>
      <c r="M313" s="44" t="n">
        <f aca="false">SUMPRODUCT((L313&gt;JLo)*(L313-JLo)*JD)</f>
        <v>0.0434567578237947</v>
      </c>
      <c r="N313" s="44" t="n">
        <f aca="false">M313*NongJong</f>
        <v>0.00869135156475893</v>
      </c>
      <c r="O313" s="45" t="n">
        <f aca="false">I313+J313+K313+M313+N313</f>
        <v>0.131051299239306</v>
      </c>
    </row>
    <row r="314" customFormat="false" ht="15" hidden="false" customHeight="false" outlineLevel="0" collapsed="false">
      <c r="A314" s="20" t="n">
        <v>11</v>
      </c>
      <c r="B314" s="43" t="str">
        <f aca="false">INDEX(C_Name,A314)</f>
        <v>흑석 아크로리버하임 84.75㎡</v>
      </c>
      <c r="C314" s="20" t="n">
        <v>1</v>
      </c>
      <c r="D314" s="10" t="n">
        <f aca="false">CHOOSE(C314,GrowLo,GrowMid,GrowHi)</f>
        <v>0.02</v>
      </c>
      <c r="E314" s="20" t="n">
        <v>10</v>
      </c>
      <c r="F314" s="24" t="n">
        <f aca="false">INDEX(C_Price,A314)*(1+D314)^(E314-1)</f>
        <v>34.3589113478914</v>
      </c>
      <c r="G314" s="24" t="n">
        <f aca="false">F314*Gongsi</f>
        <v>23.7076488300451</v>
      </c>
      <c r="H314" s="24" t="n">
        <f aca="false">G314*FairProp</f>
        <v>14.2245892980271</v>
      </c>
      <c r="I314" s="44" t="n">
        <f aca="false">IF(G314&lt;=SpcLimit,SUMPRODUCT((H314&gt;SLo)*(H314-SLo)*SD),SUMPRODUCT((H314&gt;GLo)*(H314-GLo)*GD))</f>
        <v>0.0505983571921082</v>
      </c>
      <c r="J314" s="44" t="n">
        <f aca="false">H314*CityRate</f>
        <v>0.0199144250172379</v>
      </c>
      <c r="K314" s="44" t="n">
        <f aca="false">I314*EduProp</f>
        <v>0.0101196714384216</v>
      </c>
      <c r="L314" s="24" t="n">
        <f aca="false">MAX(0,(G314-JongDeduct)*FairJong)</f>
        <v>7.02458929802706</v>
      </c>
      <c r="M314" s="44" t="n">
        <f aca="false">SUMPRODUCT((L314&gt;JLo)*(L314-JLo)*JD)</f>
        <v>0.0462458929802706</v>
      </c>
      <c r="N314" s="44" t="n">
        <f aca="false">M314*NongJong</f>
        <v>0.00924917859605412</v>
      </c>
      <c r="O314" s="45" t="n">
        <f aca="false">I314+J314+K314+M314+N314</f>
        <v>0.136127525224092</v>
      </c>
    </row>
    <row r="315" customFormat="false" ht="15" hidden="false" customHeight="false" outlineLevel="0" collapsed="false">
      <c r="A315" s="20" t="n">
        <v>11</v>
      </c>
      <c r="B315" s="43" t="str">
        <f aca="false">INDEX(C_Name,A315)</f>
        <v>흑석 아크로리버하임 84.75㎡</v>
      </c>
      <c r="C315" s="20" t="n">
        <v>2</v>
      </c>
      <c r="D315" s="10" t="n">
        <f aca="false">CHOOSE(C315,GrowLo,GrowMid,GrowHi)</f>
        <v>0.04</v>
      </c>
      <c r="E315" s="20" t="n">
        <v>1</v>
      </c>
      <c r="F315" s="24" t="n">
        <f aca="false">INDEX(C_Price,A315)*(1+D315)^(E315-1)</f>
        <v>28.75</v>
      </c>
      <c r="G315" s="24" t="n">
        <f aca="false">F315*Gongsi</f>
        <v>19.8375</v>
      </c>
      <c r="H315" s="24" t="n">
        <f aca="false">G315*FairProp</f>
        <v>11.9025</v>
      </c>
      <c r="I315" s="44" t="n">
        <f aca="false">IF(G315&lt;=SpcLimit,SUMPRODUCT((H315&gt;SLo)*(H315-SLo)*SD),SUMPRODUCT((H315&gt;GLo)*(H315-GLo)*GD))</f>
        <v>0.04131</v>
      </c>
      <c r="J315" s="44" t="n">
        <f aca="false">H315*CityRate</f>
        <v>0.0166635</v>
      </c>
      <c r="K315" s="44" t="n">
        <f aca="false">I315*EduProp</f>
        <v>0.008262</v>
      </c>
      <c r="L315" s="24" t="n">
        <f aca="false">MAX(0,(G315-JongDeduct)*FairJong)</f>
        <v>4.7025</v>
      </c>
      <c r="M315" s="44" t="n">
        <f aca="false">SUMPRODUCT((L315&gt;JLo)*(L315-JLo)*JD)</f>
        <v>0.0269175</v>
      </c>
      <c r="N315" s="44" t="n">
        <f aca="false">M315*NongJong</f>
        <v>0.0053835</v>
      </c>
      <c r="O315" s="45" t="n">
        <f aca="false">I315+J315+K315+M315+N315</f>
        <v>0.0985365</v>
      </c>
    </row>
    <row r="316" customFormat="false" ht="15" hidden="false" customHeight="false" outlineLevel="0" collapsed="false">
      <c r="A316" s="20" t="n">
        <v>11</v>
      </c>
      <c r="B316" s="43" t="str">
        <f aca="false">INDEX(C_Name,A316)</f>
        <v>흑석 아크로리버하임 84.75㎡</v>
      </c>
      <c r="C316" s="20" t="n">
        <v>2</v>
      </c>
      <c r="D316" s="10" t="n">
        <f aca="false">CHOOSE(C316,GrowLo,GrowMid,GrowHi)</f>
        <v>0.04</v>
      </c>
      <c r="E316" s="20" t="n">
        <v>2</v>
      </c>
      <c r="F316" s="24" t="n">
        <f aca="false">INDEX(C_Price,A316)*(1+D316)^(E316-1)</f>
        <v>29.9</v>
      </c>
      <c r="G316" s="24" t="n">
        <f aca="false">F316*Gongsi</f>
        <v>20.631</v>
      </c>
      <c r="H316" s="24" t="n">
        <f aca="false">G316*FairProp</f>
        <v>12.3786</v>
      </c>
      <c r="I316" s="44" t="n">
        <f aca="false">IF(G316&lt;=SpcLimit,SUMPRODUCT((H316&gt;SLo)*(H316-SLo)*SD),SUMPRODUCT((H316&gt;GLo)*(H316-GLo)*GD))</f>
        <v>0.0432144</v>
      </c>
      <c r="J316" s="44" t="n">
        <f aca="false">H316*CityRate</f>
        <v>0.01733004</v>
      </c>
      <c r="K316" s="44" t="n">
        <f aca="false">I316*EduProp</f>
        <v>0.00864288</v>
      </c>
      <c r="L316" s="24" t="n">
        <f aca="false">MAX(0,(G316-JongDeduct)*FairJong)</f>
        <v>5.1786</v>
      </c>
      <c r="M316" s="44" t="n">
        <f aca="false">SUMPRODUCT((L316&gt;JLo)*(L316-JLo)*JD)</f>
        <v>0.0302502</v>
      </c>
      <c r="N316" s="44" t="n">
        <f aca="false">M316*NongJong</f>
        <v>0.00605004</v>
      </c>
      <c r="O316" s="45" t="n">
        <f aca="false">I316+J316+K316+M316+N316</f>
        <v>0.10548756</v>
      </c>
    </row>
    <row r="317" customFormat="false" ht="15" hidden="false" customHeight="false" outlineLevel="0" collapsed="false">
      <c r="A317" s="20" t="n">
        <v>11</v>
      </c>
      <c r="B317" s="43" t="str">
        <f aca="false">INDEX(C_Name,A317)</f>
        <v>흑석 아크로리버하임 84.75㎡</v>
      </c>
      <c r="C317" s="20" t="n">
        <v>2</v>
      </c>
      <c r="D317" s="10" t="n">
        <f aca="false">CHOOSE(C317,GrowLo,GrowMid,GrowHi)</f>
        <v>0.04</v>
      </c>
      <c r="E317" s="20" t="n">
        <v>3</v>
      </c>
      <c r="F317" s="24" t="n">
        <f aca="false">INDEX(C_Price,A317)*(1+D317)^(E317-1)</f>
        <v>31.096</v>
      </c>
      <c r="G317" s="24" t="n">
        <f aca="false">F317*Gongsi</f>
        <v>21.45624</v>
      </c>
      <c r="H317" s="24" t="n">
        <f aca="false">G317*FairProp</f>
        <v>12.873744</v>
      </c>
      <c r="I317" s="44" t="n">
        <f aca="false">IF(G317&lt;=SpcLimit,SUMPRODUCT((H317&gt;SLo)*(H317-SLo)*SD),SUMPRODUCT((H317&gt;GLo)*(H317-GLo)*GD))</f>
        <v>0.045194976</v>
      </c>
      <c r="J317" s="44" t="n">
        <f aca="false">H317*CityRate</f>
        <v>0.0180232416</v>
      </c>
      <c r="K317" s="44" t="n">
        <f aca="false">I317*EduProp</f>
        <v>0.0090389952</v>
      </c>
      <c r="L317" s="24" t="n">
        <f aca="false">MAX(0,(G317-JongDeduct)*FairJong)</f>
        <v>5.673744</v>
      </c>
      <c r="M317" s="44" t="n">
        <f aca="false">SUMPRODUCT((L317&gt;JLo)*(L317-JLo)*JD)</f>
        <v>0.033716208</v>
      </c>
      <c r="N317" s="44" t="n">
        <f aca="false">M317*NongJong</f>
        <v>0.0067432416</v>
      </c>
      <c r="O317" s="45" t="n">
        <f aca="false">I317+J317+K317+M317+N317</f>
        <v>0.1127166624</v>
      </c>
    </row>
    <row r="318" customFormat="false" ht="15" hidden="false" customHeight="false" outlineLevel="0" collapsed="false">
      <c r="A318" s="20" t="n">
        <v>11</v>
      </c>
      <c r="B318" s="43" t="str">
        <f aca="false">INDEX(C_Name,A318)</f>
        <v>흑석 아크로리버하임 84.75㎡</v>
      </c>
      <c r="C318" s="20" t="n">
        <v>2</v>
      </c>
      <c r="D318" s="10" t="n">
        <f aca="false">CHOOSE(C318,GrowLo,GrowMid,GrowHi)</f>
        <v>0.04</v>
      </c>
      <c r="E318" s="20" t="n">
        <v>4</v>
      </c>
      <c r="F318" s="24" t="n">
        <f aca="false">INDEX(C_Price,A318)*(1+D318)^(E318-1)</f>
        <v>32.33984</v>
      </c>
      <c r="G318" s="24" t="n">
        <f aca="false">F318*Gongsi</f>
        <v>22.3144896</v>
      </c>
      <c r="H318" s="24" t="n">
        <f aca="false">G318*FairProp</f>
        <v>13.38869376</v>
      </c>
      <c r="I318" s="44" t="n">
        <f aca="false">IF(G318&lt;=SpcLimit,SUMPRODUCT((H318&gt;SLo)*(H318-SLo)*SD),SUMPRODUCT((H318&gt;GLo)*(H318-GLo)*GD))</f>
        <v>0.04725477504</v>
      </c>
      <c r="J318" s="44" t="n">
        <f aca="false">H318*CityRate</f>
        <v>0.018744171264</v>
      </c>
      <c r="K318" s="44" t="n">
        <f aca="false">I318*EduProp</f>
        <v>0.009450955008</v>
      </c>
      <c r="L318" s="24" t="n">
        <f aca="false">MAX(0,(G318-JongDeduct)*FairJong)</f>
        <v>6.18869376</v>
      </c>
      <c r="M318" s="44" t="n">
        <f aca="false">SUMPRODUCT((L318&gt;JLo)*(L318-JLo)*JD)</f>
        <v>0.0378869376</v>
      </c>
      <c r="N318" s="44" t="n">
        <f aca="false">M318*NongJong</f>
        <v>0.00757738752</v>
      </c>
      <c r="O318" s="45" t="n">
        <f aca="false">I318+J318+K318+M318+N318</f>
        <v>0.120914226432</v>
      </c>
    </row>
    <row r="319" customFormat="false" ht="15" hidden="false" customHeight="false" outlineLevel="0" collapsed="false">
      <c r="A319" s="20" t="n">
        <v>11</v>
      </c>
      <c r="B319" s="43" t="str">
        <f aca="false">INDEX(C_Name,A319)</f>
        <v>흑석 아크로리버하임 84.75㎡</v>
      </c>
      <c r="C319" s="20" t="n">
        <v>2</v>
      </c>
      <c r="D319" s="10" t="n">
        <f aca="false">CHOOSE(C319,GrowLo,GrowMid,GrowHi)</f>
        <v>0.04</v>
      </c>
      <c r="E319" s="20" t="n">
        <v>5</v>
      </c>
      <c r="F319" s="24" t="n">
        <f aca="false">INDEX(C_Price,A319)*(1+D319)^(E319-1)</f>
        <v>33.6334336</v>
      </c>
      <c r="G319" s="24" t="n">
        <f aca="false">F319*Gongsi</f>
        <v>23.207069184</v>
      </c>
      <c r="H319" s="24" t="n">
        <f aca="false">G319*FairProp</f>
        <v>13.9242415104</v>
      </c>
      <c r="I319" s="44" t="n">
        <f aca="false">IF(G319&lt;=SpcLimit,SUMPRODUCT((H319&gt;SLo)*(H319-SLo)*SD),SUMPRODUCT((H319&gt;GLo)*(H319-GLo)*GD))</f>
        <v>0.0493969660416</v>
      </c>
      <c r="J319" s="44" t="n">
        <f aca="false">H319*CityRate</f>
        <v>0.01949393811456</v>
      </c>
      <c r="K319" s="44" t="n">
        <f aca="false">I319*EduProp</f>
        <v>0.00987939320832</v>
      </c>
      <c r="L319" s="24" t="n">
        <f aca="false">MAX(0,(G319-JongDeduct)*FairJong)</f>
        <v>6.7242415104</v>
      </c>
      <c r="M319" s="44" t="n">
        <f aca="false">SUMPRODUCT((L319&gt;JLo)*(L319-JLo)*JD)</f>
        <v>0.043242415104</v>
      </c>
      <c r="N319" s="44" t="n">
        <f aca="false">M319*NongJong</f>
        <v>0.0086484830208</v>
      </c>
      <c r="O319" s="45" t="n">
        <f aca="false">I319+J319+K319+M319+N319</f>
        <v>0.13066119548928</v>
      </c>
    </row>
    <row r="320" customFormat="false" ht="15" hidden="false" customHeight="false" outlineLevel="0" collapsed="false">
      <c r="A320" s="20" t="n">
        <v>11</v>
      </c>
      <c r="B320" s="43" t="str">
        <f aca="false">INDEX(C_Name,A320)</f>
        <v>흑석 아크로리버하임 84.75㎡</v>
      </c>
      <c r="C320" s="20" t="n">
        <v>2</v>
      </c>
      <c r="D320" s="10" t="n">
        <f aca="false">CHOOSE(C320,GrowLo,GrowMid,GrowHi)</f>
        <v>0.04</v>
      </c>
      <c r="E320" s="20" t="n">
        <v>6</v>
      </c>
      <c r="F320" s="24" t="n">
        <f aca="false">INDEX(C_Price,A320)*(1+D320)^(E320-1)</f>
        <v>34.978770944</v>
      </c>
      <c r="G320" s="24" t="n">
        <f aca="false">F320*Gongsi</f>
        <v>24.13535195136</v>
      </c>
      <c r="H320" s="24" t="n">
        <f aca="false">G320*FairProp</f>
        <v>14.481211170816</v>
      </c>
      <c r="I320" s="44" t="n">
        <f aca="false">IF(G320&lt;=SpcLimit,SUMPRODUCT((H320&gt;SLo)*(H320-SLo)*SD),SUMPRODUCT((H320&gt;GLo)*(H320-GLo)*GD))</f>
        <v>0.051624844683264</v>
      </c>
      <c r="J320" s="44" t="n">
        <f aca="false">H320*CityRate</f>
        <v>0.0202736956391424</v>
      </c>
      <c r="K320" s="44" t="n">
        <f aca="false">I320*EduProp</f>
        <v>0.0103249689366528</v>
      </c>
      <c r="L320" s="24" t="n">
        <f aca="false">MAX(0,(G320-JongDeduct)*FairJong)</f>
        <v>7.281211170816</v>
      </c>
      <c r="M320" s="44" t="n">
        <f aca="false">SUMPRODUCT((L320&gt;JLo)*(L320-JLo)*JD)</f>
        <v>0.04881211170816</v>
      </c>
      <c r="N320" s="44" t="n">
        <f aca="false">M320*NongJong</f>
        <v>0.009762422341632</v>
      </c>
      <c r="O320" s="45" t="n">
        <f aca="false">I320+J320+K320+M320+N320</f>
        <v>0.140798043308851</v>
      </c>
    </row>
    <row r="321" customFormat="false" ht="15" hidden="false" customHeight="false" outlineLevel="0" collapsed="false">
      <c r="A321" s="20" t="n">
        <v>11</v>
      </c>
      <c r="B321" s="43" t="str">
        <f aca="false">INDEX(C_Name,A321)</f>
        <v>흑석 아크로리버하임 84.75㎡</v>
      </c>
      <c r="C321" s="20" t="n">
        <v>2</v>
      </c>
      <c r="D321" s="10" t="n">
        <f aca="false">CHOOSE(C321,GrowLo,GrowMid,GrowHi)</f>
        <v>0.04</v>
      </c>
      <c r="E321" s="20" t="n">
        <v>7</v>
      </c>
      <c r="F321" s="24" t="n">
        <f aca="false">INDEX(C_Price,A321)*(1+D321)^(E321-1)</f>
        <v>36.37792178176</v>
      </c>
      <c r="G321" s="24" t="n">
        <f aca="false">F321*Gongsi</f>
        <v>25.1007660294144</v>
      </c>
      <c r="H321" s="24" t="n">
        <f aca="false">G321*FairProp</f>
        <v>15.0604596176486</v>
      </c>
      <c r="I321" s="44" t="n">
        <f aca="false">IF(G321&lt;=SpcLimit,SUMPRODUCT((H321&gt;SLo)*(H321-SLo)*SD),SUMPRODUCT((H321&gt;GLo)*(H321-GLo)*GD))</f>
        <v>0.0539418384705946</v>
      </c>
      <c r="J321" s="44" t="n">
        <f aca="false">H321*CityRate</f>
        <v>0.0210846434647081</v>
      </c>
      <c r="K321" s="44" t="n">
        <f aca="false">I321*EduProp</f>
        <v>0.0107883676941189</v>
      </c>
      <c r="L321" s="24" t="n">
        <f aca="false">MAX(0,(G321-JongDeduct)*FairJong)</f>
        <v>7.86045961764864</v>
      </c>
      <c r="M321" s="44" t="n">
        <f aca="false">SUMPRODUCT((L321&gt;JLo)*(L321-JLo)*JD)</f>
        <v>0.0546045961764864</v>
      </c>
      <c r="N321" s="44" t="n">
        <f aca="false">M321*NongJong</f>
        <v>0.0109209192352973</v>
      </c>
      <c r="O321" s="45" t="n">
        <f aca="false">I321+J321+K321+M321+N321</f>
        <v>0.151340365041205</v>
      </c>
    </row>
    <row r="322" customFormat="false" ht="15" hidden="false" customHeight="false" outlineLevel="0" collapsed="false">
      <c r="A322" s="20" t="n">
        <v>11</v>
      </c>
      <c r="B322" s="43" t="str">
        <f aca="false">INDEX(C_Name,A322)</f>
        <v>흑석 아크로리버하임 84.75㎡</v>
      </c>
      <c r="C322" s="20" t="n">
        <v>2</v>
      </c>
      <c r="D322" s="10" t="n">
        <f aca="false">CHOOSE(C322,GrowLo,GrowMid,GrowHi)</f>
        <v>0.04</v>
      </c>
      <c r="E322" s="20" t="n">
        <v>8</v>
      </c>
      <c r="F322" s="24" t="n">
        <f aca="false">INDEX(C_Price,A322)*(1+D322)^(E322-1)</f>
        <v>37.8330386530304</v>
      </c>
      <c r="G322" s="24" t="n">
        <f aca="false">F322*Gongsi</f>
        <v>26.104796670591</v>
      </c>
      <c r="H322" s="24" t="n">
        <f aca="false">G322*FairProp</f>
        <v>15.6628780023546</v>
      </c>
      <c r="I322" s="44" t="n">
        <f aca="false">IF(G322&lt;=SpcLimit,SUMPRODUCT((H322&gt;SLo)*(H322-SLo)*SD),SUMPRODUCT((H322&gt;GLo)*(H322-GLo)*GD))</f>
        <v>0.0563515120094184</v>
      </c>
      <c r="J322" s="44" t="n">
        <f aca="false">H322*CityRate</f>
        <v>0.0219280292032964</v>
      </c>
      <c r="K322" s="44" t="n">
        <f aca="false">I322*EduProp</f>
        <v>0.0112703024018837</v>
      </c>
      <c r="L322" s="24" t="n">
        <f aca="false">MAX(0,(G322-JongDeduct)*FairJong)</f>
        <v>8.46287800235459</v>
      </c>
      <c r="M322" s="44" t="n">
        <f aca="false">SUMPRODUCT((L322&gt;JLo)*(L322-JLo)*JD)</f>
        <v>0.0606287800235459</v>
      </c>
      <c r="N322" s="44" t="n">
        <f aca="false">M322*NongJong</f>
        <v>0.0121257560047092</v>
      </c>
      <c r="O322" s="45" t="n">
        <f aca="false">I322+J322+K322+M322+N322</f>
        <v>0.162304379642854</v>
      </c>
    </row>
    <row r="323" customFormat="false" ht="15" hidden="false" customHeight="false" outlineLevel="0" collapsed="false">
      <c r="A323" s="20" t="n">
        <v>11</v>
      </c>
      <c r="B323" s="43" t="str">
        <f aca="false">INDEX(C_Name,A323)</f>
        <v>흑석 아크로리버하임 84.75㎡</v>
      </c>
      <c r="C323" s="20" t="n">
        <v>2</v>
      </c>
      <c r="D323" s="10" t="n">
        <f aca="false">CHOOSE(C323,GrowLo,GrowMid,GrowHi)</f>
        <v>0.04</v>
      </c>
      <c r="E323" s="20" t="n">
        <v>9</v>
      </c>
      <c r="F323" s="24" t="n">
        <f aca="false">INDEX(C_Price,A323)*(1+D323)^(E323-1)</f>
        <v>39.3463601991516</v>
      </c>
      <c r="G323" s="24" t="n">
        <f aca="false">F323*Gongsi</f>
        <v>27.1489885374146</v>
      </c>
      <c r="H323" s="24" t="n">
        <f aca="false">G323*FairProp</f>
        <v>16.2893931224488</v>
      </c>
      <c r="I323" s="44" t="n">
        <f aca="false">IF(G323&lt;=SpcLimit,SUMPRODUCT((H323&gt;SLo)*(H323-SLo)*SD),SUMPRODUCT((H323&gt;GLo)*(H323-GLo)*GD))</f>
        <v>0.0588575724897951</v>
      </c>
      <c r="J323" s="44" t="n">
        <f aca="false">H323*CityRate</f>
        <v>0.0228051503714283</v>
      </c>
      <c r="K323" s="44" t="n">
        <f aca="false">I323*EduProp</f>
        <v>0.011771514497959</v>
      </c>
      <c r="L323" s="24" t="n">
        <f aca="false">MAX(0,(G323-JongDeduct)*FairJong)</f>
        <v>9.08939312244877</v>
      </c>
      <c r="M323" s="44" t="n">
        <f aca="false">SUMPRODUCT((L323&gt;JLo)*(L323-JLo)*JD)</f>
        <v>0.0668939312244877</v>
      </c>
      <c r="N323" s="44" t="n">
        <f aca="false">M323*NongJong</f>
        <v>0.0133787862448975</v>
      </c>
      <c r="O323" s="45" t="n">
        <f aca="false">I323+J323+K323+M323+N323</f>
        <v>0.173706954828568</v>
      </c>
    </row>
    <row r="324" customFormat="false" ht="15" hidden="false" customHeight="false" outlineLevel="0" collapsed="false">
      <c r="A324" s="20" t="n">
        <v>11</v>
      </c>
      <c r="B324" s="43" t="str">
        <f aca="false">INDEX(C_Name,A324)</f>
        <v>흑석 아크로리버하임 84.75㎡</v>
      </c>
      <c r="C324" s="20" t="n">
        <v>2</v>
      </c>
      <c r="D324" s="10" t="n">
        <f aca="false">CHOOSE(C324,GrowLo,GrowMid,GrowHi)</f>
        <v>0.04</v>
      </c>
      <c r="E324" s="20" t="n">
        <v>10</v>
      </c>
      <c r="F324" s="24" t="n">
        <f aca="false">INDEX(C_Price,A324)*(1+D324)^(E324-1)</f>
        <v>40.9202146071177</v>
      </c>
      <c r="G324" s="24" t="n">
        <f aca="false">F324*Gongsi</f>
        <v>28.2349480789112</v>
      </c>
      <c r="H324" s="24" t="n">
        <f aca="false">G324*FairProp</f>
        <v>16.9409688473467</v>
      </c>
      <c r="I324" s="44" t="n">
        <f aca="false">IF(G324&lt;=SpcLimit,SUMPRODUCT((H324&gt;SLo)*(H324-SLo)*SD),SUMPRODUCT((H324&gt;GLo)*(H324-GLo)*GD))</f>
        <v>0.0614638753893869</v>
      </c>
      <c r="J324" s="44" t="n">
        <f aca="false">H324*CityRate</f>
        <v>0.0237173563862854</v>
      </c>
      <c r="K324" s="44" t="n">
        <f aca="false">I324*EduProp</f>
        <v>0.0122927750778774</v>
      </c>
      <c r="L324" s="24" t="n">
        <f aca="false">MAX(0,(G324-JongDeduct)*FairJong)</f>
        <v>9.74096884734672</v>
      </c>
      <c r="M324" s="44" t="n">
        <f aca="false">SUMPRODUCT((L324&gt;JLo)*(L324-JLo)*JD)</f>
        <v>0.0734096884734672</v>
      </c>
      <c r="N324" s="44" t="n">
        <f aca="false">M324*NongJong</f>
        <v>0.0146819376946934</v>
      </c>
      <c r="O324" s="45" t="n">
        <f aca="false">I324+J324+K324+M324+N324</f>
        <v>0.18556563302171</v>
      </c>
    </row>
    <row r="325" customFormat="false" ht="15" hidden="false" customHeight="false" outlineLevel="0" collapsed="false">
      <c r="A325" s="20" t="n">
        <v>11</v>
      </c>
      <c r="B325" s="43" t="str">
        <f aca="false">INDEX(C_Name,A325)</f>
        <v>흑석 아크로리버하임 84.75㎡</v>
      </c>
      <c r="C325" s="20" t="n">
        <v>3</v>
      </c>
      <c r="D325" s="10" t="n">
        <f aca="false">CHOOSE(C325,GrowLo,GrowMid,GrowHi)</f>
        <v>0.06</v>
      </c>
      <c r="E325" s="20" t="n">
        <v>1</v>
      </c>
      <c r="F325" s="24" t="n">
        <f aca="false">INDEX(C_Price,A325)*(1+D325)^(E325-1)</f>
        <v>28.75</v>
      </c>
      <c r="G325" s="24" t="n">
        <f aca="false">F325*Gongsi</f>
        <v>19.8375</v>
      </c>
      <c r="H325" s="24" t="n">
        <f aca="false">G325*FairProp</f>
        <v>11.9025</v>
      </c>
      <c r="I325" s="44" t="n">
        <f aca="false">IF(G325&lt;=SpcLimit,SUMPRODUCT((H325&gt;SLo)*(H325-SLo)*SD),SUMPRODUCT((H325&gt;GLo)*(H325-GLo)*GD))</f>
        <v>0.04131</v>
      </c>
      <c r="J325" s="44" t="n">
        <f aca="false">H325*CityRate</f>
        <v>0.0166635</v>
      </c>
      <c r="K325" s="44" t="n">
        <f aca="false">I325*EduProp</f>
        <v>0.008262</v>
      </c>
      <c r="L325" s="24" t="n">
        <f aca="false">MAX(0,(G325-JongDeduct)*FairJong)</f>
        <v>4.7025</v>
      </c>
      <c r="M325" s="44" t="n">
        <f aca="false">SUMPRODUCT((L325&gt;JLo)*(L325-JLo)*JD)</f>
        <v>0.0269175</v>
      </c>
      <c r="N325" s="44" t="n">
        <f aca="false">M325*NongJong</f>
        <v>0.0053835</v>
      </c>
      <c r="O325" s="45" t="n">
        <f aca="false">I325+J325+K325+M325+N325</f>
        <v>0.0985365</v>
      </c>
    </row>
    <row r="326" customFormat="false" ht="15" hidden="false" customHeight="false" outlineLevel="0" collapsed="false">
      <c r="A326" s="20" t="n">
        <v>11</v>
      </c>
      <c r="B326" s="43" t="str">
        <f aca="false">INDEX(C_Name,A326)</f>
        <v>흑석 아크로리버하임 84.75㎡</v>
      </c>
      <c r="C326" s="20" t="n">
        <v>3</v>
      </c>
      <c r="D326" s="10" t="n">
        <f aca="false">CHOOSE(C326,GrowLo,GrowMid,GrowHi)</f>
        <v>0.06</v>
      </c>
      <c r="E326" s="20" t="n">
        <v>2</v>
      </c>
      <c r="F326" s="24" t="n">
        <f aca="false">INDEX(C_Price,A326)*(1+D326)^(E326-1)</f>
        <v>30.475</v>
      </c>
      <c r="G326" s="24" t="n">
        <f aca="false">F326*Gongsi</f>
        <v>21.02775</v>
      </c>
      <c r="H326" s="24" t="n">
        <f aca="false">G326*FairProp</f>
        <v>12.61665</v>
      </c>
      <c r="I326" s="44" t="n">
        <f aca="false">IF(G326&lt;=SpcLimit,SUMPRODUCT((H326&gt;SLo)*(H326-SLo)*SD),SUMPRODUCT((H326&gt;GLo)*(H326-GLo)*GD))</f>
        <v>0.0441666</v>
      </c>
      <c r="J326" s="44" t="n">
        <f aca="false">H326*CityRate</f>
        <v>0.01766331</v>
      </c>
      <c r="K326" s="44" t="n">
        <f aca="false">I326*EduProp</f>
        <v>0.00883332</v>
      </c>
      <c r="L326" s="24" t="n">
        <f aca="false">MAX(0,(G326-JongDeduct)*FairJong)</f>
        <v>5.41665</v>
      </c>
      <c r="M326" s="44" t="n">
        <f aca="false">SUMPRODUCT((L326&gt;JLo)*(L326-JLo)*JD)</f>
        <v>0.03191655</v>
      </c>
      <c r="N326" s="44" t="n">
        <f aca="false">M326*NongJong</f>
        <v>0.00638331</v>
      </c>
      <c r="O326" s="45" t="n">
        <f aca="false">I326+J326+K326+M326+N326</f>
        <v>0.10896309</v>
      </c>
    </row>
    <row r="327" customFormat="false" ht="15" hidden="false" customHeight="false" outlineLevel="0" collapsed="false">
      <c r="A327" s="20" t="n">
        <v>11</v>
      </c>
      <c r="B327" s="43" t="str">
        <f aca="false">INDEX(C_Name,A327)</f>
        <v>흑석 아크로리버하임 84.75㎡</v>
      </c>
      <c r="C327" s="20" t="n">
        <v>3</v>
      </c>
      <c r="D327" s="10" t="n">
        <f aca="false">CHOOSE(C327,GrowLo,GrowMid,GrowHi)</f>
        <v>0.06</v>
      </c>
      <c r="E327" s="20" t="n">
        <v>3</v>
      </c>
      <c r="F327" s="24" t="n">
        <f aca="false">INDEX(C_Price,A327)*(1+D327)^(E327-1)</f>
        <v>32.3035</v>
      </c>
      <c r="G327" s="24" t="n">
        <f aca="false">F327*Gongsi</f>
        <v>22.289415</v>
      </c>
      <c r="H327" s="24" t="n">
        <f aca="false">G327*FairProp</f>
        <v>13.373649</v>
      </c>
      <c r="I327" s="44" t="n">
        <f aca="false">IF(G327&lt;=SpcLimit,SUMPRODUCT((H327&gt;SLo)*(H327-SLo)*SD),SUMPRODUCT((H327&gt;GLo)*(H327-GLo)*GD))</f>
        <v>0.047194596</v>
      </c>
      <c r="J327" s="44" t="n">
        <f aca="false">H327*CityRate</f>
        <v>0.0187231086</v>
      </c>
      <c r="K327" s="44" t="n">
        <f aca="false">I327*EduProp</f>
        <v>0.0094389192</v>
      </c>
      <c r="L327" s="24" t="n">
        <f aca="false">MAX(0,(G327-JongDeduct)*FairJong)</f>
        <v>6.173649</v>
      </c>
      <c r="M327" s="44" t="n">
        <f aca="false">SUMPRODUCT((L327&gt;JLo)*(L327-JLo)*JD)</f>
        <v>0.03773649</v>
      </c>
      <c r="N327" s="44" t="n">
        <f aca="false">M327*NongJong</f>
        <v>0.007547298</v>
      </c>
      <c r="O327" s="45" t="n">
        <f aca="false">I327+J327+K327+M327+N327</f>
        <v>0.1206404118</v>
      </c>
    </row>
    <row r="328" customFormat="false" ht="15" hidden="false" customHeight="false" outlineLevel="0" collapsed="false">
      <c r="A328" s="20" t="n">
        <v>11</v>
      </c>
      <c r="B328" s="43" t="str">
        <f aca="false">INDEX(C_Name,A328)</f>
        <v>흑석 아크로리버하임 84.75㎡</v>
      </c>
      <c r="C328" s="20" t="n">
        <v>3</v>
      </c>
      <c r="D328" s="10" t="n">
        <f aca="false">CHOOSE(C328,GrowLo,GrowMid,GrowHi)</f>
        <v>0.06</v>
      </c>
      <c r="E328" s="20" t="n">
        <v>4</v>
      </c>
      <c r="F328" s="24" t="n">
        <f aca="false">INDEX(C_Price,A328)*(1+D328)^(E328-1)</f>
        <v>34.24171</v>
      </c>
      <c r="G328" s="24" t="n">
        <f aca="false">F328*Gongsi</f>
        <v>23.6267799</v>
      </c>
      <c r="H328" s="24" t="n">
        <f aca="false">G328*FairProp</f>
        <v>14.17606794</v>
      </c>
      <c r="I328" s="44" t="n">
        <f aca="false">IF(G328&lt;=SpcLimit,SUMPRODUCT((H328&gt;SLo)*(H328-SLo)*SD),SUMPRODUCT((H328&gt;GLo)*(H328-GLo)*GD))</f>
        <v>0.05040427176</v>
      </c>
      <c r="J328" s="44" t="n">
        <f aca="false">H328*CityRate</f>
        <v>0.019846495116</v>
      </c>
      <c r="K328" s="44" t="n">
        <f aca="false">I328*EduProp</f>
        <v>0.010080854352</v>
      </c>
      <c r="L328" s="24" t="n">
        <f aca="false">MAX(0,(G328-JongDeduct)*FairJong)</f>
        <v>6.97606794</v>
      </c>
      <c r="M328" s="44" t="n">
        <f aca="false">SUMPRODUCT((L328&gt;JLo)*(L328-JLo)*JD)</f>
        <v>0.0457606794</v>
      </c>
      <c r="N328" s="44" t="n">
        <f aca="false">M328*NongJong</f>
        <v>0.00915213588</v>
      </c>
      <c r="O328" s="45" t="n">
        <f aca="false">I328+J328+K328+M328+N328</f>
        <v>0.135244436508</v>
      </c>
    </row>
    <row r="329" customFormat="false" ht="15" hidden="false" customHeight="false" outlineLevel="0" collapsed="false">
      <c r="A329" s="20" t="n">
        <v>11</v>
      </c>
      <c r="B329" s="43" t="str">
        <f aca="false">INDEX(C_Name,A329)</f>
        <v>흑석 아크로리버하임 84.75㎡</v>
      </c>
      <c r="C329" s="20" t="n">
        <v>3</v>
      </c>
      <c r="D329" s="10" t="n">
        <f aca="false">CHOOSE(C329,GrowLo,GrowMid,GrowHi)</f>
        <v>0.06</v>
      </c>
      <c r="E329" s="20" t="n">
        <v>5</v>
      </c>
      <c r="F329" s="24" t="n">
        <f aca="false">INDEX(C_Price,A329)*(1+D329)^(E329-1)</f>
        <v>36.2962126</v>
      </c>
      <c r="G329" s="24" t="n">
        <f aca="false">F329*Gongsi</f>
        <v>25.044386694</v>
      </c>
      <c r="H329" s="24" t="n">
        <f aca="false">G329*FairProp</f>
        <v>15.0266320164</v>
      </c>
      <c r="I329" s="44" t="n">
        <f aca="false">IF(G329&lt;=SpcLimit,SUMPRODUCT((H329&gt;SLo)*(H329-SLo)*SD),SUMPRODUCT((H329&gt;GLo)*(H329-GLo)*GD))</f>
        <v>0.0538065280656</v>
      </c>
      <c r="J329" s="44" t="n">
        <f aca="false">H329*CityRate</f>
        <v>0.02103728482296</v>
      </c>
      <c r="K329" s="44" t="n">
        <f aca="false">I329*EduProp</f>
        <v>0.01076130561312</v>
      </c>
      <c r="L329" s="24" t="n">
        <f aca="false">MAX(0,(G329-JongDeduct)*FairJong)</f>
        <v>7.8266320164</v>
      </c>
      <c r="M329" s="44" t="n">
        <f aca="false">SUMPRODUCT((L329&gt;JLo)*(L329-JLo)*JD)</f>
        <v>0.054266320164</v>
      </c>
      <c r="N329" s="44" t="n">
        <f aca="false">M329*NongJong</f>
        <v>0.0108532640328</v>
      </c>
      <c r="O329" s="45" t="n">
        <f aca="false">I329+J329+K329+M329+N329</f>
        <v>0.15072470269848</v>
      </c>
    </row>
    <row r="330" customFormat="false" ht="15" hidden="false" customHeight="false" outlineLevel="0" collapsed="false">
      <c r="A330" s="20" t="n">
        <v>11</v>
      </c>
      <c r="B330" s="43" t="str">
        <f aca="false">INDEX(C_Name,A330)</f>
        <v>흑석 아크로리버하임 84.75㎡</v>
      </c>
      <c r="C330" s="20" t="n">
        <v>3</v>
      </c>
      <c r="D330" s="10" t="n">
        <f aca="false">CHOOSE(C330,GrowLo,GrowMid,GrowHi)</f>
        <v>0.06</v>
      </c>
      <c r="E330" s="20" t="n">
        <v>6</v>
      </c>
      <c r="F330" s="24" t="n">
        <f aca="false">INDEX(C_Price,A330)*(1+D330)^(E330-1)</f>
        <v>38.473985356</v>
      </c>
      <c r="G330" s="24" t="n">
        <f aca="false">F330*Gongsi</f>
        <v>26.54704989564</v>
      </c>
      <c r="H330" s="24" t="n">
        <f aca="false">G330*FairProp</f>
        <v>15.928229937384</v>
      </c>
      <c r="I330" s="44" t="n">
        <f aca="false">IF(G330&lt;=SpcLimit,SUMPRODUCT((H330&gt;SLo)*(H330-SLo)*SD),SUMPRODUCT((H330&gt;GLo)*(H330-GLo)*GD))</f>
        <v>0.057412919749536</v>
      </c>
      <c r="J330" s="44" t="n">
        <f aca="false">H330*CityRate</f>
        <v>0.0222995219123376</v>
      </c>
      <c r="K330" s="44" t="n">
        <f aca="false">I330*EduProp</f>
        <v>0.0114825839499072</v>
      </c>
      <c r="L330" s="24" t="n">
        <f aca="false">MAX(0,(G330-JongDeduct)*FairJong)</f>
        <v>8.728229937384</v>
      </c>
      <c r="M330" s="44" t="n">
        <f aca="false">SUMPRODUCT((L330&gt;JLo)*(L330-JLo)*JD)</f>
        <v>0.06328229937384</v>
      </c>
      <c r="N330" s="44" t="n">
        <f aca="false">M330*NongJong</f>
        <v>0.012656459874768</v>
      </c>
      <c r="O330" s="45" t="n">
        <f aca="false">I330+J330+K330+M330+N330</f>
        <v>0.167133784860389</v>
      </c>
    </row>
    <row r="331" customFormat="false" ht="15" hidden="false" customHeight="false" outlineLevel="0" collapsed="false">
      <c r="A331" s="20" t="n">
        <v>11</v>
      </c>
      <c r="B331" s="43" t="str">
        <f aca="false">INDEX(C_Name,A331)</f>
        <v>흑석 아크로리버하임 84.75㎡</v>
      </c>
      <c r="C331" s="20" t="n">
        <v>3</v>
      </c>
      <c r="D331" s="10" t="n">
        <f aca="false">CHOOSE(C331,GrowLo,GrowMid,GrowHi)</f>
        <v>0.06</v>
      </c>
      <c r="E331" s="20" t="n">
        <v>7</v>
      </c>
      <c r="F331" s="24" t="n">
        <f aca="false">INDEX(C_Price,A331)*(1+D331)^(E331-1)</f>
        <v>40.78242447736</v>
      </c>
      <c r="G331" s="24" t="n">
        <f aca="false">F331*Gongsi</f>
        <v>28.1398728893784</v>
      </c>
      <c r="H331" s="24" t="n">
        <f aca="false">G331*FairProp</f>
        <v>16.883923733627</v>
      </c>
      <c r="I331" s="44" t="n">
        <f aca="false">IF(G331&lt;=SpcLimit,SUMPRODUCT((H331&gt;SLo)*(H331-SLo)*SD),SUMPRODUCT((H331&gt;GLo)*(H331-GLo)*GD))</f>
        <v>0.0612356949345082</v>
      </c>
      <c r="J331" s="44" t="n">
        <f aca="false">H331*CityRate</f>
        <v>0.0236374932270779</v>
      </c>
      <c r="K331" s="44" t="n">
        <f aca="false">I331*EduProp</f>
        <v>0.0122471389869016</v>
      </c>
      <c r="L331" s="24" t="n">
        <f aca="false">MAX(0,(G331-JongDeduct)*FairJong)</f>
        <v>9.68392373362704</v>
      </c>
      <c r="M331" s="44" t="n">
        <f aca="false">SUMPRODUCT((L331&gt;JLo)*(L331-JLo)*JD)</f>
        <v>0.0728392373362704</v>
      </c>
      <c r="N331" s="44" t="n">
        <f aca="false">M331*NongJong</f>
        <v>0.0145678474672541</v>
      </c>
      <c r="O331" s="45" t="n">
        <f aca="false">I331+J331+K331+M331+N331</f>
        <v>0.184527411952012</v>
      </c>
    </row>
    <row r="332" customFormat="false" ht="15" hidden="false" customHeight="false" outlineLevel="0" collapsed="false">
      <c r="A332" s="20" t="n">
        <v>11</v>
      </c>
      <c r="B332" s="43" t="str">
        <f aca="false">INDEX(C_Name,A332)</f>
        <v>흑석 아크로리버하임 84.75㎡</v>
      </c>
      <c r="C332" s="20" t="n">
        <v>3</v>
      </c>
      <c r="D332" s="10" t="n">
        <f aca="false">CHOOSE(C332,GrowLo,GrowMid,GrowHi)</f>
        <v>0.06</v>
      </c>
      <c r="E332" s="20" t="n">
        <v>8</v>
      </c>
      <c r="F332" s="24" t="n">
        <f aca="false">INDEX(C_Price,A332)*(1+D332)^(E332-1)</f>
        <v>43.2293699460016</v>
      </c>
      <c r="G332" s="24" t="n">
        <f aca="false">F332*Gongsi</f>
        <v>29.8282652627411</v>
      </c>
      <c r="H332" s="24" t="n">
        <f aca="false">G332*FairProp</f>
        <v>17.8969591576447</v>
      </c>
      <c r="I332" s="44" t="n">
        <f aca="false">IF(G332&lt;=SpcLimit,SUMPRODUCT((H332&gt;SLo)*(H332-SLo)*SD),SUMPRODUCT((H332&gt;GLo)*(H332-GLo)*GD))</f>
        <v>0.0652878366305787</v>
      </c>
      <c r="J332" s="44" t="n">
        <f aca="false">H332*CityRate</f>
        <v>0.0250557428207025</v>
      </c>
      <c r="K332" s="44" t="n">
        <f aca="false">I332*EduProp</f>
        <v>0.0130575673261157</v>
      </c>
      <c r="L332" s="24" t="n">
        <f aca="false">MAX(0,(G332-JongDeduct)*FairJong)</f>
        <v>10.6969591576447</v>
      </c>
      <c r="M332" s="44" t="n">
        <f aca="false">SUMPRODUCT((L332&gt;JLo)*(L332-JLo)*JD)</f>
        <v>0.0829695915764467</v>
      </c>
      <c r="N332" s="44" t="n">
        <f aca="false">M332*NongJong</f>
        <v>0.0165939183152893</v>
      </c>
      <c r="O332" s="45" t="n">
        <f aca="false">I332+J332+K332+M332+N332</f>
        <v>0.202964656669133</v>
      </c>
    </row>
    <row r="333" customFormat="false" ht="15" hidden="false" customHeight="false" outlineLevel="0" collapsed="false">
      <c r="A333" s="20" t="n">
        <v>11</v>
      </c>
      <c r="B333" s="43" t="str">
        <f aca="false">INDEX(C_Name,A333)</f>
        <v>흑석 아크로리버하임 84.75㎡</v>
      </c>
      <c r="C333" s="20" t="n">
        <v>3</v>
      </c>
      <c r="D333" s="10" t="n">
        <f aca="false">CHOOSE(C333,GrowLo,GrowMid,GrowHi)</f>
        <v>0.06</v>
      </c>
      <c r="E333" s="20" t="n">
        <v>9</v>
      </c>
      <c r="F333" s="24" t="n">
        <f aca="false">INDEX(C_Price,A333)*(1+D333)^(E333-1)</f>
        <v>45.8231321427617</v>
      </c>
      <c r="G333" s="24" t="n">
        <f aca="false">F333*Gongsi</f>
        <v>31.6179611785056</v>
      </c>
      <c r="H333" s="24" t="n">
        <f aca="false">G333*FairProp</f>
        <v>18.9707767071033</v>
      </c>
      <c r="I333" s="44" t="n">
        <f aca="false">IF(G333&lt;=SpcLimit,SUMPRODUCT((H333&gt;SLo)*(H333-SLo)*SD),SUMPRODUCT((H333&gt;GLo)*(H333-GLo)*GD))</f>
        <v>0.0695831068284134</v>
      </c>
      <c r="J333" s="44" t="n">
        <f aca="false">H333*CityRate</f>
        <v>0.0265590873899447</v>
      </c>
      <c r="K333" s="44" t="n">
        <f aca="false">I333*EduProp</f>
        <v>0.0139166213656827</v>
      </c>
      <c r="L333" s="24" t="n">
        <f aca="false">MAX(0,(G333-JongDeduct)*FairJong)</f>
        <v>11.7707767071033</v>
      </c>
      <c r="M333" s="44" t="n">
        <f aca="false">SUMPRODUCT((L333&gt;JLo)*(L333-JLo)*JD)</f>
        <v>0.0937077670710335</v>
      </c>
      <c r="N333" s="44" t="n">
        <f aca="false">M333*NongJong</f>
        <v>0.0187415534142067</v>
      </c>
      <c r="O333" s="45" t="n">
        <f aca="false">I333+J333+K333+M333+N333</f>
        <v>0.222508136069281</v>
      </c>
    </row>
    <row r="334" customFormat="false" ht="15" hidden="false" customHeight="false" outlineLevel="0" collapsed="false">
      <c r="A334" s="20" t="n">
        <v>11</v>
      </c>
      <c r="B334" s="43" t="str">
        <f aca="false">INDEX(C_Name,A334)</f>
        <v>흑석 아크로리버하임 84.75㎡</v>
      </c>
      <c r="C334" s="20" t="n">
        <v>3</v>
      </c>
      <c r="D334" s="10" t="n">
        <f aca="false">CHOOSE(C334,GrowLo,GrowMid,GrowHi)</f>
        <v>0.06</v>
      </c>
      <c r="E334" s="20" t="n">
        <v>10</v>
      </c>
      <c r="F334" s="24" t="n">
        <f aca="false">INDEX(C_Price,A334)*(1+D334)^(E334-1)</f>
        <v>48.5725200713274</v>
      </c>
      <c r="G334" s="24" t="n">
        <f aca="false">F334*Gongsi</f>
        <v>33.5150388492159</v>
      </c>
      <c r="H334" s="24" t="n">
        <f aca="false">G334*FairProp</f>
        <v>20.1090233095295</v>
      </c>
      <c r="I334" s="44" t="n">
        <f aca="false">IF(G334&lt;=SpcLimit,SUMPRODUCT((H334&gt;SLo)*(H334-SLo)*SD),SUMPRODUCT((H334&gt;GLo)*(H334-GLo)*GD))</f>
        <v>0.0741360932381182</v>
      </c>
      <c r="J334" s="44" t="n">
        <f aca="false">H334*CityRate</f>
        <v>0.0281526326333414</v>
      </c>
      <c r="K334" s="44" t="n">
        <f aca="false">I334*EduProp</f>
        <v>0.0148272186476236</v>
      </c>
      <c r="L334" s="24" t="n">
        <f aca="false">MAX(0,(G334-JongDeduct)*FairJong)</f>
        <v>12.9090233095295</v>
      </c>
      <c r="M334" s="44" t="n">
        <f aca="false">SUMPRODUCT((L334&gt;JLo)*(L334-JLo)*JD)</f>
        <v>0.107817303023884</v>
      </c>
      <c r="N334" s="44" t="n">
        <f aca="false">M334*NongJong</f>
        <v>0.0215634606047768</v>
      </c>
      <c r="O334" s="45" t="n">
        <f aca="false">I334+J334+K334+M334+N334</f>
        <v>0.246496708147744</v>
      </c>
    </row>
    <row r="335" customFormat="false" ht="15" hidden="false" customHeight="false" outlineLevel="0" collapsed="false">
      <c r="A335" s="20" t="n">
        <v>12</v>
      </c>
      <c r="B335" s="43" t="str">
        <f aca="false">INDEX(C_Name,A335)</f>
        <v>예시 행: 직접 입력 (비교 시트 제외)</v>
      </c>
      <c r="C335" s="20" t="n">
        <v>1</v>
      </c>
      <c r="D335" s="10" t="n">
        <f aca="false">CHOOSE(C335,GrowLo,GrowMid,GrowHi)</f>
        <v>0.02</v>
      </c>
      <c r="E335" s="20" t="n">
        <v>1</v>
      </c>
      <c r="F335" s="24" t="n">
        <f aca="false">INDEX(C_Price,A335)*(1+D335)^(E335-1)</f>
        <v>14</v>
      </c>
      <c r="G335" s="24" t="n">
        <f aca="false">F335*Gongsi</f>
        <v>9.66</v>
      </c>
      <c r="H335" s="24" t="n">
        <f aca="false">G335*FairProp</f>
        <v>5.796</v>
      </c>
      <c r="I335" s="44" t="n">
        <f aca="false">IF(G335&lt;=SpcLimit,SUMPRODUCT((H335&gt;SLo)*(H335-SLo)*SD),SUMPRODUCT((H335&gt;GLo)*(H335-GLo)*GD))</f>
        <v>0.016884</v>
      </c>
      <c r="J335" s="44" t="n">
        <f aca="false">H335*CityRate</f>
        <v>0.0081144</v>
      </c>
      <c r="K335" s="44" t="n">
        <f aca="false">I335*EduProp</f>
        <v>0.0033768</v>
      </c>
      <c r="L335" s="24" t="n">
        <f aca="false">MAX(0,(G335-JongDeduct)*FairJong)</f>
        <v>0</v>
      </c>
      <c r="M335" s="44" t="n">
        <f aca="false">SUMPRODUCT((L335&gt;JLo)*(L335-JLo)*JD)</f>
        <v>0</v>
      </c>
      <c r="N335" s="44" t="n">
        <f aca="false">M335*NongJong</f>
        <v>0</v>
      </c>
      <c r="O335" s="45" t="n">
        <f aca="false">I335+J335+K335+M335+N335</f>
        <v>0.0283752</v>
      </c>
    </row>
    <row r="336" customFormat="false" ht="15" hidden="false" customHeight="false" outlineLevel="0" collapsed="false">
      <c r="A336" s="20" t="n">
        <v>12</v>
      </c>
      <c r="B336" s="43" t="str">
        <f aca="false">INDEX(C_Name,A336)</f>
        <v>예시 행: 직접 입력 (비교 시트 제외)</v>
      </c>
      <c r="C336" s="20" t="n">
        <v>1</v>
      </c>
      <c r="D336" s="10" t="n">
        <f aca="false">CHOOSE(C336,GrowLo,GrowMid,GrowHi)</f>
        <v>0.02</v>
      </c>
      <c r="E336" s="20" t="n">
        <v>2</v>
      </c>
      <c r="F336" s="24" t="n">
        <f aca="false">INDEX(C_Price,A336)*(1+D336)^(E336-1)</f>
        <v>14.28</v>
      </c>
      <c r="G336" s="24" t="n">
        <f aca="false">F336*Gongsi</f>
        <v>9.8532</v>
      </c>
      <c r="H336" s="24" t="n">
        <f aca="false">G336*FairProp</f>
        <v>5.91192</v>
      </c>
      <c r="I336" s="44" t="n">
        <f aca="false">IF(G336&lt;=SpcLimit,SUMPRODUCT((H336&gt;SLo)*(H336-SLo)*SD),SUMPRODUCT((H336&gt;GLo)*(H336-GLo)*GD))</f>
        <v>0.01734768</v>
      </c>
      <c r="J336" s="44" t="n">
        <f aca="false">H336*CityRate</f>
        <v>0.008276688</v>
      </c>
      <c r="K336" s="44" t="n">
        <f aca="false">I336*EduProp</f>
        <v>0.003469536</v>
      </c>
      <c r="L336" s="24" t="n">
        <f aca="false">MAX(0,(G336-JongDeduct)*FairJong)</f>
        <v>0</v>
      </c>
      <c r="M336" s="44" t="n">
        <f aca="false">SUMPRODUCT((L336&gt;JLo)*(L336-JLo)*JD)</f>
        <v>0</v>
      </c>
      <c r="N336" s="44" t="n">
        <f aca="false">M336*NongJong</f>
        <v>0</v>
      </c>
      <c r="O336" s="45" t="n">
        <f aca="false">I336+J336+K336+M336+N336</f>
        <v>0.029093904</v>
      </c>
    </row>
    <row r="337" customFormat="false" ht="15" hidden="false" customHeight="false" outlineLevel="0" collapsed="false">
      <c r="A337" s="20" t="n">
        <v>12</v>
      </c>
      <c r="B337" s="43" t="str">
        <f aca="false">INDEX(C_Name,A337)</f>
        <v>예시 행: 직접 입력 (비교 시트 제외)</v>
      </c>
      <c r="C337" s="20" t="n">
        <v>1</v>
      </c>
      <c r="D337" s="10" t="n">
        <f aca="false">CHOOSE(C337,GrowLo,GrowMid,GrowHi)</f>
        <v>0.02</v>
      </c>
      <c r="E337" s="20" t="n">
        <v>3</v>
      </c>
      <c r="F337" s="24" t="n">
        <f aca="false">INDEX(C_Price,A337)*(1+D337)^(E337-1)</f>
        <v>14.5656</v>
      </c>
      <c r="G337" s="24" t="n">
        <f aca="false">F337*Gongsi</f>
        <v>10.050264</v>
      </c>
      <c r="H337" s="24" t="n">
        <f aca="false">G337*FairProp</f>
        <v>6.0301584</v>
      </c>
      <c r="I337" s="44" t="n">
        <f aca="false">IF(G337&lt;=SpcLimit,SUMPRODUCT((H337&gt;SLo)*(H337-SLo)*SD),SUMPRODUCT((H337&gt;GLo)*(H337-GLo)*GD))</f>
        <v>0.0178206336</v>
      </c>
      <c r="J337" s="44" t="n">
        <f aca="false">H337*CityRate</f>
        <v>0.00844222176</v>
      </c>
      <c r="K337" s="44" t="n">
        <f aca="false">I337*EduProp</f>
        <v>0.00356412672</v>
      </c>
      <c r="L337" s="24" t="n">
        <f aca="false">MAX(0,(G337-JongDeduct)*FairJong)</f>
        <v>0</v>
      </c>
      <c r="M337" s="44" t="n">
        <f aca="false">SUMPRODUCT((L337&gt;JLo)*(L337-JLo)*JD)</f>
        <v>0</v>
      </c>
      <c r="N337" s="44" t="n">
        <f aca="false">M337*NongJong</f>
        <v>0</v>
      </c>
      <c r="O337" s="45" t="n">
        <f aca="false">I337+J337+K337+M337+N337</f>
        <v>0.02982698208</v>
      </c>
    </row>
    <row r="338" customFormat="false" ht="15" hidden="false" customHeight="false" outlineLevel="0" collapsed="false">
      <c r="A338" s="20" t="n">
        <v>12</v>
      </c>
      <c r="B338" s="43" t="str">
        <f aca="false">INDEX(C_Name,A338)</f>
        <v>예시 행: 직접 입력 (비교 시트 제외)</v>
      </c>
      <c r="C338" s="20" t="n">
        <v>1</v>
      </c>
      <c r="D338" s="10" t="n">
        <f aca="false">CHOOSE(C338,GrowLo,GrowMid,GrowHi)</f>
        <v>0.02</v>
      </c>
      <c r="E338" s="20" t="n">
        <v>4</v>
      </c>
      <c r="F338" s="24" t="n">
        <f aca="false">INDEX(C_Price,A338)*(1+D338)^(E338-1)</f>
        <v>14.856912</v>
      </c>
      <c r="G338" s="24" t="n">
        <f aca="false">F338*Gongsi</f>
        <v>10.25126928</v>
      </c>
      <c r="H338" s="24" t="n">
        <f aca="false">G338*FairProp</f>
        <v>6.150761568</v>
      </c>
      <c r="I338" s="44" t="n">
        <f aca="false">IF(G338&lt;=SpcLimit,SUMPRODUCT((H338&gt;SLo)*(H338-SLo)*SD),SUMPRODUCT((H338&gt;GLo)*(H338-GLo)*GD))</f>
        <v>0.018303046272</v>
      </c>
      <c r="J338" s="44" t="n">
        <f aca="false">H338*CityRate</f>
        <v>0.0086110661952</v>
      </c>
      <c r="K338" s="44" t="n">
        <f aca="false">I338*EduProp</f>
        <v>0.0036606092544</v>
      </c>
      <c r="L338" s="24" t="n">
        <f aca="false">MAX(0,(G338-JongDeduct)*FairJong)</f>
        <v>0</v>
      </c>
      <c r="M338" s="44" t="n">
        <f aca="false">SUMPRODUCT((L338&gt;JLo)*(L338-JLo)*JD)</f>
        <v>0</v>
      </c>
      <c r="N338" s="44" t="n">
        <f aca="false">M338*NongJong</f>
        <v>0</v>
      </c>
      <c r="O338" s="45" t="n">
        <f aca="false">I338+J338+K338+M338+N338</f>
        <v>0.0305747217216</v>
      </c>
    </row>
    <row r="339" customFormat="false" ht="15" hidden="false" customHeight="false" outlineLevel="0" collapsed="false">
      <c r="A339" s="20" t="n">
        <v>12</v>
      </c>
      <c r="B339" s="43" t="str">
        <f aca="false">INDEX(C_Name,A339)</f>
        <v>예시 행: 직접 입력 (비교 시트 제외)</v>
      </c>
      <c r="C339" s="20" t="n">
        <v>1</v>
      </c>
      <c r="D339" s="10" t="n">
        <f aca="false">CHOOSE(C339,GrowLo,GrowMid,GrowHi)</f>
        <v>0.02</v>
      </c>
      <c r="E339" s="20" t="n">
        <v>5</v>
      </c>
      <c r="F339" s="24" t="n">
        <f aca="false">INDEX(C_Price,A339)*(1+D339)^(E339-1)</f>
        <v>15.15405024</v>
      </c>
      <c r="G339" s="24" t="n">
        <f aca="false">F339*Gongsi</f>
        <v>10.4562946656</v>
      </c>
      <c r="H339" s="24" t="n">
        <f aca="false">G339*FairProp</f>
        <v>6.27377679936</v>
      </c>
      <c r="I339" s="44" t="n">
        <f aca="false">IF(G339&lt;=SpcLimit,SUMPRODUCT((H339&gt;SLo)*(H339-SLo)*SD),SUMPRODUCT((H339&gt;GLo)*(H339-GLo)*GD))</f>
        <v>0.01879510719744</v>
      </c>
      <c r="J339" s="44" t="n">
        <f aca="false">H339*CityRate</f>
        <v>0.008783287519104</v>
      </c>
      <c r="K339" s="44" t="n">
        <f aca="false">I339*EduProp</f>
        <v>0.003759021439488</v>
      </c>
      <c r="L339" s="24" t="n">
        <f aca="false">MAX(0,(G339-JongDeduct)*FairJong)</f>
        <v>0</v>
      </c>
      <c r="M339" s="44" t="n">
        <f aca="false">SUMPRODUCT((L339&gt;JLo)*(L339-JLo)*JD)</f>
        <v>0</v>
      </c>
      <c r="N339" s="44" t="n">
        <f aca="false">M339*NongJong</f>
        <v>0</v>
      </c>
      <c r="O339" s="45" t="n">
        <f aca="false">I339+J339+K339+M339+N339</f>
        <v>0.031337416156032</v>
      </c>
    </row>
    <row r="340" customFormat="false" ht="15" hidden="false" customHeight="false" outlineLevel="0" collapsed="false">
      <c r="A340" s="20" t="n">
        <v>12</v>
      </c>
      <c r="B340" s="43" t="str">
        <f aca="false">INDEX(C_Name,A340)</f>
        <v>예시 행: 직접 입력 (비교 시트 제외)</v>
      </c>
      <c r="C340" s="20" t="n">
        <v>1</v>
      </c>
      <c r="D340" s="10" t="n">
        <f aca="false">CHOOSE(C340,GrowLo,GrowMid,GrowHi)</f>
        <v>0.02</v>
      </c>
      <c r="E340" s="20" t="n">
        <v>6</v>
      </c>
      <c r="F340" s="24" t="n">
        <f aca="false">INDEX(C_Price,A340)*(1+D340)^(E340-1)</f>
        <v>15.4571312448</v>
      </c>
      <c r="G340" s="24" t="n">
        <f aca="false">F340*Gongsi</f>
        <v>10.665420558912</v>
      </c>
      <c r="H340" s="24" t="n">
        <f aca="false">G340*FairProp</f>
        <v>6.3992523353472</v>
      </c>
      <c r="I340" s="44" t="n">
        <f aca="false">IF(G340&lt;=SpcLimit,SUMPRODUCT((H340&gt;SLo)*(H340-SLo)*SD),SUMPRODUCT((H340&gt;GLo)*(H340-GLo)*GD))</f>
        <v>0.0192970093413888</v>
      </c>
      <c r="J340" s="44" t="n">
        <f aca="false">H340*CityRate</f>
        <v>0.00895895326948608</v>
      </c>
      <c r="K340" s="44" t="n">
        <f aca="false">I340*EduProp</f>
        <v>0.00385940186827776</v>
      </c>
      <c r="L340" s="24" t="n">
        <f aca="false">MAX(0,(G340-JongDeduct)*FairJong)</f>
        <v>0</v>
      </c>
      <c r="M340" s="44" t="n">
        <f aca="false">SUMPRODUCT((L340&gt;JLo)*(L340-JLo)*JD)</f>
        <v>0</v>
      </c>
      <c r="N340" s="44" t="n">
        <f aca="false">M340*NongJong</f>
        <v>0</v>
      </c>
      <c r="O340" s="45" t="n">
        <f aca="false">I340+J340+K340+M340+N340</f>
        <v>0.0321153644791526</v>
      </c>
    </row>
    <row r="341" customFormat="false" ht="15" hidden="false" customHeight="false" outlineLevel="0" collapsed="false">
      <c r="A341" s="20" t="n">
        <v>12</v>
      </c>
      <c r="B341" s="43" t="str">
        <f aca="false">INDEX(C_Name,A341)</f>
        <v>예시 행: 직접 입력 (비교 시트 제외)</v>
      </c>
      <c r="C341" s="20" t="n">
        <v>1</v>
      </c>
      <c r="D341" s="10" t="n">
        <f aca="false">CHOOSE(C341,GrowLo,GrowMid,GrowHi)</f>
        <v>0.02</v>
      </c>
      <c r="E341" s="20" t="n">
        <v>7</v>
      </c>
      <c r="F341" s="24" t="n">
        <f aca="false">INDEX(C_Price,A341)*(1+D341)^(E341-1)</f>
        <v>15.766273869696</v>
      </c>
      <c r="G341" s="24" t="n">
        <f aca="false">F341*Gongsi</f>
        <v>10.8787289700902</v>
      </c>
      <c r="H341" s="24" t="n">
        <f aca="false">G341*FairProp</f>
        <v>6.52723738205414</v>
      </c>
      <c r="I341" s="44" t="n">
        <f aca="false">IF(G341&lt;=SpcLimit,SUMPRODUCT((H341&gt;SLo)*(H341-SLo)*SD),SUMPRODUCT((H341&gt;GLo)*(H341-GLo)*GD))</f>
        <v>0.0198089495282166</v>
      </c>
      <c r="J341" s="44" t="n">
        <f aca="false">H341*CityRate</f>
        <v>0.0091381323348758</v>
      </c>
      <c r="K341" s="44" t="n">
        <f aca="false">I341*EduProp</f>
        <v>0.00396178990564332</v>
      </c>
      <c r="L341" s="24" t="n">
        <f aca="false">MAX(0,(G341-JongDeduct)*FairJong)</f>
        <v>0</v>
      </c>
      <c r="M341" s="44" t="n">
        <f aca="false">SUMPRODUCT((L341&gt;JLo)*(L341-JLo)*JD)</f>
        <v>0</v>
      </c>
      <c r="N341" s="44" t="n">
        <f aca="false">M341*NongJong</f>
        <v>0</v>
      </c>
      <c r="O341" s="45" t="n">
        <f aca="false">I341+J341+K341+M341+N341</f>
        <v>0.0329088717687357</v>
      </c>
    </row>
    <row r="342" customFormat="false" ht="15" hidden="false" customHeight="false" outlineLevel="0" collapsed="false">
      <c r="A342" s="20" t="n">
        <v>12</v>
      </c>
      <c r="B342" s="43" t="str">
        <f aca="false">INDEX(C_Name,A342)</f>
        <v>예시 행: 직접 입력 (비교 시트 제외)</v>
      </c>
      <c r="C342" s="20" t="n">
        <v>1</v>
      </c>
      <c r="D342" s="10" t="n">
        <f aca="false">CHOOSE(C342,GrowLo,GrowMid,GrowHi)</f>
        <v>0.02</v>
      </c>
      <c r="E342" s="20" t="n">
        <v>8</v>
      </c>
      <c r="F342" s="24" t="n">
        <f aca="false">INDEX(C_Price,A342)*(1+D342)^(E342-1)</f>
        <v>16.0815993470899</v>
      </c>
      <c r="G342" s="24" t="n">
        <f aca="false">F342*Gongsi</f>
        <v>11.096303549492</v>
      </c>
      <c r="H342" s="24" t="n">
        <f aca="false">G342*FairProp</f>
        <v>6.65778212969523</v>
      </c>
      <c r="I342" s="44" t="n">
        <f aca="false">IF(G342&lt;=SpcLimit,SUMPRODUCT((H342&gt;SLo)*(H342-SLo)*SD),SUMPRODUCT((H342&gt;GLo)*(H342-GLo)*GD))</f>
        <v>0.0203311285187809</v>
      </c>
      <c r="J342" s="44" t="n">
        <f aca="false">H342*CityRate</f>
        <v>0.00932089498157332</v>
      </c>
      <c r="K342" s="44" t="n">
        <f aca="false">I342*EduProp</f>
        <v>0.00406622570375618</v>
      </c>
      <c r="L342" s="24" t="n">
        <f aca="false">MAX(0,(G342-JongDeduct)*FairJong)</f>
        <v>0</v>
      </c>
      <c r="M342" s="44" t="n">
        <f aca="false">SUMPRODUCT((L342&gt;JLo)*(L342-JLo)*JD)</f>
        <v>0</v>
      </c>
      <c r="N342" s="44" t="n">
        <f aca="false">M342*NongJong</f>
        <v>0</v>
      </c>
      <c r="O342" s="45" t="n">
        <f aca="false">I342+J342+K342+M342+N342</f>
        <v>0.0337182492041104</v>
      </c>
    </row>
    <row r="343" customFormat="false" ht="15" hidden="false" customHeight="false" outlineLevel="0" collapsed="false">
      <c r="A343" s="20" t="n">
        <v>12</v>
      </c>
      <c r="B343" s="43" t="str">
        <f aca="false">INDEX(C_Name,A343)</f>
        <v>예시 행: 직접 입력 (비교 시트 제외)</v>
      </c>
      <c r="C343" s="20" t="n">
        <v>1</v>
      </c>
      <c r="D343" s="10" t="n">
        <f aca="false">CHOOSE(C343,GrowLo,GrowMid,GrowHi)</f>
        <v>0.02</v>
      </c>
      <c r="E343" s="20" t="n">
        <v>9</v>
      </c>
      <c r="F343" s="24" t="n">
        <f aca="false">INDEX(C_Price,A343)*(1+D343)^(E343-1)</f>
        <v>16.4032313340317</v>
      </c>
      <c r="G343" s="24" t="n">
        <f aca="false">F343*Gongsi</f>
        <v>11.3182296204819</v>
      </c>
      <c r="H343" s="24" t="n">
        <f aca="false">G343*FairProp</f>
        <v>6.79093777228913</v>
      </c>
      <c r="I343" s="44" t="n">
        <f aca="false">IF(G343&lt;=SpcLimit,SUMPRODUCT((H343&gt;SLo)*(H343-SLo)*SD),SUMPRODUCT((H343&gt;GLo)*(H343-GLo)*GD))</f>
        <v>0.0208637510891565</v>
      </c>
      <c r="J343" s="44" t="n">
        <f aca="false">H343*CityRate</f>
        <v>0.00950731288120478</v>
      </c>
      <c r="K343" s="44" t="n">
        <f aca="false">I343*EduProp</f>
        <v>0.0041727502178313</v>
      </c>
      <c r="L343" s="24" t="n">
        <f aca="false">MAX(0,(G343-JongDeduct)*FairJong)</f>
        <v>0</v>
      </c>
      <c r="M343" s="44" t="n">
        <f aca="false">SUMPRODUCT((L343&gt;JLo)*(L343-JLo)*JD)</f>
        <v>0</v>
      </c>
      <c r="N343" s="44" t="n">
        <f aca="false">M343*NongJong</f>
        <v>0</v>
      </c>
      <c r="O343" s="45" t="n">
        <f aca="false">I343+J343+K343+M343+N343</f>
        <v>0.0345438141881926</v>
      </c>
    </row>
    <row r="344" customFormat="false" ht="15" hidden="false" customHeight="false" outlineLevel="0" collapsed="false">
      <c r="A344" s="20" t="n">
        <v>12</v>
      </c>
      <c r="B344" s="43" t="str">
        <f aca="false">INDEX(C_Name,A344)</f>
        <v>예시 행: 직접 입력 (비교 시트 제외)</v>
      </c>
      <c r="C344" s="20" t="n">
        <v>1</v>
      </c>
      <c r="D344" s="10" t="n">
        <f aca="false">CHOOSE(C344,GrowLo,GrowMid,GrowHi)</f>
        <v>0.02</v>
      </c>
      <c r="E344" s="20" t="n">
        <v>10</v>
      </c>
      <c r="F344" s="24" t="n">
        <f aca="false">INDEX(C_Price,A344)*(1+D344)^(E344-1)</f>
        <v>16.7312959607124</v>
      </c>
      <c r="G344" s="24" t="n">
        <f aca="false">F344*Gongsi</f>
        <v>11.5445942128915</v>
      </c>
      <c r="H344" s="24" t="n">
        <f aca="false">G344*FairProp</f>
        <v>6.92675652773492</v>
      </c>
      <c r="I344" s="44" t="n">
        <f aca="false">IF(G344&lt;=SpcLimit,SUMPRODUCT((H344&gt;SLo)*(H344-SLo)*SD),SUMPRODUCT((H344&gt;GLo)*(H344-GLo)*GD))</f>
        <v>0.0214070261109397</v>
      </c>
      <c r="J344" s="44" t="n">
        <f aca="false">H344*CityRate</f>
        <v>0.00969745913882888</v>
      </c>
      <c r="K344" s="44" t="n">
        <f aca="false">I344*EduProp</f>
        <v>0.00428140522218793</v>
      </c>
      <c r="L344" s="24" t="n">
        <f aca="false">MAX(0,(G344-JongDeduct)*FairJong)</f>
        <v>0</v>
      </c>
      <c r="M344" s="44" t="n">
        <f aca="false">SUMPRODUCT((L344&gt;JLo)*(L344-JLo)*JD)</f>
        <v>0</v>
      </c>
      <c r="N344" s="44" t="n">
        <f aca="false">M344*NongJong</f>
        <v>0</v>
      </c>
      <c r="O344" s="45" t="n">
        <f aca="false">I344+J344+K344+M344+N344</f>
        <v>0.0353858904719565</v>
      </c>
    </row>
    <row r="345" customFormat="false" ht="15" hidden="false" customHeight="false" outlineLevel="0" collapsed="false">
      <c r="A345" s="20" t="n">
        <v>12</v>
      </c>
      <c r="B345" s="43" t="str">
        <f aca="false">INDEX(C_Name,A345)</f>
        <v>예시 행: 직접 입력 (비교 시트 제외)</v>
      </c>
      <c r="C345" s="20" t="n">
        <v>2</v>
      </c>
      <c r="D345" s="10" t="n">
        <f aca="false">CHOOSE(C345,GrowLo,GrowMid,GrowHi)</f>
        <v>0.04</v>
      </c>
      <c r="E345" s="20" t="n">
        <v>1</v>
      </c>
      <c r="F345" s="24" t="n">
        <f aca="false">INDEX(C_Price,A345)*(1+D345)^(E345-1)</f>
        <v>14</v>
      </c>
      <c r="G345" s="24" t="n">
        <f aca="false">F345*Gongsi</f>
        <v>9.66</v>
      </c>
      <c r="H345" s="24" t="n">
        <f aca="false">G345*FairProp</f>
        <v>5.796</v>
      </c>
      <c r="I345" s="44" t="n">
        <f aca="false">IF(G345&lt;=SpcLimit,SUMPRODUCT((H345&gt;SLo)*(H345-SLo)*SD),SUMPRODUCT((H345&gt;GLo)*(H345-GLo)*GD))</f>
        <v>0.016884</v>
      </c>
      <c r="J345" s="44" t="n">
        <f aca="false">H345*CityRate</f>
        <v>0.0081144</v>
      </c>
      <c r="K345" s="44" t="n">
        <f aca="false">I345*EduProp</f>
        <v>0.0033768</v>
      </c>
      <c r="L345" s="24" t="n">
        <f aca="false">MAX(0,(G345-JongDeduct)*FairJong)</f>
        <v>0</v>
      </c>
      <c r="M345" s="44" t="n">
        <f aca="false">SUMPRODUCT((L345&gt;JLo)*(L345-JLo)*JD)</f>
        <v>0</v>
      </c>
      <c r="N345" s="44" t="n">
        <f aca="false">M345*NongJong</f>
        <v>0</v>
      </c>
      <c r="O345" s="45" t="n">
        <f aca="false">I345+J345+K345+M345+N345</f>
        <v>0.0283752</v>
      </c>
    </row>
    <row r="346" customFormat="false" ht="15" hidden="false" customHeight="false" outlineLevel="0" collapsed="false">
      <c r="A346" s="20" t="n">
        <v>12</v>
      </c>
      <c r="B346" s="43" t="str">
        <f aca="false">INDEX(C_Name,A346)</f>
        <v>예시 행: 직접 입력 (비교 시트 제외)</v>
      </c>
      <c r="C346" s="20" t="n">
        <v>2</v>
      </c>
      <c r="D346" s="10" t="n">
        <f aca="false">CHOOSE(C346,GrowLo,GrowMid,GrowHi)</f>
        <v>0.04</v>
      </c>
      <c r="E346" s="20" t="n">
        <v>2</v>
      </c>
      <c r="F346" s="24" t="n">
        <f aca="false">INDEX(C_Price,A346)*(1+D346)^(E346-1)</f>
        <v>14.56</v>
      </c>
      <c r="G346" s="24" t="n">
        <f aca="false">F346*Gongsi</f>
        <v>10.0464</v>
      </c>
      <c r="H346" s="24" t="n">
        <f aca="false">G346*FairProp</f>
        <v>6.02784</v>
      </c>
      <c r="I346" s="44" t="n">
        <f aca="false">IF(G346&lt;=SpcLimit,SUMPRODUCT((H346&gt;SLo)*(H346-SLo)*SD),SUMPRODUCT((H346&gt;GLo)*(H346-GLo)*GD))</f>
        <v>0.01781136</v>
      </c>
      <c r="J346" s="44" t="n">
        <f aca="false">H346*CityRate</f>
        <v>0.008438976</v>
      </c>
      <c r="K346" s="44" t="n">
        <f aca="false">I346*EduProp</f>
        <v>0.003562272</v>
      </c>
      <c r="L346" s="24" t="n">
        <f aca="false">MAX(0,(G346-JongDeduct)*FairJong)</f>
        <v>0</v>
      </c>
      <c r="M346" s="44" t="n">
        <f aca="false">SUMPRODUCT((L346&gt;JLo)*(L346-JLo)*JD)</f>
        <v>0</v>
      </c>
      <c r="N346" s="44" t="n">
        <f aca="false">M346*NongJong</f>
        <v>0</v>
      </c>
      <c r="O346" s="45" t="n">
        <f aca="false">I346+J346+K346+M346+N346</f>
        <v>0.029812608</v>
      </c>
    </row>
    <row r="347" customFormat="false" ht="15" hidden="false" customHeight="false" outlineLevel="0" collapsed="false">
      <c r="A347" s="20" t="n">
        <v>12</v>
      </c>
      <c r="B347" s="43" t="str">
        <f aca="false">INDEX(C_Name,A347)</f>
        <v>예시 행: 직접 입력 (비교 시트 제외)</v>
      </c>
      <c r="C347" s="20" t="n">
        <v>2</v>
      </c>
      <c r="D347" s="10" t="n">
        <f aca="false">CHOOSE(C347,GrowLo,GrowMid,GrowHi)</f>
        <v>0.04</v>
      </c>
      <c r="E347" s="20" t="n">
        <v>3</v>
      </c>
      <c r="F347" s="24" t="n">
        <f aca="false">INDEX(C_Price,A347)*(1+D347)^(E347-1)</f>
        <v>15.1424</v>
      </c>
      <c r="G347" s="24" t="n">
        <f aca="false">F347*Gongsi</f>
        <v>10.448256</v>
      </c>
      <c r="H347" s="24" t="n">
        <f aca="false">G347*FairProp</f>
        <v>6.2689536</v>
      </c>
      <c r="I347" s="44" t="n">
        <f aca="false">IF(G347&lt;=SpcLimit,SUMPRODUCT((H347&gt;SLo)*(H347-SLo)*SD),SUMPRODUCT((H347&gt;GLo)*(H347-GLo)*GD))</f>
        <v>0.0187758144</v>
      </c>
      <c r="J347" s="44" t="n">
        <f aca="false">H347*CityRate</f>
        <v>0.00877653504</v>
      </c>
      <c r="K347" s="44" t="n">
        <f aca="false">I347*EduProp</f>
        <v>0.00375516288</v>
      </c>
      <c r="L347" s="24" t="n">
        <f aca="false">MAX(0,(G347-JongDeduct)*FairJong)</f>
        <v>0</v>
      </c>
      <c r="M347" s="44" t="n">
        <f aca="false">SUMPRODUCT((L347&gt;JLo)*(L347-JLo)*JD)</f>
        <v>0</v>
      </c>
      <c r="N347" s="44" t="n">
        <f aca="false">M347*NongJong</f>
        <v>0</v>
      </c>
      <c r="O347" s="45" t="n">
        <f aca="false">I347+J347+K347+M347+N347</f>
        <v>0.03130751232</v>
      </c>
    </row>
    <row r="348" customFormat="false" ht="15" hidden="false" customHeight="false" outlineLevel="0" collapsed="false">
      <c r="A348" s="20" t="n">
        <v>12</v>
      </c>
      <c r="B348" s="43" t="str">
        <f aca="false">INDEX(C_Name,A348)</f>
        <v>예시 행: 직접 입력 (비교 시트 제외)</v>
      </c>
      <c r="C348" s="20" t="n">
        <v>2</v>
      </c>
      <c r="D348" s="10" t="n">
        <f aca="false">CHOOSE(C348,GrowLo,GrowMid,GrowHi)</f>
        <v>0.04</v>
      </c>
      <c r="E348" s="20" t="n">
        <v>4</v>
      </c>
      <c r="F348" s="24" t="n">
        <f aca="false">INDEX(C_Price,A348)*(1+D348)^(E348-1)</f>
        <v>15.748096</v>
      </c>
      <c r="G348" s="24" t="n">
        <f aca="false">F348*Gongsi</f>
        <v>10.86618624</v>
      </c>
      <c r="H348" s="24" t="n">
        <f aca="false">G348*FairProp</f>
        <v>6.519711744</v>
      </c>
      <c r="I348" s="44" t="n">
        <f aca="false">IF(G348&lt;=SpcLimit,SUMPRODUCT((H348&gt;SLo)*(H348-SLo)*SD),SUMPRODUCT((H348&gt;GLo)*(H348-GLo)*GD))</f>
        <v>0.019778846976</v>
      </c>
      <c r="J348" s="44" t="n">
        <f aca="false">H348*CityRate</f>
        <v>0.0091275964416</v>
      </c>
      <c r="K348" s="44" t="n">
        <f aca="false">I348*EduProp</f>
        <v>0.0039557693952</v>
      </c>
      <c r="L348" s="24" t="n">
        <f aca="false">MAX(0,(G348-JongDeduct)*FairJong)</f>
        <v>0</v>
      </c>
      <c r="M348" s="44" t="n">
        <f aca="false">SUMPRODUCT((L348&gt;JLo)*(L348-JLo)*JD)</f>
        <v>0</v>
      </c>
      <c r="N348" s="44" t="n">
        <f aca="false">M348*NongJong</f>
        <v>0</v>
      </c>
      <c r="O348" s="45" t="n">
        <f aca="false">I348+J348+K348+M348+N348</f>
        <v>0.0328622128128</v>
      </c>
    </row>
    <row r="349" customFormat="false" ht="15" hidden="false" customHeight="false" outlineLevel="0" collapsed="false">
      <c r="A349" s="20" t="n">
        <v>12</v>
      </c>
      <c r="B349" s="43" t="str">
        <f aca="false">INDEX(C_Name,A349)</f>
        <v>예시 행: 직접 입력 (비교 시트 제외)</v>
      </c>
      <c r="C349" s="20" t="n">
        <v>2</v>
      </c>
      <c r="D349" s="10" t="n">
        <f aca="false">CHOOSE(C349,GrowLo,GrowMid,GrowHi)</f>
        <v>0.04</v>
      </c>
      <c r="E349" s="20" t="n">
        <v>5</v>
      </c>
      <c r="F349" s="24" t="n">
        <f aca="false">INDEX(C_Price,A349)*(1+D349)^(E349-1)</f>
        <v>16.37801984</v>
      </c>
      <c r="G349" s="24" t="n">
        <f aca="false">F349*Gongsi</f>
        <v>11.3008336896</v>
      </c>
      <c r="H349" s="24" t="n">
        <f aca="false">G349*FairProp</f>
        <v>6.78050021376</v>
      </c>
      <c r="I349" s="44" t="n">
        <f aca="false">IF(G349&lt;=SpcLimit,SUMPRODUCT((H349&gt;SLo)*(H349-SLo)*SD),SUMPRODUCT((H349&gt;GLo)*(H349-GLo)*GD))</f>
        <v>0.02082200085504</v>
      </c>
      <c r="J349" s="44" t="n">
        <f aca="false">H349*CityRate</f>
        <v>0.009492700299264</v>
      </c>
      <c r="K349" s="44" t="n">
        <f aca="false">I349*EduProp</f>
        <v>0.004164400171008</v>
      </c>
      <c r="L349" s="24" t="n">
        <f aca="false">MAX(0,(G349-JongDeduct)*FairJong)</f>
        <v>0</v>
      </c>
      <c r="M349" s="44" t="n">
        <f aca="false">SUMPRODUCT((L349&gt;JLo)*(L349-JLo)*JD)</f>
        <v>0</v>
      </c>
      <c r="N349" s="44" t="n">
        <f aca="false">M349*NongJong</f>
        <v>0</v>
      </c>
      <c r="O349" s="45" t="n">
        <f aca="false">I349+J349+K349+M349+N349</f>
        <v>0.034479101325312</v>
      </c>
    </row>
    <row r="350" customFormat="false" ht="15" hidden="false" customHeight="false" outlineLevel="0" collapsed="false">
      <c r="A350" s="20" t="n">
        <v>12</v>
      </c>
      <c r="B350" s="43" t="str">
        <f aca="false">INDEX(C_Name,A350)</f>
        <v>예시 행: 직접 입력 (비교 시트 제외)</v>
      </c>
      <c r="C350" s="20" t="n">
        <v>2</v>
      </c>
      <c r="D350" s="10" t="n">
        <f aca="false">CHOOSE(C350,GrowLo,GrowMid,GrowHi)</f>
        <v>0.04</v>
      </c>
      <c r="E350" s="20" t="n">
        <v>6</v>
      </c>
      <c r="F350" s="24" t="n">
        <f aca="false">INDEX(C_Price,A350)*(1+D350)^(E350-1)</f>
        <v>17.0331406336</v>
      </c>
      <c r="G350" s="24" t="n">
        <f aca="false">F350*Gongsi</f>
        <v>11.752867037184</v>
      </c>
      <c r="H350" s="24" t="n">
        <f aca="false">G350*FairProp</f>
        <v>7.0517202223104</v>
      </c>
      <c r="I350" s="44" t="n">
        <f aca="false">IF(G350&lt;=SpcLimit,SUMPRODUCT((H350&gt;SLo)*(H350-SLo)*SD),SUMPRODUCT((H350&gt;GLo)*(H350-GLo)*GD))</f>
        <v>0.0219068808892416</v>
      </c>
      <c r="J350" s="44" t="n">
        <f aca="false">H350*CityRate</f>
        <v>0.00987240831123456</v>
      </c>
      <c r="K350" s="44" t="n">
        <f aca="false">I350*EduProp</f>
        <v>0.00438137617784832</v>
      </c>
      <c r="L350" s="24" t="n">
        <f aca="false">MAX(0,(G350-JongDeduct)*FairJong)</f>
        <v>0</v>
      </c>
      <c r="M350" s="44" t="n">
        <f aca="false">SUMPRODUCT((L350&gt;JLo)*(L350-JLo)*JD)</f>
        <v>0</v>
      </c>
      <c r="N350" s="44" t="n">
        <f aca="false">M350*NongJong</f>
        <v>0</v>
      </c>
      <c r="O350" s="45" t="n">
        <f aca="false">I350+J350+K350+M350+N350</f>
        <v>0.0361606653783245</v>
      </c>
    </row>
    <row r="351" customFormat="false" ht="15" hidden="false" customHeight="false" outlineLevel="0" collapsed="false">
      <c r="A351" s="20" t="n">
        <v>12</v>
      </c>
      <c r="B351" s="43" t="str">
        <f aca="false">INDEX(C_Name,A351)</f>
        <v>예시 행: 직접 입력 (비교 시트 제외)</v>
      </c>
      <c r="C351" s="20" t="n">
        <v>2</v>
      </c>
      <c r="D351" s="10" t="n">
        <f aca="false">CHOOSE(C351,GrowLo,GrowMid,GrowHi)</f>
        <v>0.04</v>
      </c>
      <c r="E351" s="20" t="n">
        <v>7</v>
      </c>
      <c r="F351" s="24" t="n">
        <f aca="false">INDEX(C_Price,A351)*(1+D351)^(E351-1)</f>
        <v>17.714466258944</v>
      </c>
      <c r="G351" s="24" t="n">
        <f aca="false">F351*Gongsi</f>
        <v>12.2229817186714</v>
      </c>
      <c r="H351" s="24" t="n">
        <f aca="false">G351*FairProp</f>
        <v>7.33378903120282</v>
      </c>
      <c r="I351" s="44" t="n">
        <f aca="false">IF(G351&lt;=SpcLimit,SUMPRODUCT((H351&gt;SLo)*(H351-SLo)*SD),SUMPRODUCT((H351&gt;GLo)*(H351-GLo)*GD))</f>
        <v>0.0230351561248113</v>
      </c>
      <c r="J351" s="44" t="n">
        <f aca="false">H351*CityRate</f>
        <v>0.0102673046436839</v>
      </c>
      <c r="K351" s="44" t="n">
        <f aca="false">I351*EduProp</f>
        <v>0.00460703122496225</v>
      </c>
      <c r="L351" s="24" t="n">
        <f aca="false">MAX(0,(G351-JongDeduct)*FairJong)</f>
        <v>0.133789031202817</v>
      </c>
      <c r="M351" s="44" t="n">
        <f aca="false">SUMPRODUCT((L351&gt;JLo)*(L351-JLo)*JD)</f>
        <v>0.000668945156014084</v>
      </c>
      <c r="N351" s="44" t="n">
        <f aca="false">M351*NongJong</f>
        <v>0.000133789031202817</v>
      </c>
      <c r="O351" s="45" t="n">
        <f aca="false">I351+J351+K351+M351+N351</f>
        <v>0.0387122261806744</v>
      </c>
    </row>
    <row r="352" customFormat="false" ht="15" hidden="false" customHeight="false" outlineLevel="0" collapsed="false">
      <c r="A352" s="20" t="n">
        <v>12</v>
      </c>
      <c r="B352" s="43" t="str">
        <f aca="false">INDEX(C_Name,A352)</f>
        <v>예시 행: 직접 입력 (비교 시트 제외)</v>
      </c>
      <c r="C352" s="20" t="n">
        <v>2</v>
      </c>
      <c r="D352" s="10" t="n">
        <f aca="false">CHOOSE(C352,GrowLo,GrowMid,GrowHi)</f>
        <v>0.04</v>
      </c>
      <c r="E352" s="20" t="n">
        <v>8</v>
      </c>
      <c r="F352" s="24" t="n">
        <f aca="false">INDEX(C_Price,A352)*(1+D352)^(E352-1)</f>
        <v>18.4230449093018</v>
      </c>
      <c r="G352" s="24" t="n">
        <f aca="false">F352*Gongsi</f>
        <v>12.7119009874182</v>
      </c>
      <c r="H352" s="24" t="n">
        <f aca="false">G352*FairProp</f>
        <v>7.62714059245093</v>
      </c>
      <c r="I352" s="44" t="n">
        <f aca="false">IF(G352&lt;=SpcLimit,SUMPRODUCT((H352&gt;SLo)*(H352-SLo)*SD),SUMPRODUCT((H352&gt;GLo)*(H352-GLo)*GD))</f>
        <v>0.0242085623698037</v>
      </c>
      <c r="J352" s="44" t="n">
        <f aca="false">H352*CityRate</f>
        <v>0.0106779968294313</v>
      </c>
      <c r="K352" s="44" t="n">
        <f aca="false">I352*EduProp</f>
        <v>0.00484171247396074</v>
      </c>
      <c r="L352" s="24" t="n">
        <f aca="false">MAX(0,(G352-JongDeduct)*FairJong)</f>
        <v>0.42714059245093</v>
      </c>
      <c r="M352" s="44" t="n">
        <f aca="false">SUMPRODUCT((L352&gt;JLo)*(L352-JLo)*JD)</f>
        <v>0.00213570296225465</v>
      </c>
      <c r="N352" s="44" t="n">
        <f aca="false">M352*NongJong</f>
        <v>0.00042714059245093</v>
      </c>
      <c r="O352" s="45" t="n">
        <f aca="false">I352+J352+K352+M352+N352</f>
        <v>0.0422911152279013</v>
      </c>
    </row>
    <row r="353" customFormat="false" ht="15" hidden="false" customHeight="false" outlineLevel="0" collapsed="false">
      <c r="A353" s="20" t="n">
        <v>12</v>
      </c>
      <c r="B353" s="43" t="str">
        <f aca="false">INDEX(C_Name,A353)</f>
        <v>예시 행: 직접 입력 (비교 시트 제외)</v>
      </c>
      <c r="C353" s="20" t="n">
        <v>2</v>
      </c>
      <c r="D353" s="10" t="n">
        <f aca="false">CHOOSE(C353,GrowLo,GrowMid,GrowHi)</f>
        <v>0.04</v>
      </c>
      <c r="E353" s="20" t="n">
        <v>9</v>
      </c>
      <c r="F353" s="24" t="n">
        <f aca="false">INDEX(C_Price,A353)*(1+D353)^(E353-1)</f>
        <v>19.1599667056738</v>
      </c>
      <c r="G353" s="24" t="n">
        <f aca="false">F353*Gongsi</f>
        <v>13.2203770269149</v>
      </c>
      <c r="H353" s="24" t="n">
        <f aca="false">G353*FairProp</f>
        <v>7.93222621614897</v>
      </c>
      <c r="I353" s="44" t="n">
        <f aca="false">IF(G353&lt;=SpcLimit,SUMPRODUCT((H353&gt;SLo)*(H353-SLo)*SD),SUMPRODUCT((H353&gt;GLo)*(H353-GLo)*GD))</f>
        <v>0.0254289048645959</v>
      </c>
      <c r="J353" s="44" t="n">
        <f aca="false">H353*CityRate</f>
        <v>0.0111051167026086</v>
      </c>
      <c r="K353" s="44" t="n">
        <f aca="false">I353*EduProp</f>
        <v>0.00508578097291917</v>
      </c>
      <c r="L353" s="24" t="n">
        <f aca="false">MAX(0,(G353-JongDeduct)*FairJong)</f>
        <v>0.732226216148966</v>
      </c>
      <c r="M353" s="44" t="n">
        <f aca="false">SUMPRODUCT((L353&gt;JLo)*(L353-JLo)*JD)</f>
        <v>0.00366113108074483</v>
      </c>
      <c r="N353" s="44" t="n">
        <f aca="false">M353*NongJong</f>
        <v>0.000732226216148967</v>
      </c>
      <c r="O353" s="45" t="n">
        <f aca="false">I353+J353+K353+M353+N353</f>
        <v>0.0460131598370174</v>
      </c>
    </row>
    <row r="354" customFormat="false" ht="15" hidden="false" customHeight="false" outlineLevel="0" collapsed="false">
      <c r="A354" s="20" t="n">
        <v>12</v>
      </c>
      <c r="B354" s="43" t="str">
        <f aca="false">INDEX(C_Name,A354)</f>
        <v>예시 행: 직접 입력 (비교 시트 제외)</v>
      </c>
      <c r="C354" s="20" t="n">
        <v>2</v>
      </c>
      <c r="D354" s="10" t="n">
        <f aca="false">CHOOSE(C354,GrowLo,GrowMid,GrowHi)</f>
        <v>0.04</v>
      </c>
      <c r="E354" s="20" t="n">
        <v>10</v>
      </c>
      <c r="F354" s="24" t="n">
        <f aca="false">INDEX(C_Price,A354)*(1+D354)^(E354-1)</f>
        <v>19.9263653739008</v>
      </c>
      <c r="G354" s="24" t="n">
        <f aca="false">F354*Gongsi</f>
        <v>13.7491921079915</v>
      </c>
      <c r="H354" s="24" t="n">
        <f aca="false">G354*FairProp</f>
        <v>8.24951526479493</v>
      </c>
      <c r="I354" s="44" t="n">
        <f aca="false">IF(G354&lt;=SpcLimit,SUMPRODUCT((H354&gt;SLo)*(H354-SLo)*SD),SUMPRODUCT((H354&gt;GLo)*(H354-GLo)*GD))</f>
        <v>0.0266980610591797</v>
      </c>
      <c r="J354" s="44" t="n">
        <f aca="false">H354*CityRate</f>
        <v>0.0115493213707129</v>
      </c>
      <c r="K354" s="44" t="n">
        <f aca="false">I354*EduProp</f>
        <v>0.00533961221183594</v>
      </c>
      <c r="L354" s="24" t="n">
        <f aca="false">MAX(0,(G354-JongDeduct)*FairJong)</f>
        <v>1.04951526479493</v>
      </c>
      <c r="M354" s="44" t="n">
        <f aca="false">SUMPRODUCT((L354&gt;JLo)*(L354-JLo)*JD)</f>
        <v>0.00524757632397463</v>
      </c>
      <c r="N354" s="44" t="n">
        <f aca="false">M354*NongJong</f>
        <v>0.00104951526479493</v>
      </c>
      <c r="O354" s="45" t="n">
        <f aca="false">I354+J354+K354+M354+N354</f>
        <v>0.0498840862304981</v>
      </c>
    </row>
    <row r="355" customFormat="false" ht="15" hidden="false" customHeight="false" outlineLevel="0" collapsed="false">
      <c r="A355" s="20" t="n">
        <v>12</v>
      </c>
      <c r="B355" s="43" t="str">
        <f aca="false">INDEX(C_Name,A355)</f>
        <v>예시 행: 직접 입력 (비교 시트 제외)</v>
      </c>
      <c r="C355" s="20" t="n">
        <v>3</v>
      </c>
      <c r="D355" s="10" t="n">
        <f aca="false">CHOOSE(C355,GrowLo,GrowMid,GrowHi)</f>
        <v>0.06</v>
      </c>
      <c r="E355" s="20" t="n">
        <v>1</v>
      </c>
      <c r="F355" s="24" t="n">
        <f aca="false">INDEX(C_Price,A355)*(1+D355)^(E355-1)</f>
        <v>14</v>
      </c>
      <c r="G355" s="24" t="n">
        <f aca="false">F355*Gongsi</f>
        <v>9.66</v>
      </c>
      <c r="H355" s="24" t="n">
        <f aca="false">G355*FairProp</f>
        <v>5.796</v>
      </c>
      <c r="I355" s="44" t="n">
        <f aca="false">IF(G355&lt;=SpcLimit,SUMPRODUCT((H355&gt;SLo)*(H355-SLo)*SD),SUMPRODUCT((H355&gt;GLo)*(H355-GLo)*GD))</f>
        <v>0.016884</v>
      </c>
      <c r="J355" s="44" t="n">
        <f aca="false">H355*CityRate</f>
        <v>0.0081144</v>
      </c>
      <c r="K355" s="44" t="n">
        <f aca="false">I355*EduProp</f>
        <v>0.0033768</v>
      </c>
      <c r="L355" s="24" t="n">
        <f aca="false">MAX(0,(G355-JongDeduct)*FairJong)</f>
        <v>0</v>
      </c>
      <c r="M355" s="44" t="n">
        <f aca="false">SUMPRODUCT((L355&gt;JLo)*(L355-JLo)*JD)</f>
        <v>0</v>
      </c>
      <c r="N355" s="44" t="n">
        <f aca="false">M355*NongJong</f>
        <v>0</v>
      </c>
      <c r="O355" s="45" t="n">
        <f aca="false">I355+J355+K355+M355+N355</f>
        <v>0.0283752</v>
      </c>
    </row>
    <row r="356" customFormat="false" ht="15" hidden="false" customHeight="false" outlineLevel="0" collapsed="false">
      <c r="A356" s="20" t="n">
        <v>12</v>
      </c>
      <c r="B356" s="43" t="str">
        <f aca="false">INDEX(C_Name,A356)</f>
        <v>예시 행: 직접 입력 (비교 시트 제외)</v>
      </c>
      <c r="C356" s="20" t="n">
        <v>3</v>
      </c>
      <c r="D356" s="10" t="n">
        <f aca="false">CHOOSE(C356,GrowLo,GrowMid,GrowHi)</f>
        <v>0.06</v>
      </c>
      <c r="E356" s="20" t="n">
        <v>2</v>
      </c>
      <c r="F356" s="24" t="n">
        <f aca="false">INDEX(C_Price,A356)*(1+D356)^(E356-1)</f>
        <v>14.84</v>
      </c>
      <c r="G356" s="24" t="n">
        <f aca="false">F356*Gongsi</f>
        <v>10.2396</v>
      </c>
      <c r="H356" s="24" t="n">
        <f aca="false">G356*FairProp</f>
        <v>6.14376</v>
      </c>
      <c r="I356" s="44" t="n">
        <f aca="false">IF(G356&lt;=SpcLimit,SUMPRODUCT((H356&gt;SLo)*(H356-SLo)*SD),SUMPRODUCT((H356&gt;GLo)*(H356-GLo)*GD))</f>
        <v>0.01827504</v>
      </c>
      <c r="J356" s="44" t="n">
        <f aca="false">H356*CityRate</f>
        <v>0.008601264</v>
      </c>
      <c r="K356" s="44" t="n">
        <f aca="false">I356*EduProp</f>
        <v>0.003655008</v>
      </c>
      <c r="L356" s="24" t="n">
        <f aca="false">MAX(0,(G356-JongDeduct)*FairJong)</f>
        <v>0</v>
      </c>
      <c r="M356" s="44" t="n">
        <f aca="false">SUMPRODUCT((L356&gt;JLo)*(L356-JLo)*JD)</f>
        <v>0</v>
      </c>
      <c r="N356" s="44" t="n">
        <f aca="false">M356*NongJong</f>
        <v>0</v>
      </c>
      <c r="O356" s="45" t="n">
        <f aca="false">I356+J356+K356+M356+N356</f>
        <v>0.030531312</v>
      </c>
    </row>
    <row r="357" customFormat="false" ht="15" hidden="false" customHeight="false" outlineLevel="0" collapsed="false">
      <c r="A357" s="20" t="n">
        <v>12</v>
      </c>
      <c r="B357" s="43" t="str">
        <f aca="false">INDEX(C_Name,A357)</f>
        <v>예시 행: 직접 입력 (비교 시트 제외)</v>
      </c>
      <c r="C357" s="20" t="n">
        <v>3</v>
      </c>
      <c r="D357" s="10" t="n">
        <f aca="false">CHOOSE(C357,GrowLo,GrowMid,GrowHi)</f>
        <v>0.06</v>
      </c>
      <c r="E357" s="20" t="n">
        <v>3</v>
      </c>
      <c r="F357" s="24" t="n">
        <f aca="false">INDEX(C_Price,A357)*(1+D357)^(E357-1)</f>
        <v>15.7304</v>
      </c>
      <c r="G357" s="24" t="n">
        <f aca="false">F357*Gongsi</f>
        <v>10.853976</v>
      </c>
      <c r="H357" s="24" t="n">
        <f aca="false">G357*FairProp</f>
        <v>6.5123856</v>
      </c>
      <c r="I357" s="44" t="n">
        <f aca="false">IF(G357&lt;=SpcLimit,SUMPRODUCT((H357&gt;SLo)*(H357-SLo)*SD),SUMPRODUCT((H357&gt;GLo)*(H357-GLo)*GD))</f>
        <v>0.0197495424</v>
      </c>
      <c r="J357" s="44" t="n">
        <f aca="false">H357*CityRate</f>
        <v>0.00911733984</v>
      </c>
      <c r="K357" s="44" t="n">
        <f aca="false">I357*EduProp</f>
        <v>0.00394990848</v>
      </c>
      <c r="L357" s="24" t="n">
        <f aca="false">MAX(0,(G357-JongDeduct)*FairJong)</f>
        <v>0</v>
      </c>
      <c r="M357" s="44" t="n">
        <f aca="false">SUMPRODUCT((L357&gt;JLo)*(L357-JLo)*JD)</f>
        <v>0</v>
      </c>
      <c r="N357" s="44" t="n">
        <f aca="false">M357*NongJong</f>
        <v>0</v>
      </c>
      <c r="O357" s="45" t="n">
        <f aca="false">I357+J357+K357+M357+N357</f>
        <v>0.03281679072</v>
      </c>
    </row>
    <row r="358" customFormat="false" ht="15" hidden="false" customHeight="false" outlineLevel="0" collapsed="false">
      <c r="A358" s="20" t="n">
        <v>12</v>
      </c>
      <c r="B358" s="43" t="str">
        <f aca="false">INDEX(C_Name,A358)</f>
        <v>예시 행: 직접 입력 (비교 시트 제외)</v>
      </c>
      <c r="C358" s="20" t="n">
        <v>3</v>
      </c>
      <c r="D358" s="10" t="n">
        <f aca="false">CHOOSE(C358,GrowLo,GrowMid,GrowHi)</f>
        <v>0.06</v>
      </c>
      <c r="E358" s="20" t="n">
        <v>4</v>
      </c>
      <c r="F358" s="24" t="n">
        <f aca="false">INDEX(C_Price,A358)*(1+D358)^(E358-1)</f>
        <v>16.674224</v>
      </c>
      <c r="G358" s="24" t="n">
        <f aca="false">F358*Gongsi</f>
        <v>11.50521456</v>
      </c>
      <c r="H358" s="24" t="n">
        <f aca="false">G358*FairProp</f>
        <v>6.903128736</v>
      </c>
      <c r="I358" s="44" t="n">
        <f aca="false">IF(G358&lt;=SpcLimit,SUMPRODUCT((H358&gt;SLo)*(H358-SLo)*SD),SUMPRODUCT((H358&gt;GLo)*(H358-GLo)*GD))</f>
        <v>0.021312514944</v>
      </c>
      <c r="J358" s="44" t="n">
        <f aca="false">H358*CityRate</f>
        <v>0.0096643802304</v>
      </c>
      <c r="K358" s="44" t="n">
        <f aca="false">I358*EduProp</f>
        <v>0.0042625029888</v>
      </c>
      <c r="L358" s="24" t="n">
        <f aca="false">MAX(0,(G358-JongDeduct)*FairJong)</f>
        <v>0</v>
      </c>
      <c r="M358" s="44" t="n">
        <f aca="false">SUMPRODUCT((L358&gt;JLo)*(L358-JLo)*JD)</f>
        <v>0</v>
      </c>
      <c r="N358" s="44" t="n">
        <f aca="false">M358*NongJong</f>
        <v>0</v>
      </c>
      <c r="O358" s="45" t="n">
        <f aca="false">I358+J358+K358+M358+N358</f>
        <v>0.0352393981632</v>
      </c>
    </row>
    <row r="359" customFormat="false" ht="15" hidden="false" customHeight="false" outlineLevel="0" collapsed="false">
      <c r="A359" s="20" t="n">
        <v>12</v>
      </c>
      <c r="B359" s="43" t="str">
        <f aca="false">INDEX(C_Name,A359)</f>
        <v>예시 행: 직접 입력 (비교 시트 제외)</v>
      </c>
      <c r="C359" s="20" t="n">
        <v>3</v>
      </c>
      <c r="D359" s="10" t="n">
        <f aca="false">CHOOSE(C359,GrowLo,GrowMid,GrowHi)</f>
        <v>0.06</v>
      </c>
      <c r="E359" s="20" t="n">
        <v>5</v>
      </c>
      <c r="F359" s="24" t="n">
        <f aca="false">INDEX(C_Price,A359)*(1+D359)^(E359-1)</f>
        <v>17.67467744</v>
      </c>
      <c r="G359" s="24" t="n">
        <f aca="false">F359*Gongsi</f>
        <v>12.1955274336</v>
      </c>
      <c r="H359" s="24" t="n">
        <f aca="false">G359*FairProp</f>
        <v>7.31731646016</v>
      </c>
      <c r="I359" s="44" t="n">
        <f aca="false">IF(G359&lt;=SpcLimit,SUMPRODUCT((H359&gt;SLo)*(H359-SLo)*SD),SUMPRODUCT((H359&gt;GLo)*(H359-GLo)*GD))</f>
        <v>0.02296926584064</v>
      </c>
      <c r="J359" s="44" t="n">
        <f aca="false">H359*CityRate</f>
        <v>0.010244243044224</v>
      </c>
      <c r="K359" s="44" t="n">
        <f aca="false">I359*EduProp</f>
        <v>0.004593853168128</v>
      </c>
      <c r="L359" s="24" t="n">
        <f aca="false">MAX(0,(G359-JongDeduct)*FairJong)</f>
        <v>0.117316460160001</v>
      </c>
      <c r="M359" s="44" t="n">
        <f aca="false">SUMPRODUCT((L359&gt;JLo)*(L359-JLo)*JD)</f>
        <v>0.000586582300800007</v>
      </c>
      <c r="N359" s="44" t="n">
        <f aca="false">M359*NongJong</f>
        <v>0.000117316460160001</v>
      </c>
      <c r="O359" s="45" t="n">
        <f aca="false">I359+J359+K359+M359+N359</f>
        <v>0.038511260813952</v>
      </c>
    </row>
    <row r="360" customFormat="false" ht="15" hidden="false" customHeight="false" outlineLevel="0" collapsed="false">
      <c r="A360" s="20" t="n">
        <v>12</v>
      </c>
      <c r="B360" s="43" t="str">
        <f aca="false">INDEX(C_Name,A360)</f>
        <v>예시 행: 직접 입력 (비교 시트 제외)</v>
      </c>
      <c r="C360" s="20" t="n">
        <v>3</v>
      </c>
      <c r="D360" s="10" t="n">
        <f aca="false">CHOOSE(C360,GrowLo,GrowMid,GrowHi)</f>
        <v>0.06</v>
      </c>
      <c r="E360" s="20" t="n">
        <v>6</v>
      </c>
      <c r="F360" s="24" t="n">
        <f aca="false">INDEX(C_Price,A360)*(1+D360)^(E360-1)</f>
        <v>18.7351580864</v>
      </c>
      <c r="G360" s="24" t="n">
        <f aca="false">F360*Gongsi</f>
        <v>12.927259079616</v>
      </c>
      <c r="H360" s="24" t="n">
        <f aca="false">G360*FairProp</f>
        <v>7.7563554477696</v>
      </c>
      <c r="I360" s="44" t="n">
        <f aca="false">IF(G360&lt;=SpcLimit,SUMPRODUCT((H360&gt;SLo)*(H360-SLo)*SD),SUMPRODUCT((H360&gt;GLo)*(H360-GLo)*GD))</f>
        <v>0.0247254217910784</v>
      </c>
      <c r="J360" s="44" t="n">
        <f aca="false">H360*CityRate</f>
        <v>0.0108588976268774</v>
      </c>
      <c r="K360" s="44" t="n">
        <f aca="false">I360*EduProp</f>
        <v>0.00494508435821568</v>
      </c>
      <c r="L360" s="24" t="n">
        <f aca="false">MAX(0,(G360-JongDeduct)*FairJong)</f>
        <v>0.556355447769601</v>
      </c>
      <c r="M360" s="44" t="n">
        <f aca="false">SUMPRODUCT((L360&gt;JLo)*(L360-JLo)*JD)</f>
        <v>0.00278177723884801</v>
      </c>
      <c r="N360" s="44" t="n">
        <f aca="false">M360*NongJong</f>
        <v>0.000556355447769601</v>
      </c>
      <c r="O360" s="45" t="n">
        <f aca="false">I360+J360+K360+M360+N360</f>
        <v>0.0438675364627891</v>
      </c>
    </row>
    <row r="361" customFormat="false" ht="15" hidden="false" customHeight="false" outlineLevel="0" collapsed="false">
      <c r="A361" s="20" t="n">
        <v>12</v>
      </c>
      <c r="B361" s="43" t="str">
        <f aca="false">INDEX(C_Name,A361)</f>
        <v>예시 행: 직접 입력 (비교 시트 제외)</v>
      </c>
      <c r="C361" s="20" t="n">
        <v>3</v>
      </c>
      <c r="D361" s="10" t="n">
        <f aca="false">CHOOSE(C361,GrowLo,GrowMid,GrowHi)</f>
        <v>0.06</v>
      </c>
      <c r="E361" s="20" t="n">
        <v>7</v>
      </c>
      <c r="F361" s="24" t="n">
        <f aca="false">INDEX(C_Price,A361)*(1+D361)^(E361-1)</f>
        <v>19.859267571584</v>
      </c>
      <c r="G361" s="24" t="n">
        <f aca="false">F361*Gongsi</f>
        <v>13.702894624393</v>
      </c>
      <c r="H361" s="24" t="n">
        <f aca="false">G361*FairProp</f>
        <v>8.22173677463578</v>
      </c>
      <c r="I361" s="44" t="n">
        <f aca="false">IF(G361&lt;=SpcLimit,SUMPRODUCT((H361&gt;SLo)*(H361-SLo)*SD),SUMPRODUCT((H361&gt;GLo)*(H361-GLo)*GD))</f>
        <v>0.0265869470985431</v>
      </c>
      <c r="J361" s="44" t="n">
        <f aca="false">H361*CityRate</f>
        <v>0.0115104314844901</v>
      </c>
      <c r="K361" s="44" t="n">
        <f aca="false">I361*EduProp</f>
        <v>0.00531738941970862</v>
      </c>
      <c r="L361" s="24" t="n">
        <f aca="false">MAX(0,(G361-JongDeduct)*FairJong)</f>
        <v>1.02173677463578</v>
      </c>
      <c r="M361" s="44" t="n">
        <f aca="false">SUMPRODUCT((L361&gt;JLo)*(L361-JLo)*JD)</f>
        <v>0.00510868387317889</v>
      </c>
      <c r="N361" s="44" t="n">
        <f aca="false">M361*NongJong</f>
        <v>0.00102173677463578</v>
      </c>
      <c r="O361" s="45" t="n">
        <f aca="false">I361+J361+K361+M361+N361</f>
        <v>0.0495451886505565</v>
      </c>
    </row>
    <row r="362" customFormat="false" ht="15" hidden="false" customHeight="false" outlineLevel="0" collapsed="false">
      <c r="A362" s="20" t="n">
        <v>12</v>
      </c>
      <c r="B362" s="43" t="str">
        <f aca="false">INDEX(C_Name,A362)</f>
        <v>예시 행: 직접 입력 (비교 시트 제외)</v>
      </c>
      <c r="C362" s="20" t="n">
        <v>3</v>
      </c>
      <c r="D362" s="10" t="n">
        <f aca="false">CHOOSE(C362,GrowLo,GrowMid,GrowHi)</f>
        <v>0.06</v>
      </c>
      <c r="E362" s="20" t="n">
        <v>8</v>
      </c>
      <c r="F362" s="24" t="n">
        <f aca="false">INDEX(C_Price,A362)*(1+D362)^(E362-1)</f>
        <v>21.050823625879</v>
      </c>
      <c r="G362" s="24" t="n">
        <f aca="false">F362*Gongsi</f>
        <v>14.5250683018565</v>
      </c>
      <c r="H362" s="24" t="n">
        <f aca="false">G362*FairProp</f>
        <v>8.71504098111392</v>
      </c>
      <c r="I362" s="44" t="n">
        <f aca="false">IF(G362&lt;=SpcLimit,SUMPRODUCT((H362&gt;SLo)*(H362-SLo)*SD),SUMPRODUCT((H362&gt;GLo)*(H362-GLo)*GD))</f>
        <v>0.0285601639244557</v>
      </c>
      <c r="J362" s="44" t="n">
        <f aca="false">H362*CityRate</f>
        <v>0.0122010573735595</v>
      </c>
      <c r="K362" s="44" t="n">
        <f aca="false">I362*EduProp</f>
        <v>0.00571203278489114</v>
      </c>
      <c r="L362" s="24" t="n">
        <f aca="false">MAX(0,(G362-JongDeduct)*FairJong)</f>
        <v>1.51504098111393</v>
      </c>
      <c r="M362" s="44" t="n">
        <f aca="false">SUMPRODUCT((L362&gt;JLo)*(L362-JLo)*JD)</f>
        <v>0.00757520490556963</v>
      </c>
      <c r="N362" s="44" t="n">
        <f aca="false">M362*NongJong</f>
        <v>0.00151504098111393</v>
      </c>
      <c r="O362" s="45" t="n">
        <f aca="false">I362+J362+K362+M362+N362</f>
        <v>0.0555634999695899</v>
      </c>
    </row>
    <row r="363" customFormat="false" ht="15" hidden="false" customHeight="false" outlineLevel="0" collapsed="false">
      <c r="A363" s="20" t="n">
        <v>12</v>
      </c>
      <c r="B363" s="43" t="str">
        <f aca="false">INDEX(C_Name,A363)</f>
        <v>예시 행: 직접 입력 (비교 시트 제외)</v>
      </c>
      <c r="C363" s="20" t="n">
        <v>3</v>
      </c>
      <c r="D363" s="10" t="n">
        <f aca="false">CHOOSE(C363,GrowLo,GrowMid,GrowHi)</f>
        <v>0.06</v>
      </c>
      <c r="E363" s="20" t="n">
        <v>9</v>
      </c>
      <c r="F363" s="24" t="n">
        <f aca="false">INDEX(C_Price,A363)*(1+D363)^(E363-1)</f>
        <v>22.3138730434318</v>
      </c>
      <c r="G363" s="24" t="n">
        <f aca="false">F363*Gongsi</f>
        <v>15.3965723999679</v>
      </c>
      <c r="H363" s="24" t="n">
        <f aca="false">G363*FairProp</f>
        <v>9.23794343998076</v>
      </c>
      <c r="I363" s="44" t="n">
        <f aca="false">IF(G363&lt;=SpcLimit,SUMPRODUCT((H363&gt;SLo)*(H363-SLo)*SD),SUMPRODUCT((H363&gt;GLo)*(H363-GLo)*GD))</f>
        <v>0.030651773759923</v>
      </c>
      <c r="J363" s="44" t="n">
        <f aca="false">H363*CityRate</f>
        <v>0.0129331208159731</v>
      </c>
      <c r="K363" s="44" t="n">
        <f aca="false">I363*EduProp</f>
        <v>0.00613035475198461</v>
      </c>
      <c r="L363" s="24" t="n">
        <f aca="false">MAX(0,(G363-JongDeduct)*FairJong)</f>
        <v>2.03794343998076</v>
      </c>
      <c r="M363" s="44" t="n">
        <f aca="false">SUMPRODUCT((L363&gt;JLo)*(L363-JLo)*JD)</f>
        <v>0.0101897171999038</v>
      </c>
      <c r="N363" s="44" t="n">
        <f aca="false">M363*NongJong</f>
        <v>0.00203794343998076</v>
      </c>
      <c r="O363" s="45" t="n">
        <f aca="false">I363+J363+K363+M363+N363</f>
        <v>0.0619429099677653</v>
      </c>
    </row>
    <row r="364" customFormat="false" ht="15" hidden="false" customHeight="false" outlineLevel="0" collapsed="false">
      <c r="A364" s="20" t="n">
        <v>12</v>
      </c>
      <c r="B364" s="43" t="str">
        <f aca="false">INDEX(C_Name,A364)</f>
        <v>예시 행: 직접 입력 (비교 시트 제외)</v>
      </c>
      <c r="C364" s="20" t="n">
        <v>3</v>
      </c>
      <c r="D364" s="10" t="n">
        <f aca="false">CHOOSE(C364,GrowLo,GrowMid,GrowHi)</f>
        <v>0.06</v>
      </c>
      <c r="E364" s="20" t="n">
        <v>10</v>
      </c>
      <c r="F364" s="24" t="n">
        <f aca="false">INDEX(C_Price,A364)*(1+D364)^(E364-1)</f>
        <v>23.6527054260377</v>
      </c>
      <c r="G364" s="24" t="n">
        <f aca="false">F364*Gongsi</f>
        <v>16.320366743966</v>
      </c>
      <c r="H364" s="24" t="n">
        <f aca="false">G364*FairProp</f>
        <v>9.79222004637961</v>
      </c>
      <c r="I364" s="44" t="n">
        <f aca="false">IF(G364&lt;=SpcLimit,SUMPRODUCT((H364&gt;SLo)*(H364-SLo)*SD),SUMPRODUCT((H364&gt;GLo)*(H364-GLo)*GD))</f>
        <v>0.0328688801855184</v>
      </c>
      <c r="J364" s="44" t="n">
        <f aca="false">H364*CityRate</f>
        <v>0.0137091080649314</v>
      </c>
      <c r="K364" s="44" t="n">
        <f aca="false">I364*EduProp</f>
        <v>0.00657377603710369</v>
      </c>
      <c r="L364" s="24" t="n">
        <f aca="false">MAX(0,(G364-JongDeduct)*FairJong)</f>
        <v>2.59222004637961</v>
      </c>
      <c r="M364" s="44" t="n">
        <f aca="false">SUMPRODUCT((L364&gt;JLo)*(L364-JLo)*JD)</f>
        <v>0.012961100231898</v>
      </c>
      <c r="N364" s="44" t="n">
        <f aca="false">M364*NongJong</f>
        <v>0.00259222004637961</v>
      </c>
      <c r="O364" s="45" t="n">
        <f aca="false">I364+J364+K364+M364+N364</f>
        <v>0.0687050845658312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9.4" hidden="false" customHeight="false" outlineLevel="0" collapsed="false">
      <c r="A1" s="1" t="s">
        <v>202</v>
      </c>
    </row>
    <row r="2" customFormat="false" ht="15" hidden="false" customHeight="false" outlineLevel="0" collapsed="false">
      <c r="A2" s="11" t="s">
        <v>203</v>
      </c>
    </row>
    <row r="4" customFormat="false" ht="42" hidden="false" customHeight="true" outlineLevel="0" collapsed="false">
      <c r="A4" s="13" t="s">
        <v>204</v>
      </c>
      <c r="B4" s="13" t="s">
        <v>205</v>
      </c>
      <c r="C4" s="13" t="s">
        <v>206</v>
      </c>
      <c r="D4" s="13" t="s">
        <v>207</v>
      </c>
      <c r="E4" s="14" t="s">
        <v>208</v>
      </c>
    </row>
    <row r="5" customFormat="false" ht="15" hidden="false" customHeight="false" outlineLevel="0" collapsed="false">
      <c r="A5" s="46" t="n">
        <f aca="false">CapA</f>
        <v>12</v>
      </c>
      <c r="B5" s="47" t="n">
        <f aca="false">_xlfn.MAXIFS($A$12:$A$162,$E$12:$E$162,"&lt;="&amp;A5)</f>
        <v>15.3</v>
      </c>
      <c r="C5" s="24" t="n">
        <f aca="false">INDEX($B$12:$B$162,MATCH(B5,$A$12:$A$162,0))</f>
        <v>4</v>
      </c>
      <c r="D5" s="24" t="n">
        <f aca="false">INDEX($E$12:$E$162,MATCH(B5,$A$12:$A$162,0))</f>
        <v>11.94271</v>
      </c>
      <c r="E5" s="48" t="n">
        <f aca="false">_xlfn.MAXIFS($A$12:$A$162,$E$12:$E$162,"&lt;="&amp;A5,$A$12:$A$162,"&lt;=15")</f>
        <v>15</v>
      </c>
    </row>
    <row r="6" customFormat="false" ht="15" hidden="false" customHeight="false" outlineLevel="0" collapsed="false">
      <c r="A6" s="46" t="n">
        <f aca="false">CapB</f>
        <v>14</v>
      </c>
      <c r="B6" s="47" t="n">
        <f aca="false">_xlfn.MAXIFS($A$12:$A$162,$E$12:$E$162,"&lt;="&amp;A6)</f>
        <v>17.2</v>
      </c>
      <c r="C6" s="24" t="n">
        <f aca="false">INDEX($B$12:$B$162,MATCH(B6,$A$12:$A$162,0))</f>
        <v>4</v>
      </c>
      <c r="D6" s="24" t="n">
        <f aca="false">INDEX($E$12:$E$162,MATCH(B6,$A$12:$A$162,0))</f>
        <v>13.92004</v>
      </c>
      <c r="E6" s="48" t="n">
        <f aca="false">_xlfn.MAXIFS($A$12:$A$162,$E$12:$E$162,"&lt;="&amp;A6,$A$12:$A$162,"&lt;=15")</f>
        <v>15</v>
      </c>
    </row>
    <row r="7" customFormat="false" ht="15" hidden="false" customHeight="false" outlineLevel="0" collapsed="false">
      <c r="A7" s="46" t="n">
        <f aca="false">CapC</f>
        <v>16</v>
      </c>
      <c r="B7" s="47" t="n">
        <f aca="false">_xlfn.MAXIFS($A$12:$A$162,$E$12:$E$162,"&lt;="&amp;A7)</f>
        <v>19.1</v>
      </c>
      <c r="C7" s="24" t="n">
        <f aca="false">INDEX($B$12:$B$162,MATCH(B7,$A$12:$A$162,0))</f>
        <v>4</v>
      </c>
      <c r="D7" s="24" t="n">
        <f aca="false">INDEX($E$12:$E$162,MATCH(B7,$A$12:$A$162,0))</f>
        <v>15.89737</v>
      </c>
      <c r="E7" s="48" t="n">
        <f aca="false">_xlfn.MAXIFS($A$12:$A$162,$E$12:$E$162,"&lt;="&amp;A7,$A$12:$A$162,"&lt;=15")</f>
        <v>15</v>
      </c>
    </row>
    <row r="11" customFormat="false" ht="42" hidden="false" customHeight="true" outlineLevel="0" collapsed="false">
      <c r="A11" s="13" t="s">
        <v>118</v>
      </c>
      <c r="B11" s="13" t="s">
        <v>209</v>
      </c>
      <c r="C11" s="13" t="s">
        <v>126</v>
      </c>
      <c r="D11" s="13" t="s">
        <v>210</v>
      </c>
      <c r="E11" s="13" t="s">
        <v>128</v>
      </c>
    </row>
    <row r="12" customFormat="false" ht="15" hidden="false" customHeight="false" outlineLevel="0" collapsed="false">
      <c r="A12" s="49" t="n">
        <v>10</v>
      </c>
      <c r="B12" s="24" t="n">
        <f aca="false">MIN(LTV*A12,LOOKUP(A12,LoanLo,LoanCap))</f>
        <v>4</v>
      </c>
      <c r="C12" s="21" t="n">
        <f aca="false">A12*IF(A12&lt;=6,0.01,IF(A12&lt;=9,(A12*2/3-3)/100,0.03))*(1+EduAcq)</f>
        <v>0.33</v>
      </c>
      <c r="D12" s="21" t="n">
        <f aca="false">A12*LOOKUP(A12,FeeLo,FeeR)*(1+VAT)+EtcBuy</f>
        <v>0.075</v>
      </c>
      <c r="E12" s="24" t="n">
        <f aca="false">A12-B12+C12+D12</f>
        <v>6.405</v>
      </c>
    </row>
    <row r="13" customFormat="false" ht="15" hidden="false" customHeight="false" outlineLevel="0" collapsed="false">
      <c r="A13" s="48" t="n">
        <f aca="false">ROUND(A12+0.1,1)</f>
        <v>10.1</v>
      </c>
      <c r="B13" s="24" t="n">
        <f aca="false">MIN(LTV*A13,LOOKUP(A13,LoanLo,LoanCap))</f>
        <v>4.04</v>
      </c>
      <c r="C13" s="21" t="n">
        <f aca="false">A13*IF(A13&lt;=6,0.01,IF(A13&lt;=9,(A13*2/3-3)/100,0.03))*(1+EduAcq)</f>
        <v>0.3333</v>
      </c>
      <c r="D13" s="21" t="n">
        <f aca="false">A13*LOOKUP(A13,FeeLo,FeeR)*(1+VAT)+EtcBuy</f>
        <v>0.07555</v>
      </c>
      <c r="E13" s="24" t="n">
        <f aca="false">A13-B13+C13+D13</f>
        <v>6.46885</v>
      </c>
    </row>
    <row r="14" customFormat="false" ht="15" hidden="false" customHeight="false" outlineLevel="0" collapsed="false">
      <c r="A14" s="48" t="n">
        <f aca="false">ROUND(A13+0.1,1)</f>
        <v>10.2</v>
      </c>
      <c r="B14" s="24" t="n">
        <f aca="false">MIN(LTV*A14,LOOKUP(A14,LoanLo,LoanCap))</f>
        <v>4.08</v>
      </c>
      <c r="C14" s="21" t="n">
        <f aca="false">A14*IF(A14&lt;=6,0.01,IF(A14&lt;=9,(A14*2/3-3)/100,0.03))*(1+EduAcq)</f>
        <v>0.3366</v>
      </c>
      <c r="D14" s="21" t="n">
        <f aca="false">A14*LOOKUP(A14,FeeLo,FeeR)*(1+VAT)+EtcBuy</f>
        <v>0.0761</v>
      </c>
      <c r="E14" s="24" t="n">
        <f aca="false">A14-B14+C14+D14</f>
        <v>6.5327</v>
      </c>
    </row>
    <row r="15" customFormat="false" ht="15" hidden="false" customHeight="false" outlineLevel="0" collapsed="false">
      <c r="A15" s="48" t="n">
        <f aca="false">ROUND(A14+0.1,1)</f>
        <v>10.3</v>
      </c>
      <c r="B15" s="24" t="n">
        <f aca="false">MIN(LTV*A15,LOOKUP(A15,LoanLo,LoanCap))</f>
        <v>4.12</v>
      </c>
      <c r="C15" s="21" t="n">
        <f aca="false">A15*IF(A15&lt;=6,0.01,IF(A15&lt;=9,(A15*2/3-3)/100,0.03))*(1+EduAcq)</f>
        <v>0.3399</v>
      </c>
      <c r="D15" s="21" t="n">
        <f aca="false">A15*LOOKUP(A15,FeeLo,FeeR)*(1+VAT)+EtcBuy</f>
        <v>0.07665</v>
      </c>
      <c r="E15" s="24" t="n">
        <f aca="false">A15-B15+C15+D15</f>
        <v>6.59655</v>
      </c>
    </row>
    <row r="16" customFormat="false" ht="15" hidden="false" customHeight="false" outlineLevel="0" collapsed="false">
      <c r="A16" s="48" t="n">
        <f aca="false">ROUND(A15+0.1,1)</f>
        <v>10.4</v>
      </c>
      <c r="B16" s="24" t="n">
        <f aca="false">MIN(LTV*A16,LOOKUP(A16,LoanLo,LoanCap))</f>
        <v>4.16</v>
      </c>
      <c r="C16" s="21" t="n">
        <f aca="false">A16*IF(A16&lt;=6,0.01,IF(A16&lt;=9,(A16*2/3-3)/100,0.03))*(1+EduAcq)</f>
        <v>0.3432</v>
      </c>
      <c r="D16" s="21" t="n">
        <f aca="false">A16*LOOKUP(A16,FeeLo,FeeR)*(1+VAT)+EtcBuy</f>
        <v>0.0772</v>
      </c>
      <c r="E16" s="24" t="n">
        <f aca="false">A16-B16+C16+D16</f>
        <v>6.6604</v>
      </c>
    </row>
    <row r="17" customFormat="false" ht="15" hidden="false" customHeight="false" outlineLevel="0" collapsed="false">
      <c r="A17" s="48" t="n">
        <f aca="false">ROUND(A16+0.1,1)</f>
        <v>10.5</v>
      </c>
      <c r="B17" s="24" t="n">
        <f aca="false">MIN(LTV*A17,LOOKUP(A17,LoanLo,LoanCap))</f>
        <v>4.2</v>
      </c>
      <c r="C17" s="21" t="n">
        <f aca="false">A17*IF(A17&lt;=6,0.01,IF(A17&lt;=9,(A17*2/3-3)/100,0.03))*(1+EduAcq)</f>
        <v>0.3465</v>
      </c>
      <c r="D17" s="21" t="n">
        <f aca="false">A17*LOOKUP(A17,FeeLo,FeeR)*(1+VAT)+EtcBuy</f>
        <v>0.07775</v>
      </c>
      <c r="E17" s="24" t="n">
        <f aca="false">A17-B17+C17+D17</f>
        <v>6.72425</v>
      </c>
    </row>
    <row r="18" customFormat="false" ht="15" hidden="false" customHeight="false" outlineLevel="0" collapsed="false">
      <c r="A18" s="48" t="n">
        <f aca="false">ROUND(A17+0.1,1)</f>
        <v>10.6</v>
      </c>
      <c r="B18" s="24" t="n">
        <f aca="false">MIN(LTV*A18,LOOKUP(A18,LoanLo,LoanCap))</f>
        <v>4.24</v>
      </c>
      <c r="C18" s="21" t="n">
        <f aca="false">A18*IF(A18&lt;=6,0.01,IF(A18&lt;=9,(A18*2/3-3)/100,0.03))*(1+EduAcq)</f>
        <v>0.3498</v>
      </c>
      <c r="D18" s="21" t="n">
        <f aca="false">A18*LOOKUP(A18,FeeLo,FeeR)*(1+VAT)+EtcBuy</f>
        <v>0.0783</v>
      </c>
      <c r="E18" s="24" t="n">
        <f aca="false">A18-B18+C18+D18</f>
        <v>6.7881</v>
      </c>
    </row>
    <row r="19" customFormat="false" ht="15" hidden="false" customHeight="false" outlineLevel="0" collapsed="false">
      <c r="A19" s="48" t="n">
        <f aca="false">ROUND(A18+0.1,1)</f>
        <v>10.7</v>
      </c>
      <c r="B19" s="24" t="n">
        <f aca="false">MIN(LTV*A19,LOOKUP(A19,LoanLo,LoanCap))</f>
        <v>4.28</v>
      </c>
      <c r="C19" s="21" t="n">
        <f aca="false">A19*IF(A19&lt;=6,0.01,IF(A19&lt;=9,(A19*2/3-3)/100,0.03))*(1+EduAcq)</f>
        <v>0.3531</v>
      </c>
      <c r="D19" s="21" t="n">
        <f aca="false">A19*LOOKUP(A19,FeeLo,FeeR)*(1+VAT)+EtcBuy</f>
        <v>0.07885</v>
      </c>
      <c r="E19" s="24" t="n">
        <f aca="false">A19-B19+C19+D19</f>
        <v>6.85195</v>
      </c>
    </row>
    <row r="20" customFormat="false" ht="15" hidden="false" customHeight="false" outlineLevel="0" collapsed="false">
      <c r="A20" s="48" t="n">
        <f aca="false">ROUND(A19+0.1,1)</f>
        <v>10.8</v>
      </c>
      <c r="B20" s="24" t="n">
        <f aca="false">MIN(LTV*A20,LOOKUP(A20,LoanLo,LoanCap))</f>
        <v>4.32</v>
      </c>
      <c r="C20" s="21" t="n">
        <f aca="false">A20*IF(A20&lt;=6,0.01,IF(A20&lt;=9,(A20*2/3-3)/100,0.03))*(1+EduAcq)</f>
        <v>0.3564</v>
      </c>
      <c r="D20" s="21" t="n">
        <f aca="false">A20*LOOKUP(A20,FeeLo,FeeR)*(1+VAT)+EtcBuy</f>
        <v>0.0794</v>
      </c>
      <c r="E20" s="24" t="n">
        <f aca="false">A20-B20+C20+D20</f>
        <v>6.9158</v>
      </c>
    </row>
    <row r="21" customFormat="false" ht="15" hidden="false" customHeight="false" outlineLevel="0" collapsed="false">
      <c r="A21" s="48" t="n">
        <f aca="false">ROUND(A20+0.1,1)</f>
        <v>10.9</v>
      </c>
      <c r="B21" s="24" t="n">
        <f aca="false">MIN(LTV*A21,LOOKUP(A21,LoanLo,LoanCap))</f>
        <v>4.36</v>
      </c>
      <c r="C21" s="21" t="n">
        <f aca="false">A21*IF(A21&lt;=6,0.01,IF(A21&lt;=9,(A21*2/3-3)/100,0.03))*(1+EduAcq)</f>
        <v>0.3597</v>
      </c>
      <c r="D21" s="21" t="n">
        <f aca="false">A21*LOOKUP(A21,FeeLo,FeeR)*(1+VAT)+EtcBuy</f>
        <v>0.07995</v>
      </c>
      <c r="E21" s="24" t="n">
        <f aca="false">A21-B21+C21+D21</f>
        <v>6.97965</v>
      </c>
    </row>
    <row r="22" customFormat="false" ht="15" hidden="false" customHeight="false" outlineLevel="0" collapsed="false">
      <c r="A22" s="48" t="n">
        <f aca="false">ROUND(A21+0.1,1)</f>
        <v>11</v>
      </c>
      <c r="B22" s="24" t="n">
        <f aca="false">MIN(LTV*A22,LOOKUP(A22,LoanLo,LoanCap))</f>
        <v>4.4</v>
      </c>
      <c r="C22" s="21" t="n">
        <f aca="false">A22*IF(A22&lt;=6,0.01,IF(A22&lt;=9,(A22*2/3-3)/100,0.03))*(1+EduAcq)</f>
        <v>0.363</v>
      </c>
      <c r="D22" s="21" t="n">
        <f aca="false">A22*LOOKUP(A22,FeeLo,FeeR)*(1+VAT)+EtcBuy</f>
        <v>0.0805</v>
      </c>
      <c r="E22" s="24" t="n">
        <f aca="false">A22-B22+C22+D22</f>
        <v>7.0435</v>
      </c>
    </row>
    <row r="23" customFormat="false" ht="15" hidden="false" customHeight="false" outlineLevel="0" collapsed="false">
      <c r="A23" s="48" t="n">
        <f aca="false">ROUND(A22+0.1,1)</f>
        <v>11.1</v>
      </c>
      <c r="B23" s="24" t="n">
        <f aca="false">MIN(LTV*A23,LOOKUP(A23,LoanLo,LoanCap))</f>
        <v>4.44</v>
      </c>
      <c r="C23" s="21" t="n">
        <f aca="false">A23*IF(A23&lt;=6,0.01,IF(A23&lt;=9,(A23*2/3-3)/100,0.03))*(1+EduAcq)</f>
        <v>0.3663</v>
      </c>
      <c r="D23" s="21" t="n">
        <f aca="false">A23*LOOKUP(A23,FeeLo,FeeR)*(1+VAT)+EtcBuy</f>
        <v>0.08105</v>
      </c>
      <c r="E23" s="24" t="n">
        <f aca="false">A23-B23+C23+D23</f>
        <v>7.10735</v>
      </c>
    </row>
    <row r="24" customFormat="false" ht="15" hidden="false" customHeight="false" outlineLevel="0" collapsed="false">
      <c r="A24" s="48" t="n">
        <f aca="false">ROUND(A23+0.1,1)</f>
        <v>11.2</v>
      </c>
      <c r="B24" s="24" t="n">
        <f aca="false">MIN(LTV*A24,LOOKUP(A24,LoanLo,LoanCap))</f>
        <v>4.48</v>
      </c>
      <c r="C24" s="21" t="n">
        <f aca="false">A24*IF(A24&lt;=6,0.01,IF(A24&lt;=9,(A24*2/3-3)/100,0.03))*(1+EduAcq)</f>
        <v>0.3696</v>
      </c>
      <c r="D24" s="21" t="n">
        <f aca="false">A24*LOOKUP(A24,FeeLo,FeeR)*(1+VAT)+EtcBuy</f>
        <v>0.0816</v>
      </c>
      <c r="E24" s="24" t="n">
        <f aca="false">A24-B24+C24+D24</f>
        <v>7.1712</v>
      </c>
    </row>
    <row r="25" customFormat="false" ht="15" hidden="false" customHeight="false" outlineLevel="0" collapsed="false">
      <c r="A25" s="48" t="n">
        <f aca="false">ROUND(A24+0.1,1)</f>
        <v>11.3</v>
      </c>
      <c r="B25" s="24" t="n">
        <f aca="false">MIN(LTV*A25,LOOKUP(A25,LoanLo,LoanCap))</f>
        <v>4.52</v>
      </c>
      <c r="C25" s="21" t="n">
        <f aca="false">A25*IF(A25&lt;=6,0.01,IF(A25&lt;=9,(A25*2/3-3)/100,0.03))*(1+EduAcq)</f>
        <v>0.3729</v>
      </c>
      <c r="D25" s="21" t="n">
        <f aca="false">A25*LOOKUP(A25,FeeLo,FeeR)*(1+VAT)+EtcBuy</f>
        <v>0.08215</v>
      </c>
      <c r="E25" s="24" t="n">
        <f aca="false">A25-B25+C25+D25</f>
        <v>7.23505</v>
      </c>
    </row>
    <row r="26" customFormat="false" ht="15" hidden="false" customHeight="false" outlineLevel="0" collapsed="false">
      <c r="A26" s="48" t="n">
        <f aca="false">ROUND(A25+0.1,1)</f>
        <v>11.4</v>
      </c>
      <c r="B26" s="24" t="n">
        <f aca="false">MIN(LTV*A26,LOOKUP(A26,LoanLo,LoanCap))</f>
        <v>4.56</v>
      </c>
      <c r="C26" s="21" t="n">
        <f aca="false">A26*IF(A26&lt;=6,0.01,IF(A26&lt;=9,(A26*2/3-3)/100,0.03))*(1+EduAcq)</f>
        <v>0.3762</v>
      </c>
      <c r="D26" s="21" t="n">
        <f aca="false">A26*LOOKUP(A26,FeeLo,FeeR)*(1+VAT)+EtcBuy</f>
        <v>0.0827</v>
      </c>
      <c r="E26" s="24" t="n">
        <f aca="false">A26-B26+C26+D26</f>
        <v>7.2989</v>
      </c>
    </row>
    <row r="27" customFormat="false" ht="15" hidden="false" customHeight="false" outlineLevel="0" collapsed="false">
      <c r="A27" s="48" t="n">
        <f aca="false">ROUND(A26+0.1,1)</f>
        <v>11.5</v>
      </c>
      <c r="B27" s="24" t="n">
        <f aca="false">MIN(LTV*A27,LOOKUP(A27,LoanLo,LoanCap))</f>
        <v>4.6</v>
      </c>
      <c r="C27" s="21" t="n">
        <f aca="false">A27*IF(A27&lt;=6,0.01,IF(A27&lt;=9,(A27*2/3-3)/100,0.03))*(1+EduAcq)</f>
        <v>0.3795</v>
      </c>
      <c r="D27" s="21" t="n">
        <f aca="false">A27*LOOKUP(A27,FeeLo,FeeR)*(1+VAT)+EtcBuy</f>
        <v>0.08325</v>
      </c>
      <c r="E27" s="24" t="n">
        <f aca="false">A27-B27+C27+D27</f>
        <v>7.36275</v>
      </c>
    </row>
    <row r="28" customFormat="false" ht="15" hidden="false" customHeight="false" outlineLevel="0" collapsed="false">
      <c r="A28" s="48" t="n">
        <f aca="false">ROUND(A27+0.1,1)</f>
        <v>11.6</v>
      </c>
      <c r="B28" s="24" t="n">
        <f aca="false">MIN(LTV*A28,LOOKUP(A28,LoanLo,LoanCap))</f>
        <v>4.64</v>
      </c>
      <c r="C28" s="21" t="n">
        <f aca="false">A28*IF(A28&lt;=6,0.01,IF(A28&lt;=9,(A28*2/3-3)/100,0.03))*(1+EduAcq)</f>
        <v>0.3828</v>
      </c>
      <c r="D28" s="21" t="n">
        <f aca="false">A28*LOOKUP(A28,FeeLo,FeeR)*(1+VAT)+EtcBuy</f>
        <v>0.0838</v>
      </c>
      <c r="E28" s="24" t="n">
        <f aca="false">A28-B28+C28+D28</f>
        <v>7.4266</v>
      </c>
    </row>
    <row r="29" customFormat="false" ht="15" hidden="false" customHeight="false" outlineLevel="0" collapsed="false">
      <c r="A29" s="48" t="n">
        <f aca="false">ROUND(A28+0.1,1)</f>
        <v>11.7</v>
      </c>
      <c r="B29" s="24" t="n">
        <f aca="false">MIN(LTV*A29,LOOKUP(A29,LoanLo,LoanCap))</f>
        <v>4.68</v>
      </c>
      <c r="C29" s="21" t="n">
        <f aca="false">A29*IF(A29&lt;=6,0.01,IF(A29&lt;=9,(A29*2/3-3)/100,0.03))*(1+EduAcq)</f>
        <v>0.3861</v>
      </c>
      <c r="D29" s="21" t="n">
        <f aca="false">A29*LOOKUP(A29,FeeLo,FeeR)*(1+VAT)+EtcBuy</f>
        <v>0.08435</v>
      </c>
      <c r="E29" s="24" t="n">
        <f aca="false">A29-B29+C29+D29</f>
        <v>7.49045</v>
      </c>
    </row>
    <row r="30" customFormat="false" ht="15" hidden="false" customHeight="false" outlineLevel="0" collapsed="false">
      <c r="A30" s="48" t="n">
        <f aca="false">ROUND(A29+0.1,1)</f>
        <v>11.8</v>
      </c>
      <c r="B30" s="24" t="n">
        <f aca="false">MIN(LTV*A30,LOOKUP(A30,LoanLo,LoanCap))</f>
        <v>4.72</v>
      </c>
      <c r="C30" s="21" t="n">
        <f aca="false">A30*IF(A30&lt;=6,0.01,IF(A30&lt;=9,(A30*2/3-3)/100,0.03))*(1+EduAcq)</f>
        <v>0.3894</v>
      </c>
      <c r="D30" s="21" t="n">
        <f aca="false">A30*LOOKUP(A30,FeeLo,FeeR)*(1+VAT)+EtcBuy</f>
        <v>0.0849</v>
      </c>
      <c r="E30" s="24" t="n">
        <f aca="false">A30-B30+C30+D30</f>
        <v>7.5543</v>
      </c>
    </row>
    <row r="31" customFormat="false" ht="15" hidden="false" customHeight="false" outlineLevel="0" collapsed="false">
      <c r="A31" s="48" t="n">
        <f aca="false">ROUND(A30+0.1,1)</f>
        <v>11.9</v>
      </c>
      <c r="B31" s="24" t="n">
        <f aca="false">MIN(LTV*A31,LOOKUP(A31,LoanLo,LoanCap))</f>
        <v>4.76</v>
      </c>
      <c r="C31" s="21" t="n">
        <f aca="false">A31*IF(A31&lt;=6,0.01,IF(A31&lt;=9,(A31*2/3-3)/100,0.03))*(1+EduAcq)</f>
        <v>0.3927</v>
      </c>
      <c r="D31" s="21" t="n">
        <f aca="false">A31*LOOKUP(A31,FeeLo,FeeR)*(1+VAT)+EtcBuy</f>
        <v>0.08545</v>
      </c>
      <c r="E31" s="24" t="n">
        <f aca="false">A31-B31+C31+D31</f>
        <v>7.61815</v>
      </c>
    </row>
    <row r="32" customFormat="false" ht="15" hidden="false" customHeight="false" outlineLevel="0" collapsed="false">
      <c r="A32" s="48" t="n">
        <f aca="false">ROUND(A31+0.1,1)</f>
        <v>12</v>
      </c>
      <c r="B32" s="24" t="n">
        <f aca="false">MIN(LTV*A32,LOOKUP(A32,LoanLo,LoanCap))</f>
        <v>4.8</v>
      </c>
      <c r="C32" s="21" t="n">
        <f aca="false">A32*IF(A32&lt;=6,0.01,IF(A32&lt;=9,(A32*2/3-3)/100,0.03))*(1+EduAcq)</f>
        <v>0.396</v>
      </c>
      <c r="D32" s="21" t="n">
        <f aca="false">A32*LOOKUP(A32,FeeLo,FeeR)*(1+VAT)+EtcBuy</f>
        <v>0.0992</v>
      </c>
      <c r="E32" s="24" t="n">
        <f aca="false">A32-B32+C32+D32</f>
        <v>7.6952</v>
      </c>
    </row>
    <row r="33" customFormat="false" ht="15" hidden="false" customHeight="false" outlineLevel="0" collapsed="false">
      <c r="A33" s="48" t="n">
        <f aca="false">ROUND(A32+0.1,1)</f>
        <v>12.1</v>
      </c>
      <c r="B33" s="24" t="n">
        <f aca="false">MIN(LTV*A33,LOOKUP(A33,LoanLo,LoanCap))</f>
        <v>4.84</v>
      </c>
      <c r="C33" s="21" t="n">
        <f aca="false">A33*IF(A33&lt;=6,0.01,IF(A33&lt;=9,(A33*2/3-3)/100,0.03))*(1+EduAcq)</f>
        <v>0.3993</v>
      </c>
      <c r="D33" s="21" t="n">
        <f aca="false">A33*LOOKUP(A33,FeeLo,FeeR)*(1+VAT)+EtcBuy</f>
        <v>0.09986</v>
      </c>
      <c r="E33" s="24" t="n">
        <f aca="false">A33-B33+C33+D33</f>
        <v>7.75916</v>
      </c>
    </row>
    <row r="34" customFormat="false" ht="15" hidden="false" customHeight="false" outlineLevel="0" collapsed="false">
      <c r="A34" s="48" t="n">
        <f aca="false">ROUND(A33+0.1,1)</f>
        <v>12.2</v>
      </c>
      <c r="B34" s="24" t="n">
        <f aca="false">MIN(LTV*A34,LOOKUP(A34,LoanLo,LoanCap))</f>
        <v>4.88</v>
      </c>
      <c r="C34" s="21" t="n">
        <f aca="false">A34*IF(A34&lt;=6,0.01,IF(A34&lt;=9,(A34*2/3-3)/100,0.03))*(1+EduAcq)</f>
        <v>0.4026</v>
      </c>
      <c r="D34" s="21" t="n">
        <f aca="false">A34*LOOKUP(A34,FeeLo,FeeR)*(1+VAT)+EtcBuy</f>
        <v>0.10052</v>
      </c>
      <c r="E34" s="24" t="n">
        <f aca="false">A34-B34+C34+D34</f>
        <v>7.82312</v>
      </c>
    </row>
    <row r="35" customFormat="false" ht="15" hidden="false" customHeight="false" outlineLevel="0" collapsed="false">
      <c r="A35" s="48" t="n">
        <f aca="false">ROUND(A34+0.1,1)</f>
        <v>12.3</v>
      </c>
      <c r="B35" s="24" t="n">
        <f aca="false">MIN(LTV*A35,LOOKUP(A35,LoanLo,LoanCap))</f>
        <v>4.92</v>
      </c>
      <c r="C35" s="21" t="n">
        <f aca="false">A35*IF(A35&lt;=6,0.01,IF(A35&lt;=9,(A35*2/3-3)/100,0.03))*(1+EduAcq)</f>
        <v>0.4059</v>
      </c>
      <c r="D35" s="21" t="n">
        <f aca="false">A35*LOOKUP(A35,FeeLo,FeeR)*(1+VAT)+EtcBuy</f>
        <v>0.10118</v>
      </c>
      <c r="E35" s="24" t="n">
        <f aca="false">A35-B35+C35+D35</f>
        <v>7.88708</v>
      </c>
    </row>
    <row r="36" customFormat="false" ht="15" hidden="false" customHeight="false" outlineLevel="0" collapsed="false">
      <c r="A36" s="48" t="n">
        <f aca="false">ROUND(A35+0.1,1)</f>
        <v>12.4</v>
      </c>
      <c r="B36" s="24" t="n">
        <f aca="false">MIN(LTV*A36,LOOKUP(A36,LoanLo,LoanCap))</f>
        <v>4.96</v>
      </c>
      <c r="C36" s="21" t="n">
        <f aca="false">A36*IF(A36&lt;=6,0.01,IF(A36&lt;=9,(A36*2/3-3)/100,0.03))*(1+EduAcq)</f>
        <v>0.4092</v>
      </c>
      <c r="D36" s="21" t="n">
        <f aca="false">A36*LOOKUP(A36,FeeLo,FeeR)*(1+VAT)+EtcBuy</f>
        <v>0.10184</v>
      </c>
      <c r="E36" s="24" t="n">
        <f aca="false">A36-B36+C36+D36</f>
        <v>7.95104</v>
      </c>
    </row>
    <row r="37" customFormat="false" ht="15" hidden="false" customHeight="false" outlineLevel="0" collapsed="false">
      <c r="A37" s="48" t="n">
        <f aca="false">ROUND(A36+0.1,1)</f>
        <v>12.5</v>
      </c>
      <c r="B37" s="24" t="n">
        <f aca="false">MIN(LTV*A37,LOOKUP(A37,LoanLo,LoanCap))</f>
        <v>5</v>
      </c>
      <c r="C37" s="21" t="n">
        <f aca="false">A37*IF(A37&lt;=6,0.01,IF(A37&lt;=9,(A37*2/3-3)/100,0.03))*(1+EduAcq)</f>
        <v>0.4125</v>
      </c>
      <c r="D37" s="21" t="n">
        <f aca="false">A37*LOOKUP(A37,FeeLo,FeeR)*(1+VAT)+EtcBuy</f>
        <v>0.1025</v>
      </c>
      <c r="E37" s="24" t="n">
        <f aca="false">A37-B37+C37+D37</f>
        <v>8.015</v>
      </c>
    </row>
    <row r="38" customFormat="false" ht="15" hidden="false" customHeight="false" outlineLevel="0" collapsed="false">
      <c r="A38" s="48" t="n">
        <f aca="false">ROUND(A37+0.1,1)</f>
        <v>12.6</v>
      </c>
      <c r="B38" s="24" t="n">
        <f aca="false">MIN(LTV*A38,LOOKUP(A38,LoanLo,LoanCap))</f>
        <v>5.04</v>
      </c>
      <c r="C38" s="21" t="n">
        <f aca="false">A38*IF(A38&lt;=6,0.01,IF(A38&lt;=9,(A38*2/3-3)/100,0.03))*(1+EduAcq)</f>
        <v>0.4158</v>
      </c>
      <c r="D38" s="21" t="n">
        <f aca="false">A38*LOOKUP(A38,FeeLo,FeeR)*(1+VAT)+EtcBuy</f>
        <v>0.10316</v>
      </c>
      <c r="E38" s="24" t="n">
        <f aca="false">A38-B38+C38+D38</f>
        <v>8.07896</v>
      </c>
    </row>
    <row r="39" customFormat="false" ht="15" hidden="false" customHeight="false" outlineLevel="0" collapsed="false">
      <c r="A39" s="48" t="n">
        <f aca="false">ROUND(A38+0.1,1)</f>
        <v>12.7</v>
      </c>
      <c r="B39" s="24" t="n">
        <f aca="false">MIN(LTV*A39,LOOKUP(A39,LoanLo,LoanCap))</f>
        <v>5.08</v>
      </c>
      <c r="C39" s="21" t="n">
        <f aca="false">A39*IF(A39&lt;=6,0.01,IF(A39&lt;=9,(A39*2/3-3)/100,0.03))*(1+EduAcq)</f>
        <v>0.4191</v>
      </c>
      <c r="D39" s="21" t="n">
        <f aca="false">A39*LOOKUP(A39,FeeLo,FeeR)*(1+VAT)+EtcBuy</f>
        <v>0.10382</v>
      </c>
      <c r="E39" s="24" t="n">
        <f aca="false">A39-B39+C39+D39</f>
        <v>8.14292</v>
      </c>
    </row>
    <row r="40" customFormat="false" ht="15" hidden="false" customHeight="false" outlineLevel="0" collapsed="false">
      <c r="A40" s="48" t="n">
        <f aca="false">ROUND(A39+0.1,1)</f>
        <v>12.8</v>
      </c>
      <c r="B40" s="24" t="n">
        <f aca="false">MIN(LTV*A40,LOOKUP(A40,LoanLo,LoanCap))</f>
        <v>5.12</v>
      </c>
      <c r="C40" s="21" t="n">
        <f aca="false">A40*IF(A40&lt;=6,0.01,IF(A40&lt;=9,(A40*2/3-3)/100,0.03))*(1+EduAcq)</f>
        <v>0.4224</v>
      </c>
      <c r="D40" s="21" t="n">
        <f aca="false">A40*LOOKUP(A40,FeeLo,FeeR)*(1+VAT)+EtcBuy</f>
        <v>0.10448</v>
      </c>
      <c r="E40" s="24" t="n">
        <f aca="false">A40-B40+C40+D40</f>
        <v>8.20688</v>
      </c>
    </row>
    <row r="41" customFormat="false" ht="15" hidden="false" customHeight="false" outlineLevel="0" collapsed="false">
      <c r="A41" s="48" t="n">
        <f aca="false">ROUND(A40+0.1,1)</f>
        <v>12.9</v>
      </c>
      <c r="B41" s="24" t="n">
        <f aca="false">MIN(LTV*A41,LOOKUP(A41,LoanLo,LoanCap))</f>
        <v>5.16</v>
      </c>
      <c r="C41" s="21" t="n">
        <f aca="false">A41*IF(A41&lt;=6,0.01,IF(A41&lt;=9,(A41*2/3-3)/100,0.03))*(1+EduAcq)</f>
        <v>0.4257</v>
      </c>
      <c r="D41" s="21" t="n">
        <f aca="false">A41*LOOKUP(A41,FeeLo,FeeR)*(1+VAT)+EtcBuy</f>
        <v>0.10514</v>
      </c>
      <c r="E41" s="24" t="n">
        <f aca="false">A41-B41+C41+D41</f>
        <v>8.27084</v>
      </c>
    </row>
    <row r="42" customFormat="false" ht="15" hidden="false" customHeight="false" outlineLevel="0" collapsed="false">
      <c r="A42" s="48" t="n">
        <f aca="false">ROUND(A41+0.1,1)</f>
        <v>13</v>
      </c>
      <c r="B42" s="24" t="n">
        <f aca="false">MIN(LTV*A42,LOOKUP(A42,LoanLo,LoanCap))</f>
        <v>5.2</v>
      </c>
      <c r="C42" s="21" t="n">
        <f aca="false">A42*IF(A42&lt;=6,0.01,IF(A42&lt;=9,(A42*2/3-3)/100,0.03))*(1+EduAcq)</f>
        <v>0.429</v>
      </c>
      <c r="D42" s="21" t="n">
        <f aca="false">A42*LOOKUP(A42,FeeLo,FeeR)*(1+VAT)+EtcBuy</f>
        <v>0.1058</v>
      </c>
      <c r="E42" s="24" t="n">
        <f aca="false">A42-B42+C42+D42</f>
        <v>8.3348</v>
      </c>
    </row>
    <row r="43" customFormat="false" ht="15" hidden="false" customHeight="false" outlineLevel="0" collapsed="false">
      <c r="A43" s="48" t="n">
        <f aca="false">ROUND(A42+0.1,1)</f>
        <v>13.1</v>
      </c>
      <c r="B43" s="24" t="n">
        <f aca="false">MIN(LTV*A43,LOOKUP(A43,LoanLo,LoanCap))</f>
        <v>5.24</v>
      </c>
      <c r="C43" s="21" t="n">
        <f aca="false">A43*IF(A43&lt;=6,0.01,IF(A43&lt;=9,(A43*2/3-3)/100,0.03))*(1+EduAcq)</f>
        <v>0.4323</v>
      </c>
      <c r="D43" s="21" t="n">
        <f aca="false">A43*LOOKUP(A43,FeeLo,FeeR)*(1+VAT)+EtcBuy</f>
        <v>0.10646</v>
      </c>
      <c r="E43" s="24" t="n">
        <f aca="false">A43-B43+C43+D43</f>
        <v>8.39876</v>
      </c>
    </row>
    <row r="44" customFormat="false" ht="15" hidden="false" customHeight="false" outlineLevel="0" collapsed="false">
      <c r="A44" s="48" t="n">
        <f aca="false">ROUND(A43+0.1,1)</f>
        <v>13.2</v>
      </c>
      <c r="B44" s="24" t="n">
        <f aca="false">MIN(LTV*A44,LOOKUP(A44,LoanLo,LoanCap))</f>
        <v>5.28</v>
      </c>
      <c r="C44" s="21" t="n">
        <f aca="false">A44*IF(A44&lt;=6,0.01,IF(A44&lt;=9,(A44*2/3-3)/100,0.03))*(1+EduAcq)</f>
        <v>0.4356</v>
      </c>
      <c r="D44" s="21" t="n">
        <f aca="false">A44*LOOKUP(A44,FeeLo,FeeR)*(1+VAT)+EtcBuy</f>
        <v>0.10712</v>
      </c>
      <c r="E44" s="24" t="n">
        <f aca="false">A44-B44+C44+D44</f>
        <v>8.46272</v>
      </c>
    </row>
    <row r="45" customFormat="false" ht="15" hidden="false" customHeight="false" outlineLevel="0" collapsed="false">
      <c r="A45" s="48" t="n">
        <f aca="false">ROUND(A44+0.1,1)</f>
        <v>13.3</v>
      </c>
      <c r="B45" s="24" t="n">
        <f aca="false">MIN(LTV*A45,LOOKUP(A45,LoanLo,LoanCap))</f>
        <v>5.32</v>
      </c>
      <c r="C45" s="21" t="n">
        <f aca="false">A45*IF(A45&lt;=6,0.01,IF(A45&lt;=9,(A45*2/3-3)/100,0.03))*(1+EduAcq)</f>
        <v>0.4389</v>
      </c>
      <c r="D45" s="21" t="n">
        <f aca="false">A45*LOOKUP(A45,FeeLo,FeeR)*(1+VAT)+EtcBuy</f>
        <v>0.10778</v>
      </c>
      <c r="E45" s="24" t="n">
        <f aca="false">A45-B45+C45+D45</f>
        <v>8.52668</v>
      </c>
    </row>
    <row r="46" customFormat="false" ht="15" hidden="false" customHeight="false" outlineLevel="0" collapsed="false">
      <c r="A46" s="48" t="n">
        <f aca="false">ROUND(A45+0.1,1)</f>
        <v>13.4</v>
      </c>
      <c r="B46" s="24" t="n">
        <f aca="false">MIN(LTV*A46,LOOKUP(A46,LoanLo,LoanCap))</f>
        <v>5.36</v>
      </c>
      <c r="C46" s="21" t="n">
        <f aca="false">A46*IF(A46&lt;=6,0.01,IF(A46&lt;=9,(A46*2/3-3)/100,0.03))*(1+EduAcq)</f>
        <v>0.4422</v>
      </c>
      <c r="D46" s="21" t="n">
        <f aca="false">A46*LOOKUP(A46,FeeLo,FeeR)*(1+VAT)+EtcBuy</f>
        <v>0.10844</v>
      </c>
      <c r="E46" s="24" t="n">
        <f aca="false">A46-B46+C46+D46</f>
        <v>8.59064</v>
      </c>
    </row>
    <row r="47" customFormat="false" ht="15" hidden="false" customHeight="false" outlineLevel="0" collapsed="false">
      <c r="A47" s="48" t="n">
        <f aca="false">ROUND(A46+0.1,1)</f>
        <v>13.5</v>
      </c>
      <c r="B47" s="24" t="n">
        <f aca="false">MIN(LTV*A47,LOOKUP(A47,LoanLo,LoanCap))</f>
        <v>5.4</v>
      </c>
      <c r="C47" s="21" t="n">
        <f aca="false">A47*IF(A47&lt;=6,0.01,IF(A47&lt;=9,(A47*2/3-3)/100,0.03))*(1+EduAcq)</f>
        <v>0.4455</v>
      </c>
      <c r="D47" s="21" t="n">
        <f aca="false">A47*LOOKUP(A47,FeeLo,FeeR)*(1+VAT)+EtcBuy</f>
        <v>0.1091</v>
      </c>
      <c r="E47" s="24" t="n">
        <f aca="false">A47-B47+C47+D47</f>
        <v>8.6546</v>
      </c>
    </row>
    <row r="48" customFormat="false" ht="15" hidden="false" customHeight="false" outlineLevel="0" collapsed="false">
      <c r="A48" s="48" t="n">
        <f aca="false">ROUND(A47+0.1,1)</f>
        <v>13.6</v>
      </c>
      <c r="B48" s="24" t="n">
        <f aca="false">MIN(LTV*A48,LOOKUP(A48,LoanLo,LoanCap))</f>
        <v>5.44</v>
      </c>
      <c r="C48" s="21" t="n">
        <f aca="false">A48*IF(A48&lt;=6,0.01,IF(A48&lt;=9,(A48*2/3-3)/100,0.03))*(1+EduAcq)</f>
        <v>0.4488</v>
      </c>
      <c r="D48" s="21" t="n">
        <f aca="false">A48*LOOKUP(A48,FeeLo,FeeR)*(1+VAT)+EtcBuy</f>
        <v>0.10976</v>
      </c>
      <c r="E48" s="24" t="n">
        <f aca="false">A48-B48+C48+D48</f>
        <v>8.71856</v>
      </c>
    </row>
    <row r="49" customFormat="false" ht="15" hidden="false" customHeight="false" outlineLevel="0" collapsed="false">
      <c r="A49" s="48" t="n">
        <f aca="false">ROUND(A48+0.1,1)</f>
        <v>13.7</v>
      </c>
      <c r="B49" s="24" t="n">
        <f aca="false">MIN(LTV*A49,LOOKUP(A49,LoanLo,LoanCap))</f>
        <v>5.48</v>
      </c>
      <c r="C49" s="21" t="n">
        <f aca="false">A49*IF(A49&lt;=6,0.01,IF(A49&lt;=9,(A49*2/3-3)/100,0.03))*(1+EduAcq)</f>
        <v>0.4521</v>
      </c>
      <c r="D49" s="21" t="n">
        <f aca="false">A49*LOOKUP(A49,FeeLo,FeeR)*(1+VAT)+EtcBuy</f>
        <v>0.11042</v>
      </c>
      <c r="E49" s="24" t="n">
        <f aca="false">A49-B49+C49+D49</f>
        <v>8.78252</v>
      </c>
    </row>
    <row r="50" customFormat="false" ht="15" hidden="false" customHeight="false" outlineLevel="0" collapsed="false">
      <c r="A50" s="48" t="n">
        <f aca="false">ROUND(A49+0.1,1)</f>
        <v>13.8</v>
      </c>
      <c r="B50" s="24" t="n">
        <f aca="false">MIN(LTV*A50,LOOKUP(A50,LoanLo,LoanCap))</f>
        <v>5.52</v>
      </c>
      <c r="C50" s="21" t="n">
        <f aca="false">A50*IF(A50&lt;=6,0.01,IF(A50&lt;=9,(A50*2/3-3)/100,0.03))*(1+EduAcq)</f>
        <v>0.4554</v>
      </c>
      <c r="D50" s="21" t="n">
        <f aca="false">A50*LOOKUP(A50,FeeLo,FeeR)*(1+VAT)+EtcBuy</f>
        <v>0.11108</v>
      </c>
      <c r="E50" s="24" t="n">
        <f aca="false">A50-B50+C50+D50</f>
        <v>8.84648</v>
      </c>
    </row>
    <row r="51" customFormat="false" ht="15" hidden="false" customHeight="false" outlineLevel="0" collapsed="false">
      <c r="A51" s="48" t="n">
        <f aca="false">ROUND(A50+0.1,1)</f>
        <v>13.9</v>
      </c>
      <c r="B51" s="24" t="n">
        <f aca="false">MIN(LTV*A51,LOOKUP(A51,LoanLo,LoanCap))</f>
        <v>5.56</v>
      </c>
      <c r="C51" s="21" t="n">
        <f aca="false">A51*IF(A51&lt;=6,0.01,IF(A51&lt;=9,(A51*2/3-3)/100,0.03))*(1+EduAcq)</f>
        <v>0.4587</v>
      </c>
      <c r="D51" s="21" t="n">
        <f aca="false">A51*LOOKUP(A51,FeeLo,FeeR)*(1+VAT)+EtcBuy</f>
        <v>0.11174</v>
      </c>
      <c r="E51" s="24" t="n">
        <f aca="false">A51-B51+C51+D51</f>
        <v>8.91044</v>
      </c>
    </row>
    <row r="52" customFormat="false" ht="15" hidden="false" customHeight="false" outlineLevel="0" collapsed="false">
      <c r="A52" s="48" t="n">
        <f aca="false">ROUND(A51+0.1,1)</f>
        <v>14</v>
      </c>
      <c r="B52" s="24" t="n">
        <f aca="false">MIN(LTV*A52,LOOKUP(A52,LoanLo,LoanCap))</f>
        <v>5.6</v>
      </c>
      <c r="C52" s="21" t="n">
        <f aca="false">A52*IF(A52&lt;=6,0.01,IF(A52&lt;=9,(A52*2/3-3)/100,0.03))*(1+EduAcq)</f>
        <v>0.462</v>
      </c>
      <c r="D52" s="21" t="n">
        <f aca="false">A52*LOOKUP(A52,FeeLo,FeeR)*(1+VAT)+EtcBuy</f>
        <v>0.1124</v>
      </c>
      <c r="E52" s="24" t="n">
        <f aca="false">A52-B52+C52+D52</f>
        <v>8.9744</v>
      </c>
    </row>
    <row r="53" customFormat="false" ht="15" hidden="false" customHeight="false" outlineLevel="0" collapsed="false">
      <c r="A53" s="48" t="n">
        <f aca="false">ROUND(A52+0.1,1)</f>
        <v>14.1</v>
      </c>
      <c r="B53" s="24" t="n">
        <f aca="false">MIN(LTV*A53,LOOKUP(A53,LoanLo,LoanCap))</f>
        <v>5.64</v>
      </c>
      <c r="C53" s="21" t="n">
        <f aca="false">A53*IF(A53&lt;=6,0.01,IF(A53&lt;=9,(A53*2/3-3)/100,0.03))*(1+EduAcq)</f>
        <v>0.4653</v>
      </c>
      <c r="D53" s="21" t="n">
        <f aca="false">A53*LOOKUP(A53,FeeLo,FeeR)*(1+VAT)+EtcBuy</f>
        <v>0.11306</v>
      </c>
      <c r="E53" s="24" t="n">
        <f aca="false">A53-B53+C53+D53</f>
        <v>9.03836</v>
      </c>
    </row>
    <row r="54" customFormat="false" ht="15" hidden="false" customHeight="false" outlineLevel="0" collapsed="false">
      <c r="A54" s="48" t="n">
        <f aca="false">ROUND(A53+0.1,1)</f>
        <v>14.2</v>
      </c>
      <c r="B54" s="24" t="n">
        <f aca="false">MIN(LTV*A54,LOOKUP(A54,LoanLo,LoanCap))</f>
        <v>5.68</v>
      </c>
      <c r="C54" s="21" t="n">
        <f aca="false">A54*IF(A54&lt;=6,0.01,IF(A54&lt;=9,(A54*2/3-3)/100,0.03))*(1+EduAcq)</f>
        <v>0.4686</v>
      </c>
      <c r="D54" s="21" t="n">
        <f aca="false">A54*LOOKUP(A54,FeeLo,FeeR)*(1+VAT)+EtcBuy</f>
        <v>0.11372</v>
      </c>
      <c r="E54" s="24" t="n">
        <f aca="false">A54-B54+C54+D54</f>
        <v>9.10232</v>
      </c>
    </row>
    <row r="55" customFormat="false" ht="15" hidden="false" customHeight="false" outlineLevel="0" collapsed="false">
      <c r="A55" s="48" t="n">
        <f aca="false">ROUND(A54+0.1,1)</f>
        <v>14.3</v>
      </c>
      <c r="B55" s="24" t="n">
        <f aca="false">MIN(LTV*A55,LOOKUP(A55,LoanLo,LoanCap))</f>
        <v>5.72</v>
      </c>
      <c r="C55" s="21" t="n">
        <f aca="false">A55*IF(A55&lt;=6,0.01,IF(A55&lt;=9,(A55*2/3-3)/100,0.03))*(1+EduAcq)</f>
        <v>0.4719</v>
      </c>
      <c r="D55" s="21" t="n">
        <f aca="false">A55*LOOKUP(A55,FeeLo,FeeR)*(1+VAT)+EtcBuy</f>
        <v>0.11438</v>
      </c>
      <c r="E55" s="24" t="n">
        <f aca="false">A55-B55+C55+D55</f>
        <v>9.16628</v>
      </c>
    </row>
    <row r="56" customFormat="false" ht="15" hidden="false" customHeight="false" outlineLevel="0" collapsed="false">
      <c r="A56" s="48" t="n">
        <f aca="false">ROUND(A55+0.1,1)</f>
        <v>14.4</v>
      </c>
      <c r="B56" s="24" t="n">
        <f aca="false">MIN(LTV*A56,LOOKUP(A56,LoanLo,LoanCap))</f>
        <v>5.76</v>
      </c>
      <c r="C56" s="21" t="n">
        <f aca="false">A56*IF(A56&lt;=6,0.01,IF(A56&lt;=9,(A56*2/3-3)/100,0.03))*(1+EduAcq)</f>
        <v>0.4752</v>
      </c>
      <c r="D56" s="21" t="n">
        <f aca="false">A56*LOOKUP(A56,FeeLo,FeeR)*(1+VAT)+EtcBuy</f>
        <v>0.11504</v>
      </c>
      <c r="E56" s="24" t="n">
        <f aca="false">A56-B56+C56+D56</f>
        <v>9.23024</v>
      </c>
    </row>
    <row r="57" customFormat="false" ht="15" hidden="false" customHeight="false" outlineLevel="0" collapsed="false">
      <c r="A57" s="48" t="n">
        <f aca="false">ROUND(A56+0.1,1)</f>
        <v>14.5</v>
      </c>
      <c r="B57" s="24" t="n">
        <f aca="false">MIN(LTV*A57,LOOKUP(A57,LoanLo,LoanCap))</f>
        <v>5.8</v>
      </c>
      <c r="C57" s="21" t="n">
        <f aca="false">A57*IF(A57&lt;=6,0.01,IF(A57&lt;=9,(A57*2/3-3)/100,0.03))*(1+EduAcq)</f>
        <v>0.4785</v>
      </c>
      <c r="D57" s="21" t="n">
        <f aca="false">A57*LOOKUP(A57,FeeLo,FeeR)*(1+VAT)+EtcBuy</f>
        <v>0.1157</v>
      </c>
      <c r="E57" s="24" t="n">
        <f aca="false">A57-B57+C57+D57</f>
        <v>9.2942</v>
      </c>
    </row>
    <row r="58" customFormat="false" ht="15" hidden="false" customHeight="false" outlineLevel="0" collapsed="false">
      <c r="A58" s="48" t="n">
        <f aca="false">ROUND(A57+0.1,1)</f>
        <v>14.6</v>
      </c>
      <c r="B58" s="24" t="n">
        <f aca="false">MIN(LTV*A58,LOOKUP(A58,LoanLo,LoanCap))</f>
        <v>5.84</v>
      </c>
      <c r="C58" s="21" t="n">
        <f aca="false">A58*IF(A58&lt;=6,0.01,IF(A58&lt;=9,(A58*2/3-3)/100,0.03))*(1+EduAcq)</f>
        <v>0.4818</v>
      </c>
      <c r="D58" s="21" t="n">
        <f aca="false">A58*LOOKUP(A58,FeeLo,FeeR)*(1+VAT)+EtcBuy</f>
        <v>0.11636</v>
      </c>
      <c r="E58" s="24" t="n">
        <f aca="false">A58-B58+C58+D58</f>
        <v>9.35816</v>
      </c>
    </row>
    <row r="59" customFormat="false" ht="15" hidden="false" customHeight="false" outlineLevel="0" collapsed="false">
      <c r="A59" s="48" t="n">
        <f aca="false">ROUND(A58+0.1,1)</f>
        <v>14.7</v>
      </c>
      <c r="B59" s="24" t="n">
        <f aca="false">MIN(LTV*A59,LOOKUP(A59,LoanLo,LoanCap))</f>
        <v>5.88</v>
      </c>
      <c r="C59" s="21" t="n">
        <f aca="false">A59*IF(A59&lt;=6,0.01,IF(A59&lt;=9,(A59*2/3-3)/100,0.03))*(1+EduAcq)</f>
        <v>0.4851</v>
      </c>
      <c r="D59" s="21" t="n">
        <f aca="false">A59*LOOKUP(A59,FeeLo,FeeR)*(1+VAT)+EtcBuy</f>
        <v>0.11702</v>
      </c>
      <c r="E59" s="24" t="n">
        <f aca="false">A59-B59+C59+D59</f>
        <v>9.42212</v>
      </c>
    </row>
    <row r="60" customFormat="false" ht="15" hidden="false" customHeight="false" outlineLevel="0" collapsed="false">
      <c r="A60" s="48" t="n">
        <f aca="false">ROUND(A59+0.1,1)</f>
        <v>14.8</v>
      </c>
      <c r="B60" s="24" t="n">
        <f aca="false">MIN(LTV*A60,LOOKUP(A60,LoanLo,LoanCap))</f>
        <v>5.92</v>
      </c>
      <c r="C60" s="21" t="n">
        <f aca="false">A60*IF(A60&lt;=6,0.01,IF(A60&lt;=9,(A60*2/3-3)/100,0.03))*(1+EduAcq)</f>
        <v>0.4884</v>
      </c>
      <c r="D60" s="21" t="n">
        <f aca="false">A60*LOOKUP(A60,FeeLo,FeeR)*(1+VAT)+EtcBuy</f>
        <v>0.11768</v>
      </c>
      <c r="E60" s="24" t="n">
        <f aca="false">A60-B60+C60+D60</f>
        <v>9.48608</v>
      </c>
    </row>
    <row r="61" customFormat="false" ht="15" hidden="false" customHeight="false" outlineLevel="0" collapsed="false">
      <c r="A61" s="48" t="n">
        <f aca="false">ROUND(A60+0.1,1)</f>
        <v>14.9</v>
      </c>
      <c r="B61" s="24" t="n">
        <f aca="false">MIN(LTV*A61,LOOKUP(A61,LoanLo,LoanCap))</f>
        <v>5.96</v>
      </c>
      <c r="C61" s="21" t="n">
        <f aca="false">A61*IF(A61&lt;=6,0.01,IF(A61&lt;=9,(A61*2/3-3)/100,0.03))*(1+EduAcq)</f>
        <v>0.4917</v>
      </c>
      <c r="D61" s="21" t="n">
        <f aca="false">A61*LOOKUP(A61,FeeLo,FeeR)*(1+VAT)+EtcBuy</f>
        <v>0.11834</v>
      </c>
      <c r="E61" s="24" t="n">
        <f aca="false">A61-B61+C61+D61</f>
        <v>9.55004</v>
      </c>
    </row>
    <row r="62" customFormat="false" ht="15" hidden="false" customHeight="false" outlineLevel="0" collapsed="false">
      <c r="A62" s="48" t="n">
        <f aca="false">ROUND(A61+0.1,1)</f>
        <v>15</v>
      </c>
      <c r="B62" s="24" t="n">
        <f aca="false">MIN(LTV*A62,LOOKUP(A62,LoanLo,LoanCap))</f>
        <v>6</v>
      </c>
      <c r="C62" s="21" t="n">
        <f aca="false">A62*IF(A62&lt;=6,0.01,IF(A62&lt;=9,(A62*2/3-3)/100,0.03))*(1+EduAcq)</f>
        <v>0.495</v>
      </c>
      <c r="D62" s="21" t="n">
        <f aca="false">A62*LOOKUP(A62,FeeLo,FeeR)*(1+VAT)+EtcBuy</f>
        <v>0.1355</v>
      </c>
      <c r="E62" s="24" t="n">
        <f aca="false">A62-B62+C62+D62</f>
        <v>9.6305</v>
      </c>
    </row>
    <row r="63" customFormat="false" ht="15" hidden="false" customHeight="false" outlineLevel="0" collapsed="false">
      <c r="A63" s="48" t="n">
        <f aca="false">ROUND(A62+0.1,1)</f>
        <v>15.1</v>
      </c>
      <c r="B63" s="24" t="n">
        <f aca="false">MIN(LTV*A63,LOOKUP(A63,LoanLo,LoanCap))</f>
        <v>4</v>
      </c>
      <c r="C63" s="21" t="n">
        <f aca="false">A63*IF(A63&lt;=6,0.01,IF(A63&lt;=9,(A63*2/3-3)/100,0.03))*(1+EduAcq)</f>
        <v>0.4983</v>
      </c>
      <c r="D63" s="21" t="n">
        <f aca="false">A63*LOOKUP(A63,FeeLo,FeeR)*(1+VAT)+EtcBuy</f>
        <v>0.13627</v>
      </c>
      <c r="E63" s="24" t="n">
        <f aca="false">A63-B63+C63+D63</f>
        <v>11.73457</v>
      </c>
    </row>
    <row r="64" customFormat="false" ht="15" hidden="false" customHeight="false" outlineLevel="0" collapsed="false">
      <c r="A64" s="48" t="n">
        <f aca="false">ROUND(A63+0.1,1)</f>
        <v>15.2</v>
      </c>
      <c r="B64" s="24" t="n">
        <f aca="false">MIN(LTV*A64,LOOKUP(A64,LoanLo,LoanCap))</f>
        <v>4</v>
      </c>
      <c r="C64" s="21" t="n">
        <f aca="false">A64*IF(A64&lt;=6,0.01,IF(A64&lt;=9,(A64*2/3-3)/100,0.03))*(1+EduAcq)</f>
        <v>0.5016</v>
      </c>
      <c r="D64" s="21" t="n">
        <f aca="false">A64*LOOKUP(A64,FeeLo,FeeR)*(1+VAT)+EtcBuy</f>
        <v>0.13704</v>
      </c>
      <c r="E64" s="24" t="n">
        <f aca="false">A64-B64+C64+D64</f>
        <v>11.83864</v>
      </c>
    </row>
    <row r="65" customFormat="false" ht="15" hidden="false" customHeight="false" outlineLevel="0" collapsed="false">
      <c r="A65" s="48" t="n">
        <f aca="false">ROUND(A64+0.1,1)</f>
        <v>15.3</v>
      </c>
      <c r="B65" s="24" t="n">
        <f aca="false">MIN(LTV*A65,LOOKUP(A65,LoanLo,LoanCap))</f>
        <v>4</v>
      </c>
      <c r="C65" s="21" t="n">
        <f aca="false">A65*IF(A65&lt;=6,0.01,IF(A65&lt;=9,(A65*2/3-3)/100,0.03))*(1+EduAcq)</f>
        <v>0.5049</v>
      </c>
      <c r="D65" s="21" t="n">
        <f aca="false">A65*LOOKUP(A65,FeeLo,FeeR)*(1+VAT)+EtcBuy</f>
        <v>0.13781</v>
      </c>
      <c r="E65" s="24" t="n">
        <f aca="false">A65-B65+C65+D65</f>
        <v>11.94271</v>
      </c>
    </row>
    <row r="66" customFormat="false" ht="15" hidden="false" customHeight="false" outlineLevel="0" collapsed="false">
      <c r="A66" s="48" t="n">
        <f aca="false">ROUND(A65+0.1,1)</f>
        <v>15.4</v>
      </c>
      <c r="B66" s="24" t="n">
        <f aca="false">MIN(LTV*A66,LOOKUP(A66,LoanLo,LoanCap))</f>
        <v>4</v>
      </c>
      <c r="C66" s="21" t="n">
        <f aca="false">A66*IF(A66&lt;=6,0.01,IF(A66&lt;=9,(A66*2/3-3)/100,0.03))*(1+EduAcq)</f>
        <v>0.5082</v>
      </c>
      <c r="D66" s="21" t="n">
        <f aca="false">A66*LOOKUP(A66,FeeLo,FeeR)*(1+VAT)+EtcBuy</f>
        <v>0.13858</v>
      </c>
      <c r="E66" s="24" t="n">
        <f aca="false">A66-B66+C66+D66</f>
        <v>12.04678</v>
      </c>
    </row>
    <row r="67" customFormat="false" ht="15" hidden="false" customHeight="false" outlineLevel="0" collapsed="false">
      <c r="A67" s="48" t="n">
        <f aca="false">ROUND(A66+0.1,1)</f>
        <v>15.5</v>
      </c>
      <c r="B67" s="24" t="n">
        <f aca="false">MIN(LTV*A67,LOOKUP(A67,LoanLo,LoanCap))</f>
        <v>4</v>
      </c>
      <c r="C67" s="21" t="n">
        <f aca="false">A67*IF(A67&lt;=6,0.01,IF(A67&lt;=9,(A67*2/3-3)/100,0.03))*(1+EduAcq)</f>
        <v>0.5115</v>
      </c>
      <c r="D67" s="21" t="n">
        <f aca="false">A67*LOOKUP(A67,FeeLo,FeeR)*(1+VAT)+EtcBuy</f>
        <v>0.13935</v>
      </c>
      <c r="E67" s="24" t="n">
        <f aca="false">A67-B67+C67+D67</f>
        <v>12.15085</v>
      </c>
    </row>
    <row r="68" customFormat="false" ht="15" hidden="false" customHeight="false" outlineLevel="0" collapsed="false">
      <c r="A68" s="48" t="n">
        <f aca="false">ROUND(A67+0.1,1)</f>
        <v>15.6</v>
      </c>
      <c r="B68" s="24" t="n">
        <f aca="false">MIN(LTV*A68,LOOKUP(A68,LoanLo,LoanCap))</f>
        <v>4</v>
      </c>
      <c r="C68" s="21" t="n">
        <f aca="false">A68*IF(A68&lt;=6,0.01,IF(A68&lt;=9,(A68*2/3-3)/100,0.03))*(1+EduAcq)</f>
        <v>0.5148</v>
      </c>
      <c r="D68" s="21" t="n">
        <f aca="false">A68*LOOKUP(A68,FeeLo,FeeR)*(1+VAT)+EtcBuy</f>
        <v>0.14012</v>
      </c>
      <c r="E68" s="24" t="n">
        <f aca="false">A68-B68+C68+D68</f>
        <v>12.25492</v>
      </c>
    </row>
    <row r="69" customFormat="false" ht="15" hidden="false" customHeight="false" outlineLevel="0" collapsed="false">
      <c r="A69" s="48" t="n">
        <f aca="false">ROUND(A68+0.1,1)</f>
        <v>15.7</v>
      </c>
      <c r="B69" s="24" t="n">
        <f aca="false">MIN(LTV*A69,LOOKUP(A69,LoanLo,LoanCap))</f>
        <v>4</v>
      </c>
      <c r="C69" s="21" t="n">
        <f aca="false">A69*IF(A69&lt;=6,0.01,IF(A69&lt;=9,(A69*2/3-3)/100,0.03))*(1+EduAcq)</f>
        <v>0.5181</v>
      </c>
      <c r="D69" s="21" t="n">
        <f aca="false">A69*LOOKUP(A69,FeeLo,FeeR)*(1+VAT)+EtcBuy</f>
        <v>0.14089</v>
      </c>
      <c r="E69" s="24" t="n">
        <f aca="false">A69-B69+C69+D69</f>
        <v>12.35899</v>
      </c>
    </row>
    <row r="70" customFormat="false" ht="15" hidden="false" customHeight="false" outlineLevel="0" collapsed="false">
      <c r="A70" s="48" t="n">
        <f aca="false">ROUND(A69+0.1,1)</f>
        <v>15.8</v>
      </c>
      <c r="B70" s="24" t="n">
        <f aca="false">MIN(LTV*A70,LOOKUP(A70,LoanLo,LoanCap))</f>
        <v>4</v>
      </c>
      <c r="C70" s="21" t="n">
        <f aca="false">A70*IF(A70&lt;=6,0.01,IF(A70&lt;=9,(A70*2/3-3)/100,0.03))*(1+EduAcq)</f>
        <v>0.5214</v>
      </c>
      <c r="D70" s="21" t="n">
        <f aca="false">A70*LOOKUP(A70,FeeLo,FeeR)*(1+VAT)+EtcBuy</f>
        <v>0.14166</v>
      </c>
      <c r="E70" s="24" t="n">
        <f aca="false">A70-B70+C70+D70</f>
        <v>12.46306</v>
      </c>
    </row>
    <row r="71" customFormat="false" ht="15" hidden="false" customHeight="false" outlineLevel="0" collapsed="false">
      <c r="A71" s="48" t="n">
        <f aca="false">ROUND(A70+0.1,1)</f>
        <v>15.9</v>
      </c>
      <c r="B71" s="24" t="n">
        <f aca="false">MIN(LTV*A71,LOOKUP(A71,LoanLo,LoanCap))</f>
        <v>4</v>
      </c>
      <c r="C71" s="21" t="n">
        <f aca="false">A71*IF(A71&lt;=6,0.01,IF(A71&lt;=9,(A71*2/3-3)/100,0.03))*(1+EduAcq)</f>
        <v>0.5247</v>
      </c>
      <c r="D71" s="21" t="n">
        <f aca="false">A71*LOOKUP(A71,FeeLo,FeeR)*(1+VAT)+EtcBuy</f>
        <v>0.14243</v>
      </c>
      <c r="E71" s="24" t="n">
        <f aca="false">A71-B71+C71+D71</f>
        <v>12.56713</v>
      </c>
    </row>
    <row r="72" customFormat="false" ht="15" hidden="false" customHeight="false" outlineLevel="0" collapsed="false">
      <c r="A72" s="48" t="n">
        <f aca="false">ROUND(A71+0.1,1)</f>
        <v>16</v>
      </c>
      <c r="B72" s="24" t="n">
        <f aca="false">MIN(LTV*A72,LOOKUP(A72,LoanLo,LoanCap))</f>
        <v>4</v>
      </c>
      <c r="C72" s="21" t="n">
        <f aca="false">A72*IF(A72&lt;=6,0.01,IF(A72&lt;=9,(A72*2/3-3)/100,0.03))*(1+EduAcq)</f>
        <v>0.528</v>
      </c>
      <c r="D72" s="21" t="n">
        <f aca="false">A72*LOOKUP(A72,FeeLo,FeeR)*(1+VAT)+EtcBuy</f>
        <v>0.1432</v>
      </c>
      <c r="E72" s="24" t="n">
        <f aca="false">A72-B72+C72+D72</f>
        <v>12.6712</v>
      </c>
    </row>
    <row r="73" customFormat="false" ht="15" hidden="false" customHeight="false" outlineLevel="0" collapsed="false">
      <c r="A73" s="48" t="n">
        <f aca="false">ROUND(A72+0.1,1)</f>
        <v>16.1</v>
      </c>
      <c r="B73" s="24" t="n">
        <f aca="false">MIN(LTV*A73,LOOKUP(A73,LoanLo,LoanCap))</f>
        <v>4</v>
      </c>
      <c r="C73" s="21" t="n">
        <f aca="false">A73*IF(A73&lt;=6,0.01,IF(A73&lt;=9,(A73*2/3-3)/100,0.03))*(1+EduAcq)</f>
        <v>0.5313</v>
      </c>
      <c r="D73" s="21" t="n">
        <f aca="false">A73*LOOKUP(A73,FeeLo,FeeR)*(1+VAT)+EtcBuy</f>
        <v>0.14397</v>
      </c>
      <c r="E73" s="24" t="n">
        <f aca="false">A73-B73+C73+D73</f>
        <v>12.77527</v>
      </c>
    </row>
    <row r="74" customFormat="false" ht="15" hidden="false" customHeight="false" outlineLevel="0" collapsed="false">
      <c r="A74" s="48" t="n">
        <f aca="false">ROUND(A73+0.1,1)</f>
        <v>16.2</v>
      </c>
      <c r="B74" s="24" t="n">
        <f aca="false">MIN(LTV*A74,LOOKUP(A74,LoanLo,LoanCap))</f>
        <v>4</v>
      </c>
      <c r="C74" s="21" t="n">
        <f aca="false">A74*IF(A74&lt;=6,0.01,IF(A74&lt;=9,(A74*2/3-3)/100,0.03))*(1+EduAcq)</f>
        <v>0.5346</v>
      </c>
      <c r="D74" s="21" t="n">
        <f aca="false">A74*LOOKUP(A74,FeeLo,FeeR)*(1+VAT)+EtcBuy</f>
        <v>0.14474</v>
      </c>
      <c r="E74" s="24" t="n">
        <f aca="false">A74-B74+C74+D74</f>
        <v>12.87934</v>
      </c>
    </row>
    <row r="75" customFormat="false" ht="15" hidden="false" customHeight="false" outlineLevel="0" collapsed="false">
      <c r="A75" s="48" t="n">
        <f aca="false">ROUND(A74+0.1,1)</f>
        <v>16.3</v>
      </c>
      <c r="B75" s="24" t="n">
        <f aca="false">MIN(LTV*A75,LOOKUP(A75,LoanLo,LoanCap))</f>
        <v>4</v>
      </c>
      <c r="C75" s="21" t="n">
        <f aca="false">A75*IF(A75&lt;=6,0.01,IF(A75&lt;=9,(A75*2/3-3)/100,0.03))*(1+EduAcq)</f>
        <v>0.5379</v>
      </c>
      <c r="D75" s="21" t="n">
        <f aca="false">A75*LOOKUP(A75,FeeLo,FeeR)*(1+VAT)+EtcBuy</f>
        <v>0.14551</v>
      </c>
      <c r="E75" s="24" t="n">
        <f aca="false">A75-B75+C75+D75</f>
        <v>12.98341</v>
      </c>
    </row>
    <row r="76" customFormat="false" ht="15" hidden="false" customHeight="false" outlineLevel="0" collapsed="false">
      <c r="A76" s="48" t="n">
        <f aca="false">ROUND(A75+0.1,1)</f>
        <v>16.4</v>
      </c>
      <c r="B76" s="24" t="n">
        <f aca="false">MIN(LTV*A76,LOOKUP(A76,LoanLo,LoanCap))</f>
        <v>4</v>
      </c>
      <c r="C76" s="21" t="n">
        <f aca="false">A76*IF(A76&lt;=6,0.01,IF(A76&lt;=9,(A76*2/3-3)/100,0.03))*(1+EduAcq)</f>
        <v>0.5412</v>
      </c>
      <c r="D76" s="21" t="n">
        <f aca="false">A76*LOOKUP(A76,FeeLo,FeeR)*(1+VAT)+EtcBuy</f>
        <v>0.14628</v>
      </c>
      <c r="E76" s="24" t="n">
        <f aca="false">A76-B76+C76+D76</f>
        <v>13.08748</v>
      </c>
    </row>
    <row r="77" customFormat="false" ht="15" hidden="false" customHeight="false" outlineLevel="0" collapsed="false">
      <c r="A77" s="48" t="n">
        <f aca="false">ROUND(A76+0.1,1)</f>
        <v>16.5</v>
      </c>
      <c r="B77" s="24" t="n">
        <f aca="false">MIN(LTV*A77,LOOKUP(A77,LoanLo,LoanCap))</f>
        <v>4</v>
      </c>
      <c r="C77" s="21" t="n">
        <f aca="false">A77*IF(A77&lt;=6,0.01,IF(A77&lt;=9,(A77*2/3-3)/100,0.03))*(1+EduAcq)</f>
        <v>0.5445</v>
      </c>
      <c r="D77" s="21" t="n">
        <f aca="false">A77*LOOKUP(A77,FeeLo,FeeR)*(1+VAT)+EtcBuy</f>
        <v>0.14705</v>
      </c>
      <c r="E77" s="24" t="n">
        <f aca="false">A77-B77+C77+D77</f>
        <v>13.19155</v>
      </c>
    </row>
    <row r="78" customFormat="false" ht="15" hidden="false" customHeight="false" outlineLevel="0" collapsed="false">
      <c r="A78" s="48" t="n">
        <f aca="false">ROUND(A77+0.1,1)</f>
        <v>16.6</v>
      </c>
      <c r="B78" s="24" t="n">
        <f aca="false">MIN(LTV*A78,LOOKUP(A78,LoanLo,LoanCap))</f>
        <v>4</v>
      </c>
      <c r="C78" s="21" t="n">
        <f aca="false">A78*IF(A78&lt;=6,0.01,IF(A78&lt;=9,(A78*2/3-3)/100,0.03))*(1+EduAcq)</f>
        <v>0.5478</v>
      </c>
      <c r="D78" s="21" t="n">
        <f aca="false">A78*LOOKUP(A78,FeeLo,FeeR)*(1+VAT)+EtcBuy</f>
        <v>0.14782</v>
      </c>
      <c r="E78" s="24" t="n">
        <f aca="false">A78-B78+C78+D78</f>
        <v>13.29562</v>
      </c>
    </row>
    <row r="79" customFormat="false" ht="15" hidden="false" customHeight="false" outlineLevel="0" collapsed="false">
      <c r="A79" s="48" t="n">
        <f aca="false">ROUND(A78+0.1,1)</f>
        <v>16.7</v>
      </c>
      <c r="B79" s="24" t="n">
        <f aca="false">MIN(LTV*A79,LOOKUP(A79,LoanLo,LoanCap))</f>
        <v>4</v>
      </c>
      <c r="C79" s="21" t="n">
        <f aca="false">A79*IF(A79&lt;=6,0.01,IF(A79&lt;=9,(A79*2/3-3)/100,0.03))*(1+EduAcq)</f>
        <v>0.5511</v>
      </c>
      <c r="D79" s="21" t="n">
        <f aca="false">A79*LOOKUP(A79,FeeLo,FeeR)*(1+VAT)+EtcBuy</f>
        <v>0.14859</v>
      </c>
      <c r="E79" s="24" t="n">
        <f aca="false">A79-B79+C79+D79</f>
        <v>13.39969</v>
      </c>
    </row>
    <row r="80" customFormat="false" ht="15" hidden="false" customHeight="false" outlineLevel="0" collapsed="false">
      <c r="A80" s="48" t="n">
        <f aca="false">ROUND(A79+0.1,1)</f>
        <v>16.8</v>
      </c>
      <c r="B80" s="24" t="n">
        <f aca="false">MIN(LTV*A80,LOOKUP(A80,LoanLo,LoanCap))</f>
        <v>4</v>
      </c>
      <c r="C80" s="21" t="n">
        <f aca="false">A80*IF(A80&lt;=6,0.01,IF(A80&lt;=9,(A80*2/3-3)/100,0.03))*(1+EduAcq)</f>
        <v>0.5544</v>
      </c>
      <c r="D80" s="21" t="n">
        <f aca="false">A80*LOOKUP(A80,FeeLo,FeeR)*(1+VAT)+EtcBuy</f>
        <v>0.14936</v>
      </c>
      <c r="E80" s="24" t="n">
        <f aca="false">A80-B80+C80+D80</f>
        <v>13.50376</v>
      </c>
    </row>
    <row r="81" customFormat="false" ht="15" hidden="false" customHeight="false" outlineLevel="0" collapsed="false">
      <c r="A81" s="48" t="n">
        <f aca="false">ROUND(A80+0.1,1)</f>
        <v>16.9</v>
      </c>
      <c r="B81" s="24" t="n">
        <f aca="false">MIN(LTV*A81,LOOKUP(A81,LoanLo,LoanCap))</f>
        <v>4</v>
      </c>
      <c r="C81" s="21" t="n">
        <f aca="false">A81*IF(A81&lt;=6,0.01,IF(A81&lt;=9,(A81*2/3-3)/100,0.03))*(1+EduAcq)</f>
        <v>0.5577</v>
      </c>
      <c r="D81" s="21" t="n">
        <f aca="false">A81*LOOKUP(A81,FeeLo,FeeR)*(1+VAT)+EtcBuy</f>
        <v>0.15013</v>
      </c>
      <c r="E81" s="24" t="n">
        <f aca="false">A81-B81+C81+D81</f>
        <v>13.60783</v>
      </c>
    </row>
    <row r="82" customFormat="false" ht="15" hidden="false" customHeight="false" outlineLevel="0" collapsed="false">
      <c r="A82" s="48" t="n">
        <f aca="false">ROUND(A81+0.1,1)</f>
        <v>17</v>
      </c>
      <c r="B82" s="24" t="n">
        <f aca="false">MIN(LTV*A82,LOOKUP(A82,LoanLo,LoanCap))</f>
        <v>4</v>
      </c>
      <c r="C82" s="21" t="n">
        <f aca="false">A82*IF(A82&lt;=6,0.01,IF(A82&lt;=9,(A82*2/3-3)/100,0.03))*(1+EduAcq)</f>
        <v>0.561</v>
      </c>
      <c r="D82" s="21" t="n">
        <f aca="false">A82*LOOKUP(A82,FeeLo,FeeR)*(1+VAT)+EtcBuy</f>
        <v>0.1509</v>
      </c>
      <c r="E82" s="24" t="n">
        <f aca="false">A82-B82+C82+D82</f>
        <v>13.7119</v>
      </c>
    </row>
    <row r="83" customFormat="false" ht="15" hidden="false" customHeight="false" outlineLevel="0" collapsed="false">
      <c r="A83" s="48" t="n">
        <f aca="false">ROUND(A82+0.1,1)</f>
        <v>17.1</v>
      </c>
      <c r="B83" s="24" t="n">
        <f aca="false">MIN(LTV*A83,LOOKUP(A83,LoanLo,LoanCap))</f>
        <v>4</v>
      </c>
      <c r="C83" s="21" t="n">
        <f aca="false">A83*IF(A83&lt;=6,0.01,IF(A83&lt;=9,(A83*2/3-3)/100,0.03))*(1+EduAcq)</f>
        <v>0.5643</v>
      </c>
      <c r="D83" s="21" t="n">
        <f aca="false">A83*LOOKUP(A83,FeeLo,FeeR)*(1+VAT)+EtcBuy</f>
        <v>0.15167</v>
      </c>
      <c r="E83" s="24" t="n">
        <f aca="false">A83-B83+C83+D83</f>
        <v>13.81597</v>
      </c>
    </row>
    <row r="84" customFormat="false" ht="15" hidden="false" customHeight="false" outlineLevel="0" collapsed="false">
      <c r="A84" s="48" t="n">
        <f aca="false">ROUND(A83+0.1,1)</f>
        <v>17.2</v>
      </c>
      <c r="B84" s="24" t="n">
        <f aca="false">MIN(LTV*A84,LOOKUP(A84,LoanLo,LoanCap))</f>
        <v>4</v>
      </c>
      <c r="C84" s="21" t="n">
        <f aca="false">A84*IF(A84&lt;=6,0.01,IF(A84&lt;=9,(A84*2/3-3)/100,0.03))*(1+EduAcq)</f>
        <v>0.5676</v>
      </c>
      <c r="D84" s="21" t="n">
        <f aca="false">A84*LOOKUP(A84,FeeLo,FeeR)*(1+VAT)+EtcBuy</f>
        <v>0.15244</v>
      </c>
      <c r="E84" s="24" t="n">
        <f aca="false">A84-B84+C84+D84</f>
        <v>13.92004</v>
      </c>
    </row>
    <row r="85" customFormat="false" ht="15" hidden="false" customHeight="false" outlineLevel="0" collapsed="false">
      <c r="A85" s="48" t="n">
        <f aca="false">ROUND(A84+0.1,1)</f>
        <v>17.3</v>
      </c>
      <c r="B85" s="24" t="n">
        <f aca="false">MIN(LTV*A85,LOOKUP(A85,LoanLo,LoanCap))</f>
        <v>4</v>
      </c>
      <c r="C85" s="21" t="n">
        <f aca="false">A85*IF(A85&lt;=6,0.01,IF(A85&lt;=9,(A85*2/3-3)/100,0.03))*(1+EduAcq)</f>
        <v>0.5709</v>
      </c>
      <c r="D85" s="21" t="n">
        <f aca="false">A85*LOOKUP(A85,FeeLo,FeeR)*(1+VAT)+EtcBuy</f>
        <v>0.15321</v>
      </c>
      <c r="E85" s="24" t="n">
        <f aca="false">A85-B85+C85+D85</f>
        <v>14.02411</v>
      </c>
    </row>
    <row r="86" customFormat="false" ht="15" hidden="false" customHeight="false" outlineLevel="0" collapsed="false">
      <c r="A86" s="48" t="n">
        <f aca="false">ROUND(A85+0.1,1)</f>
        <v>17.4</v>
      </c>
      <c r="B86" s="24" t="n">
        <f aca="false">MIN(LTV*A86,LOOKUP(A86,LoanLo,LoanCap))</f>
        <v>4</v>
      </c>
      <c r="C86" s="21" t="n">
        <f aca="false">A86*IF(A86&lt;=6,0.01,IF(A86&lt;=9,(A86*2/3-3)/100,0.03))*(1+EduAcq)</f>
        <v>0.5742</v>
      </c>
      <c r="D86" s="21" t="n">
        <f aca="false">A86*LOOKUP(A86,FeeLo,FeeR)*(1+VAT)+EtcBuy</f>
        <v>0.15398</v>
      </c>
      <c r="E86" s="24" t="n">
        <f aca="false">A86-B86+C86+D86</f>
        <v>14.12818</v>
      </c>
    </row>
    <row r="87" customFormat="false" ht="15" hidden="false" customHeight="false" outlineLevel="0" collapsed="false">
      <c r="A87" s="48" t="n">
        <f aca="false">ROUND(A86+0.1,1)</f>
        <v>17.5</v>
      </c>
      <c r="B87" s="24" t="n">
        <f aca="false">MIN(LTV*A87,LOOKUP(A87,LoanLo,LoanCap))</f>
        <v>4</v>
      </c>
      <c r="C87" s="21" t="n">
        <f aca="false">A87*IF(A87&lt;=6,0.01,IF(A87&lt;=9,(A87*2/3-3)/100,0.03))*(1+EduAcq)</f>
        <v>0.5775</v>
      </c>
      <c r="D87" s="21" t="n">
        <f aca="false">A87*LOOKUP(A87,FeeLo,FeeR)*(1+VAT)+EtcBuy</f>
        <v>0.15475</v>
      </c>
      <c r="E87" s="24" t="n">
        <f aca="false">A87-B87+C87+D87</f>
        <v>14.23225</v>
      </c>
    </row>
    <row r="88" customFormat="false" ht="15" hidden="false" customHeight="false" outlineLevel="0" collapsed="false">
      <c r="A88" s="48" t="n">
        <f aca="false">ROUND(A87+0.1,1)</f>
        <v>17.6</v>
      </c>
      <c r="B88" s="24" t="n">
        <f aca="false">MIN(LTV*A88,LOOKUP(A88,LoanLo,LoanCap))</f>
        <v>4</v>
      </c>
      <c r="C88" s="21" t="n">
        <f aca="false">A88*IF(A88&lt;=6,0.01,IF(A88&lt;=9,(A88*2/3-3)/100,0.03))*(1+EduAcq)</f>
        <v>0.5808</v>
      </c>
      <c r="D88" s="21" t="n">
        <f aca="false">A88*LOOKUP(A88,FeeLo,FeeR)*(1+VAT)+EtcBuy</f>
        <v>0.15552</v>
      </c>
      <c r="E88" s="24" t="n">
        <f aca="false">A88-B88+C88+D88</f>
        <v>14.33632</v>
      </c>
    </row>
    <row r="89" customFormat="false" ht="15" hidden="false" customHeight="false" outlineLevel="0" collapsed="false">
      <c r="A89" s="48" t="n">
        <f aca="false">ROUND(A88+0.1,1)</f>
        <v>17.7</v>
      </c>
      <c r="B89" s="24" t="n">
        <f aca="false">MIN(LTV*A89,LOOKUP(A89,LoanLo,LoanCap))</f>
        <v>4</v>
      </c>
      <c r="C89" s="21" t="n">
        <f aca="false">A89*IF(A89&lt;=6,0.01,IF(A89&lt;=9,(A89*2/3-3)/100,0.03))*(1+EduAcq)</f>
        <v>0.5841</v>
      </c>
      <c r="D89" s="21" t="n">
        <f aca="false">A89*LOOKUP(A89,FeeLo,FeeR)*(1+VAT)+EtcBuy</f>
        <v>0.15629</v>
      </c>
      <c r="E89" s="24" t="n">
        <f aca="false">A89-B89+C89+D89</f>
        <v>14.44039</v>
      </c>
    </row>
    <row r="90" customFormat="false" ht="15" hidden="false" customHeight="false" outlineLevel="0" collapsed="false">
      <c r="A90" s="48" t="n">
        <f aca="false">ROUND(A89+0.1,1)</f>
        <v>17.8</v>
      </c>
      <c r="B90" s="24" t="n">
        <f aca="false">MIN(LTV*A90,LOOKUP(A90,LoanLo,LoanCap))</f>
        <v>4</v>
      </c>
      <c r="C90" s="21" t="n">
        <f aca="false">A90*IF(A90&lt;=6,0.01,IF(A90&lt;=9,(A90*2/3-3)/100,0.03))*(1+EduAcq)</f>
        <v>0.5874</v>
      </c>
      <c r="D90" s="21" t="n">
        <f aca="false">A90*LOOKUP(A90,FeeLo,FeeR)*(1+VAT)+EtcBuy</f>
        <v>0.15706</v>
      </c>
      <c r="E90" s="24" t="n">
        <f aca="false">A90-B90+C90+D90</f>
        <v>14.54446</v>
      </c>
    </row>
    <row r="91" customFormat="false" ht="15" hidden="false" customHeight="false" outlineLevel="0" collapsed="false">
      <c r="A91" s="48" t="n">
        <f aca="false">ROUND(A90+0.1,1)</f>
        <v>17.9</v>
      </c>
      <c r="B91" s="24" t="n">
        <f aca="false">MIN(LTV*A91,LOOKUP(A91,LoanLo,LoanCap))</f>
        <v>4</v>
      </c>
      <c r="C91" s="21" t="n">
        <f aca="false">A91*IF(A91&lt;=6,0.01,IF(A91&lt;=9,(A91*2/3-3)/100,0.03))*(1+EduAcq)</f>
        <v>0.5907</v>
      </c>
      <c r="D91" s="21" t="n">
        <f aca="false">A91*LOOKUP(A91,FeeLo,FeeR)*(1+VAT)+EtcBuy</f>
        <v>0.15783</v>
      </c>
      <c r="E91" s="24" t="n">
        <f aca="false">A91-B91+C91+D91</f>
        <v>14.64853</v>
      </c>
    </row>
    <row r="92" customFormat="false" ht="15" hidden="false" customHeight="false" outlineLevel="0" collapsed="false">
      <c r="A92" s="48" t="n">
        <f aca="false">ROUND(A91+0.1,1)</f>
        <v>18</v>
      </c>
      <c r="B92" s="24" t="n">
        <f aca="false">MIN(LTV*A92,LOOKUP(A92,LoanLo,LoanCap))</f>
        <v>4</v>
      </c>
      <c r="C92" s="21" t="n">
        <f aca="false">A92*IF(A92&lt;=6,0.01,IF(A92&lt;=9,(A92*2/3-3)/100,0.03))*(1+EduAcq)</f>
        <v>0.594</v>
      </c>
      <c r="D92" s="21" t="n">
        <f aca="false">A92*LOOKUP(A92,FeeLo,FeeR)*(1+VAT)+EtcBuy</f>
        <v>0.1586</v>
      </c>
      <c r="E92" s="24" t="n">
        <f aca="false">A92-B92+C92+D92</f>
        <v>14.7526</v>
      </c>
    </row>
    <row r="93" customFormat="false" ht="15" hidden="false" customHeight="false" outlineLevel="0" collapsed="false">
      <c r="A93" s="48" t="n">
        <f aca="false">ROUND(A92+0.1,1)</f>
        <v>18.1</v>
      </c>
      <c r="B93" s="24" t="n">
        <f aca="false">MIN(LTV*A93,LOOKUP(A93,LoanLo,LoanCap))</f>
        <v>4</v>
      </c>
      <c r="C93" s="21" t="n">
        <f aca="false">A93*IF(A93&lt;=6,0.01,IF(A93&lt;=9,(A93*2/3-3)/100,0.03))*(1+EduAcq)</f>
        <v>0.5973</v>
      </c>
      <c r="D93" s="21" t="n">
        <f aca="false">A93*LOOKUP(A93,FeeLo,FeeR)*(1+VAT)+EtcBuy</f>
        <v>0.15937</v>
      </c>
      <c r="E93" s="24" t="n">
        <f aca="false">A93-B93+C93+D93</f>
        <v>14.85667</v>
      </c>
    </row>
    <row r="94" customFormat="false" ht="15" hidden="false" customHeight="false" outlineLevel="0" collapsed="false">
      <c r="A94" s="48" t="n">
        <f aca="false">ROUND(A93+0.1,1)</f>
        <v>18.2</v>
      </c>
      <c r="B94" s="24" t="n">
        <f aca="false">MIN(LTV*A94,LOOKUP(A94,LoanLo,LoanCap))</f>
        <v>4</v>
      </c>
      <c r="C94" s="21" t="n">
        <f aca="false">A94*IF(A94&lt;=6,0.01,IF(A94&lt;=9,(A94*2/3-3)/100,0.03))*(1+EduAcq)</f>
        <v>0.6006</v>
      </c>
      <c r="D94" s="21" t="n">
        <f aca="false">A94*LOOKUP(A94,FeeLo,FeeR)*(1+VAT)+EtcBuy</f>
        <v>0.16014</v>
      </c>
      <c r="E94" s="24" t="n">
        <f aca="false">A94-B94+C94+D94</f>
        <v>14.96074</v>
      </c>
    </row>
    <row r="95" customFormat="false" ht="15" hidden="false" customHeight="false" outlineLevel="0" collapsed="false">
      <c r="A95" s="48" t="n">
        <f aca="false">ROUND(A94+0.1,1)</f>
        <v>18.3</v>
      </c>
      <c r="B95" s="24" t="n">
        <f aca="false">MIN(LTV*A95,LOOKUP(A95,LoanLo,LoanCap))</f>
        <v>4</v>
      </c>
      <c r="C95" s="21" t="n">
        <f aca="false">A95*IF(A95&lt;=6,0.01,IF(A95&lt;=9,(A95*2/3-3)/100,0.03))*(1+EduAcq)</f>
        <v>0.6039</v>
      </c>
      <c r="D95" s="21" t="n">
        <f aca="false">A95*LOOKUP(A95,FeeLo,FeeR)*(1+VAT)+EtcBuy</f>
        <v>0.16091</v>
      </c>
      <c r="E95" s="24" t="n">
        <f aca="false">A95-B95+C95+D95</f>
        <v>15.06481</v>
      </c>
    </row>
    <row r="96" customFormat="false" ht="15" hidden="false" customHeight="false" outlineLevel="0" collapsed="false">
      <c r="A96" s="48" t="n">
        <f aca="false">ROUND(A95+0.1,1)</f>
        <v>18.4</v>
      </c>
      <c r="B96" s="24" t="n">
        <f aca="false">MIN(LTV*A96,LOOKUP(A96,LoanLo,LoanCap))</f>
        <v>4</v>
      </c>
      <c r="C96" s="21" t="n">
        <f aca="false">A96*IF(A96&lt;=6,0.01,IF(A96&lt;=9,(A96*2/3-3)/100,0.03))*(1+EduAcq)</f>
        <v>0.6072</v>
      </c>
      <c r="D96" s="21" t="n">
        <f aca="false">A96*LOOKUP(A96,FeeLo,FeeR)*(1+VAT)+EtcBuy</f>
        <v>0.16168</v>
      </c>
      <c r="E96" s="24" t="n">
        <f aca="false">A96-B96+C96+D96</f>
        <v>15.16888</v>
      </c>
    </row>
    <row r="97" customFormat="false" ht="15" hidden="false" customHeight="false" outlineLevel="0" collapsed="false">
      <c r="A97" s="48" t="n">
        <f aca="false">ROUND(A96+0.1,1)</f>
        <v>18.5</v>
      </c>
      <c r="B97" s="24" t="n">
        <f aca="false">MIN(LTV*A97,LOOKUP(A97,LoanLo,LoanCap))</f>
        <v>4</v>
      </c>
      <c r="C97" s="21" t="n">
        <f aca="false">A97*IF(A97&lt;=6,0.01,IF(A97&lt;=9,(A97*2/3-3)/100,0.03))*(1+EduAcq)</f>
        <v>0.6105</v>
      </c>
      <c r="D97" s="21" t="n">
        <f aca="false">A97*LOOKUP(A97,FeeLo,FeeR)*(1+VAT)+EtcBuy</f>
        <v>0.16245</v>
      </c>
      <c r="E97" s="24" t="n">
        <f aca="false">A97-B97+C97+D97</f>
        <v>15.27295</v>
      </c>
    </row>
    <row r="98" customFormat="false" ht="15" hidden="false" customHeight="false" outlineLevel="0" collapsed="false">
      <c r="A98" s="48" t="n">
        <f aca="false">ROUND(A97+0.1,1)</f>
        <v>18.6</v>
      </c>
      <c r="B98" s="24" t="n">
        <f aca="false">MIN(LTV*A98,LOOKUP(A98,LoanLo,LoanCap))</f>
        <v>4</v>
      </c>
      <c r="C98" s="21" t="n">
        <f aca="false">A98*IF(A98&lt;=6,0.01,IF(A98&lt;=9,(A98*2/3-3)/100,0.03))*(1+EduAcq)</f>
        <v>0.6138</v>
      </c>
      <c r="D98" s="21" t="n">
        <f aca="false">A98*LOOKUP(A98,FeeLo,FeeR)*(1+VAT)+EtcBuy</f>
        <v>0.16322</v>
      </c>
      <c r="E98" s="24" t="n">
        <f aca="false">A98-B98+C98+D98</f>
        <v>15.37702</v>
      </c>
    </row>
    <row r="99" customFormat="false" ht="15" hidden="false" customHeight="false" outlineLevel="0" collapsed="false">
      <c r="A99" s="48" t="n">
        <f aca="false">ROUND(A98+0.1,1)</f>
        <v>18.7</v>
      </c>
      <c r="B99" s="24" t="n">
        <f aca="false">MIN(LTV*A99,LOOKUP(A99,LoanLo,LoanCap))</f>
        <v>4</v>
      </c>
      <c r="C99" s="21" t="n">
        <f aca="false">A99*IF(A99&lt;=6,0.01,IF(A99&lt;=9,(A99*2/3-3)/100,0.03))*(1+EduAcq)</f>
        <v>0.6171</v>
      </c>
      <c r="D99" s="21" t="n">
        <f aca="false">A99*LOOKUP(A99,FeeLo,FeeR)*(1+VAT)+EtcBuy</f>
        <v>0.16399</v>
      </c>
      <c r="E99" s="24" t="n">
        <f aca="false">A99-B99+C99+D99</f>
        <v>15.48109</v>
      </c>
    </row>
    <row r="100" customFormat="false" ht="15" hidden="false" customHeight="false" outlineLevel="0" collapsed="false">
      <c r="A100" s="48" t="n">
        <f aca="false">ROUND(A99+0.1,1)</f>
        <v>18.8</v>
      </c>
      <c r="B100" s="24" t="n">
        <f aca="false">MIN(LTV*A100,LOOKUP(A100,LoanLo,LoanCap))</f>
        <v>4</v>
      </c>
      <c r="C100" s="21" t="n">
        <f aca="false">A100*IF(A100&lt;=6,0.01,IF(A100&lt;=9,(A100*2/3-3)/100,0.03))*(1+EduAcq)</f>
        <v>0.6204</v>
      </c>
      <c r="D100" s="21" t="n">
        <f aca="false">A100*LOOKUP(A100,FeeLo,FeeR)*(1+VAT)+EtcBuy</f>
        <v>0.16476</v>
      </c>
      <c r="E100" s="24" t="n">
        <f aca="false">A100-B100+C100+D100</f>
        <v>15.58516</v>
      </c>
    </row>
    <row r="101" customFormat="false" ht="15" hidden="false" customHeight="false" outlineLevel="0" collapsed="false">
      <c r="A101" s="48" t="n">
        <f aca="false">ROUND(A100+0.1,1)</f>
        <v>18.9</v>
      </c>
      <c r="B101" s="24" t="n">
        <f aca="false">MIN(LTV*A101,LOOKUP(A101,LoanLo,LoanCap))</f>
        <v>4</v>
      </c>
      <c r="C101" s="21" t="n">
        <f aca="false">A101*IF(A101&lt;=6,0.01,IF(A101&lt;=9,(A101*2/3-3)/100,0.03))*(1+EduAcq)</f>
        <v>0.6237</v>
      </c>
      <c r="D101" s="21" t="n">
        <f aca="false">A101*LOOKUP(A101,FeeLo,FeeR)*(1+VAT)+EtcBuy</f>
        <v>0.16553</v>
      </c>
      <c r="E101" s="24" t="n">
        <f aca="false">A101-B101+C101+D101</f>
        <v>15.68923</v>
      </c>
    </row>
    <row r="102" customFormat="false" ht="15" hidden="false" customHeight="false" outlineLevel="0" collapsed="false">
      <c r="A102" s="48" t="n">
        <f aca="false">ROUND(A101+0.1,1)</f>
        <v>19</v>
      </c>
      <c r="B102" s="24" t="n">
        <f aca="false">MIN(LTV*A102,LOOKUP(A102,LoanLo,LoanCap))</f>
        <v>4</v>
      </c>
      <c r="C102" s="21" t="n">
        <f aca="false">A102*IF(A102&lt;=6,0.01,IF(A102&lt;=9,(A102*2/3-3)/100,0.03))*(1+EduAcq)</f>
        <v>0.627</v>
      </c>
      <c r="D102" s="21" t="n">
        <f aca="false">A102*LOOKUP(A102,FeeLo,FeeR)*(1+VAT)+EtcBuy</f>
        <v>0.1663</v>
      </c>
      <c r="E102" s="24" t="n">
        <f aca="false">A102-B102+C102+D102</f>
        <v>15.7933</v>
      </c>
    </row>
    <row r="103" customFormat="false" ht="15" hidden="false" customHeight="false" outlineLevel="0" collapsed="false">
      <c r="A103" s="48" t="n">
        <f aca="false">ROUND(A102+0.1,1)</f>
        <v>19.1</v>
      </c>
      <c r="B103" s="24" t="n">
        <f aca="false">MIN(LTV*A103,LOOKUP(A103,LoanLo,LoanCap))</f>
        <v>4</v>
      </c>
      <c r="C103" s="21" t="n">
        <f aca="false">A103*IF(A103&lt;=6,0.01,IF(A103&lt;=9,(A103*2/3-3)/100,0.03))*(1+EduAcq)</f>
        <v>0.6303</v>
      </c>
      <c r="D103" s="21" t="n">
        <f aca="false">A103*LOOKUP(A103,FeeLo,FeeR)*(1+VAT)+EtcBuy</f>
        <v>0.16707</v>
      </c>
      <c r="E103" s="24" t="n">
        <f aca="false">A103-B103+C103+D103</f>
        <v>15.89737</v>
      </c>
    </row>
    <row r="104" customFormat="false" ht="15" hidden="false" customHeight="false" outlineLevel="0" collapsed="false">
      <c r="A104" s="48" t="n">
        <f aca="false">ROUND(A103+0.1,1)</f>
        <v>19.2</v>
      </c>
      <c r="B104" s="24" t="n">
        <f aca="false">MIN(LTV*A104,LOOKUP(A104,LoanLo,LoanCap))</f>
        <v>4</v>
      </c>
      <c r="C104" s="21" t="n">
        <f aca="false">A104*IF(A104&lt;=6,0.01,IF(A104&lt;=9,(A104*2/3-3)/100,0.03))*(1+EduAcq)</f>
        <v>0.6336</v>
      </c>
      <c r="D104" s="21" t="n">
        <f aca="false">A104*LOOKUP(A104,FeeLo,FeeR)*(1+VAT)+EtcBuy</f>
        <v>0.16784</v>
      </c>
      <c r="E104" s="24" t="n">
        <f aca="false">A104-B104+C104+D104</f>
        <v>16.00144</v>
      </c>
    </row>
    <row r="105" customFormat="false" ht="15" hidden="false" customHeight="false" outlineLevel="0" collapsed="false">
      <c r="A105" s="48" t="n">
        <f aca="false">ROUND(A104+0.1,1)</f>
        <v>19.3</v>
      </c>
      <c r="B105" s="24" t="n">
        <f aca="false">MIN(LTV*A105,LOOKUP(A105,LoanLo,LoanCap))</f>
        <v>4</v>
      </c>
      <c r="C105" s="21" t="n">
        <f aca="false">A105*IF(A105&lt;=6,0.01,IF(A105&lt;=9,(A105*2/3-3)/100,0.03))*(1+EduAcq)</f>
        <v>0.6369</v>
      </c>
      <c r="D105" s="21" t="n">
        <f aca="false">A105*LOOKUP(A105,FeeLo,FeeR)*(1+VAT)+EtcBuy</f>
        <v>0.16861</v>
      </c>
      <c r="E105" s="24" t="n">
        <f aca="false">A105-B105+C105+D105</f>
        <v>16.10551</v>
      </c>
    </row>
    <row r="106" customFormat="false" ht="15" hidden="false" customHeight="false" outlineLevel="0" collapsed="false">
      <c r="A106" s="48" t="n">
        <f aca="false">ROUND(A105+0.1,1)</f>
        <v>19.4</v>
      </c>
      <c r="B106" s="24" t="n">
        <f aca="false">MIN(LTV*A106,LOOKUP(A106,LoanLo,LoanCap))</f>
        <v>4</v>
      </c>
      <c r="C106" s="21" t="n">
        <f aca="false">A106*IF(A106&lt;=6,0.01,IF(A106&lt;=9,(A106*2/3-3)/100,0.03))*(1+EduAcq)</f>
        <v>0.6402</v>
      </c>
      <c r="D106" s="21" t="n">
        <f aca="false">A106*LOOKUP(A106,FeeLo,FeeR)*(1+VAT)+EtcBuy</f>
        <v>0.16938</v>
      </c>
      <c r="E106" s="24" t="n">
        <f aca="false">A106-B106+C106+D106</f>
        <v>16.20958</v>
      </c>
    </row>
    <row r="107" customFormat="false" ht="15" hidden="false" customHeight="false" outlineLevel="0" collapsed="false">
      <c r="A107" s="48" t="n">
        <f aca="false">ROUND(A106+0.1,1)</f>
        <v>19.5</v>
      </c>
      <c r="B107" s="24" t="n">
        <f aca="false">MIN(LTV*A107,LOOKUP(A107,LoanLo,LoanCap))</f>
        <v>4</v>
      </c>
      <c r="C107" s="21" t="n">
        <f aca="false">A107*IF(A107&lt;=6,0.01,IF(A107&lt;=9,(A107*2/3-3)/100,0.03))*(1+EduAcq)</f>
        <v>0.6435</v>
      </c>
      <c r="D107" s="21" t="n">
        <f aca="false">A107*LOOKUP(A107,FeeLo,FeeR)*(1+VAT)+EtcBuy</f>
        <v>0.17015</v>
      </c>
      <c r="E107" s="24" t="n">
        <f aca="false">A107-B107+C107+D107</f>
        <v>16.31365</v>
      </c>
    </row>
    <row r="108" customFormat="false" ht="15" hidden="false" customHeight="false" outlineLevel="0" collapsed="false">
      <c r="A108" s="48" t="n">
        <f aca="false">ROUND(A107+0.1,1)</f>
        <v>19.6</v>
      </c>
      <c r="B108" s="24" t="n">
        <f aca="false">MIN(LTV*A108,LOOKUP(A108,LoanLo,LoanCap))</f>
        <v>4</v>
      </c>
      <c r="C108" s="21" t="n">
        <f aca="false">A108*IF(A108&lt;=6,0.01,IF(A108&lt;=9,(A108*2/3-3)/100,0.03))*(1+EduAcq)</f>
        <v>0.6468</v>
      </c>
      <c r="D108" s="21" t="n">
        <f aca="false">A108*LOOKUP(A108,FeeLo,FeeR)*(1+VAT)+EtcBuy</f>
        <v>0.17092</v>
      </c>
      <c r="E108" s="24" t="n">
        <f aca="false">A108-B108+C108+D108</f>
        <v>16.41772</v>
      </c>
    </row>
    <row r="109" customFormat="false" ht="15" hidden="false" customHeight="false" outlineLevel="0" collapsed="false">
      <c r="A109" s="48" t="n">
        <f aca="false">ROUND(A108+0.1,1)</f>
        <v>19.7</v>
      </c>
      <c r="B109" s="24" t="n">
        <f aca="false">MIN(LTV*A109,LOOKUP(A109,LoanLo,LoanCap))</f>
        <v>4</v>
      </c>
      <c r="C109" s="21" t="n">
        <f aca="false">A109*IF(A109&lt;=6,0.01,IF(A109&lt;=9,(A109*2/3-3)/100,0.03))*(1+EduAcq)</f>
        <v>0.6501</v>
      </c>
      <c r="D109" s="21" t="n">
        <f aca="false">A109*LOOKUP(A109,FeeLo,FeeR)*(1+VAT)+EtcBuy</f>
        <v>0.17169</v>
      </c>
      <c r="E109" s="24" t="n">
        <f aca="false">A109-B109+C109+D109</f>
        <v>16.52179</v>
      </c>
    </row>
    <row r="110" customFormat="false" ht="15" hidden="false" customHeight="false" outlineLevel="0" collapsed="false">
      <c r="A110" s="48" t="n">
        <f aca="false">ROUND(A109+0.1,1)</f>
        <v>19.8</v>
      </c>
      <c r="B110" s="24" t="n">
        <f aca="false">MIN(LTV*A110,LOOKUP(A110,LoanLo,LoanCap))</f>
        <v>4</v>
      </c>
      <c r="C110" s="21" t="n">
        <f aca="false">A110*IF(A110&lt;=6,0.01,IF(A110&lt;=9,(A110*2/3-3)/100,0.03))*(1+EduAcq)</f>
        <v>0.6534</v>
      </c>
      <c r="D110" s="21" t="n">
        <f aca="false">A110*LOOKUP(A110,FeeLo,FeeR)*(1+VAT)+EtcBuy</f>
        <v>0.17246</v>
      </c>
      <c r="E110" s="24" t="n">
        <f aca="false">A110-B110+C110+D110</f>
        <v>16.62586</v>
      </c>
    </row>
    <row r="111" customFormat="false" ht="15" hidden="false" customHeight="false" outlineLevel="0" collapsed="false">
      <c r="A111" s="48" t="n">
        <f aca="false">ROUND(A110+0.1,1)</f>
        <v>19.9</v>
      </c>
      <c r="B111" s="24" t="n">
        <f aca="false">MIN(LTV*A111,LOOKUP(A111,LoanLo,LoanCap))</f>
        <v>4</v>
      </c>
      <c r="C111" s="21" t="n">
        <f aca="false">A111*IF(A111&lt;=6,0.01,IF(A111&lt;=9,(A111*2/3-3)/100,0.03))*(1+EduAcq)</f>
        <v>0.6567</v>
      </c>
      <c r="D111" s="21" t="n">
        <f aca="false">A111*LOOKUP(A111,FeeLo,FeeR)*(1+VAT)+EtcBuy</f>
        <v>0.17323</v>
      </c>
      <c r="E111" s="24" t="n">
        <f aca="false">A111-B111+C111+D111</f>
        <v>16.72993</v>
      </c>
    </row>
    <row r="112" customFormat="false" ht="15" hidden="false" customHeight="false" outlineLevel="0" collapsed="false">
      <c r="A112" s="48" t="n">
        <f aca="false">ROUND(A111+0.1,1)</f>
        <v>20</v>
      </c>
      <c r="B112" s="24" t="n">
        <f aca="false">MIN(LTV*A112,LOOKUP(A112,LoanLo,LoanCap))</f>
        <v>4</v>
      </c>
      <c r="C112" s="21" t="n">
        <f aca="false">A112*IF(A112&lt;=6,0.01,IF(A112&lt;=9,(A112*2/3-3)/100,0.03))*(1+EduAcq)</f>
        <v>0.66</v>
      </c>
      <c r="D112" s="21" t="n">
        <f aca="false">A112*LOOKUP(A112,FeeLo,FeeR)*(1+VAT)+EtcBuy</f>
        <v>0.174</v>
      </c>
      <c r="E112" s="24" t="n">
        <f aca="false">A112-B112+C112+D112</f>
        <v>16.834</v>
      </c>
    </row>
    <row r="113" customFormat="false" ht="15" hidden="false" customHeight="false" outlineLevel="0" collapsed="false">
      <c r="A113" s="48" t="n">
        <f aca="false">ROUND(A112+0.1,1)</f>
        <v>20.1</v>
      </c>
      <c r="B113" s="24" t="n">
        <f aca="false">MIN(LTV*A113,LOOKUP(A113,LoanLo,LoanCap))</f>
        <v>4</v>
      </c>
      <c r="C113" s="21" t="n">
        <f aca="false">A113*IF(A113&lt;=6,0.01,IF(A113&lt;=9,(A113*2/3-3)/100,0.03))*(1+EduAcq)</f>
        <v>0.6633</v>
      </c>
      <c r="D113" s="21" t="n">
        <f aca="false">A113*LOOKUP(A113,FeeLo,FeeR)*(1+VAT)+EtcBuy</f>
        <v>0.17477</v>
      </c>
      <c r="E113" s="24" t="n">
        <f aca="false">A113-B113+C113+D113</f>
        <v>16.93807</v>
      </c>
    </row>
    <row r="114" customFormat="false" ht="15" hidden="false" customHeight="false" outlineLevel="0" collapsed="false">
      <c r="A114" s="48" t="n">
        <f aca="false">ROUND(A113+0.1,1)</f>
        <v>20.2</v>
      </c>
      <c r="B114" s="24" t="n">
        <f aca="false">MIN(LTV*A114,LOOKUP(A114,LoanLo,LoanCap))</f>
        <v>4</v>
      </c>
      <c r="C114" s="21" t="n">
        <f aca="false">A114*IF(A114&lt;=6,0.01,IF(A114&lt;=9,(A114*2/3-3)/100,0.03))*(1+EduAcq)</f>
        <v>0.6666</v>
      </c>
      <c r="D114" s="21" t="n">
        <f aca="false">A114*LOOKUP(A114,FeeLo,FeeR)*(1+VAT)+EtcBuy</f>
        <v>0.17554</v>
      </c>
      <c r="E114" s="24" t="n">
        <f aca="false">A114-B114+C114+D114</f>
        <v>17.04214</v>
      </c>
    </row>
    <row r="115" customFormat="false" ht="15" hidden="false" customHeight="false" outlineLevel="0" collapsed="false">
      <c r="A115" s="48" t="n">
        <f aca="false">ROUND(A114+0.1,1)</f>
        <v>20.3</v>
      </c>
      <c r="B115" s="24" t="n">
        <f aca="false">MIN(LTV*A115,LOOKUP(A115,LoanLo,LoanCap))</f>
        <v>4</v>
      </c>
      <c r="C115" s="21" t="n">
        <f aca="false">A115*IF(A115&lt;=6,0.01,IF(A115&lt;=9,(A115*2/3-3)/100,0.03))*(1+EduAcq)</f>
        <v>0.6699</v>
      </c>
      <c r="D115" s="21" t="n">
        <f aca="false">A115*LOOKUP(A115,FeeLo,FeeR)*(1+VAT)+EtcBuy</f>
        <v>0.17631</v>
      </c>
      <c r="E115" s="24" t="n">
        <f aca="false">A115-B115+C115+D115</f>
        <v>17.14621</v>
      </c>
    </row>
    <row r="116" customFormat="false" ht="15" hidden="false" customHeight="false" outlineLevel="0" collapsed="false">
      <c r="A116" s="48" t="n">
        <f aca="false">ROUND(A115+0.1,1)</f>
        <v>20.4</v>
      </c>
      <c r="B116" s="24" t="n">
        <f aca="false">MIN(LTV*A116,LOOKUP(A116,LoanLo,LoanCap))</f>
        <v>4</v>
      </c>
      <c r="C116" s="21" t="n">
        <f aca="false">A116*IF(A116&lt;=6,0.01,IF(A116&lt;=9,(A116*2/3-3)/100,0.03))*(1+EduAcq)</f>
        <v>0.6732</v>
      </c>
      <c r="D116" s="21" t="n">
        <f aca="false">A116*LOOKUP(A116,FeeLo,FeeR)*(1+VAT)+EtcBuy</f>
        <v>0.17708</v>
      </c>
      <c r="E116" s="24" t="n">
        <f aca="false">A116-B116+C116+D116</f>
        <v>17.25028</v>
      </c>
    </row>
    <row r="117" customFormat="false" ht="15" hidden="false" customHeight="false" outlineLevel="0" collapsed="false">
      <c r="A117" s="48" t="n">
        <f aca="false">ROUND(A116+0.1,1)</f>
        <v>20.5</v>
      </c>
      <c r="B117" s="24" t="n">
        <f aca="false">MIN(LTV*A117,LOOKUP(A117,LoanLo,LoanCap))</f>
        <v>4</v>
      </c>
      <c r="C117" s="21" t="n">
        <f aca="false">A117*IF(A117&lt;=6,0.01,IF(A117&lt;=9,(A117*2/3-3)/100,0.03))*(1+EduAcq)</f>
        <v>0.6765</v>
      </c>
      <c r="D117" s="21" t="n">
        <f aca="false">A117*LOOKUP(A117,FeeLo,FeeR)*(1+VAT)+EtcBuy</f>
        <v>0.17785</v>
      </c>
      <c r="E117" s="24" t="n">
        <f aca="false">A117-B117+C117+D117</f>
        <v>17.35435</v>
      </c>
    </row>
    <row r="118" customFormat="false" ht="15" hidden="false" customHeight="false" outlineLevel="0" collapsed="false">
      <c r="A118" s="48" t="n">
        <f aca="false">ROUND(A117+0.1,1)</f>
        <v>20.6</v>
      </c>
      <c r="B118" s="24" t="n">
        <f aca="false">MIN(LTV*A118,LOOKUP(A118,LoanLo,LoanCap))</f>
        <v>4</v>
      </c>
      <c r="C118" s="21" t="n">
        <f aca="false">A118*IF(A118&lt;=6,0.01,IF(A118&lt;=9,(A118*2/3-3)/100,0.03))*(1+EduAcq)</f>
        <v>0.6798</v>
      </c>
      <c r="D118" s="21" t="n">
        <f aca="false">A118*LOOKUP(A118,FeeLo,FeeR)*(1+VAT)+EtcBuy</f>
        <v>0.17862</v>
      </c>
      <c r="E118" s="24" t="n">
        <f aca="false">A118-B118+C118+D118</f>
        <v>17.45842</v>
      </c>
    </row>
    <row r="119" customFormat="false" ht="15" hidden="false" customHeight="false" outlineLevel="0" collapsed="false">
      <c r="A119" s="48" t="n">
        <f aca="false">ROUND(A118+0.1,1)</f>
        <v>20.7</v>
      </c>
      <c r="B119" s="24" t="n">
        <f aca="false">MIN(LTV*A119,LOOKUP(A119,LoanLo,LoanCap))</f>
        <v>4</v>
      </c>
      <c r="C119" s="21" t="n">
        <f aca="false">A119*IF(A119&lt;=6,0.01,IF(A119&lt;=9,(A119*2/3-3)/100,0.03))*(1+EduAcq)</f>
        <v>0.6831</v>
      </c>
      <c r="D119" s="21" t="n">
        <f aca="false">A119*LOOKUP(A119,FeeLo,FeeR)*(1+VAT)+EtcBuy</f>
        <v>0.17939</v>
      </c>
      <c r="E119" s="24" t="n">
        <f aca="false">A119-B119+C119+D119</f>
        <v>17.56249</v>
      </c>
    </row>
    <row r="120" customFormat="false" ht="15" hidden="false" customHeight="false" outlineLevel="0" collapsed="false">
      <c r="A120" s="48" t="n">
        <f aca="false">ROUND(A119+0.1,1)</f>
        <v>20.8</v>
      </c>
      <c r="B120" s="24" t="n">
        <f aca="false">MIN(LTV*A120,LOOKUP(A120,LoanLo,LoanCap))</f>
        <v>4</v>
      </c>
      <c r="C120" s="21" t="n">
        <f aca="false">A120*IF(A120&lt;=6,0.01,IF(A120&lt;=9,(A120*2/3-3)/100,0.03))*(1+EduAcq)</f>
        <v>0.6864</v>
      </c>
      <c r="D120" s="21" t="n">
        <f aca="false">A120*LOOKUP(A120,FeeLo,FeeR)*(1+VAT)+EtcBuy</f>
        <v>0.18016</v>
      </c>
      <c r="E120" s="24" t="n">
        <f aca="false">A120-B120+C120+D120</f>
        <v>17.66656</v>
      </c>
    </row>
    <row r="121" customFormat="false" ht="15" hidden="false" customHeight="false" outlineLevel="0" collapsed="false">
      <c r="A121" s="48" t="n">
        <f aca="false">ROUND(A120+0.1,1)</f>
        <v>20.9</v>
      </c>
      <c r="B121" s="24" t="n">
        <f aca="false">MIN(LTV*A121,LOOKUP(A121,LoanLo,LoanCap))</f>
        <v>4</v>
      </c>
      <c r="C121" s="21" t="n">
        <f aca="false">A121*IF(A121&lt;=6,0.01,IF(A121&lt;=9,(A121*2/3-3)/100,0.03))*(1+EduAcq)</f>
        <v>0.6897</v>
      </c>
      <c r="D121" s="21" t="n">
        <f aca="false">A121*LOOKUP(A121,FeeLo,FeeR)*(1+VAT)+EtcBuy</f>
        <v>0.18093</v>
      </c>
      <c r="E121" s="24" t="n">
        <f aca="false">A121-B121+C121+D121</f>
        <v>17.77063</v>
      </c>
    </row>
    <row r="122" customFormat="false" ht="15" hidden="false" customHeight="false" outlineLevel="0" collapsed="false">
      <c r="A122" s="48" t="n">
        <f aca="false">ROUND(A121+0.1,1)</f>
        <v>21</v>
      </c>
      <c r="B122" s="24" t="n">
        <f aca="false">MIN(LTV*A122,LOOKUP(A122,LoanLo,LoanCap))</f>
        <v>4</v>
      </c>
      <c r="C122" s="21" t="n">
        <f aca="false">A122*IF(A122&lt;=6,0.01,IF(A122&lt;=9,(A122*2/3-3)/100,0.03))*(1+EduAcq)</f>
        <v>0.693</v>
      </c>
      <c r="D122" s="21" t="n">
        <f aca="false">A122*LOOKUP(A122,FeeLo,FeeR)*(1+VAT)+EtcBuy</f>
        <v>0.1817</v>
      </c>
      <c r="E122" s="24" t="n">
        <f aca="false">A122-B122+C122+D122</f>
        <v>17.8747</v>
      </c>
    </row>
    <row r="123" customFormat="false" ht="15" hidden="false" customHeight="false" outlineLevel="0" collapsed="false">
      <c r="A123" s="48" t="n">
        <f aca="false">ROUND(A122+0.1,1)</f>
        <v>21.1</v>
      </c>
      <c r="B123" s="24" t="n">
        <f aca="false">MIN(LTV*A123,LOOKUP(A123,LoanLo,LoanCap))</f>
        <v>4</v>
      </c>
      <c r="C123" s="21" t="n">
        <f aca="false">A123*IF(A123&lt;=6,0.01,IF(A123&lt;=9,(A123*2/3-3)/100,0.03))*(1+EduAcq)</f>
        <v>0.6963</v>
      </c>
      <c r="D123" s="21" t="n">
        <f aca="false">A123*LOOKUP(A123,FeeLo,FeeR)*(1+VAT)+EtcBuy</f>
        <v>0.18247</v>
      </c>
      <c r="E123" s="24" t="n">
        <f aca="false">A123-B123+C123+D123</f>
        <v>17.97877</v>
      </c>
    </row>
    <row r="124" customFormat="false" ht="15" hidden="false" customHeight="false" outlineLevel="0" collapsed="false">
      <c r="A124" s="48" t="n">
        <f aca="false">ROUND(A123+0.1,1)</f>
        <v>21.2</v>
      </c>
      <c r="B124" s="24" t="n">
        <f aca="false">MIN(LTV*A124,LOOKUP(A124,LoanLo,LoanCap))</f>
        <v>4</v>
      </c>
      <c r="C124" s="21" t="n">
        <f aca="false">A124*IF(A124&lt;=6,0.01,IF(A124&lt;=9,(A124*2/3-3)/100,0.03))*(1+EduAcq)</f>
        <v>0.6996</v>
      </c>
      <c r="D124" s="21" t="n">
        <f aca="false">A124*LOOKUP(A124,FeeLo,FeeR)*(1+VAT)+EtcBuy</f>
        <v>0.18324</v>
      </c>
      <c r="E124" s="24" t="n">
        <f aca="false">A124-B124+C124+D124</f>
        <v>18.08284</v>
      </c>
    </row>
    <row r="125" customFormat="false" ht="15" hidden="false" customHeight="false" outlineLevel="0" collapsed="false">
      <c r="A125" s="48" t="n">
        <f aca="false">ROUND(A124+0.1,1)</f>
        <v>21.3</v>
      </c>
      <c r="B125" s="24" t="n">
        <f aca="false">MIN(LTV*A125,LOOKUP(A125,LoanLo,LoanCap))</f>
        <v>4</v>
      </c>
      <c r="C125" s="21" t="n">
        <f aca="false">A125*IF(A125&lt;=6,0.01,IF(A125&lt;=9,(A125*2/3-3)/100,0.03))*(1+EduAcq)</f>
        <v>0.7029</v>
      </c>
      <c r="D125" s="21" t="n">
        <f aca="false">A125*LOOKUP(A125,FeeLo,FeeR)*(1+VAT)+EtcBuy</f>
        <v>0.18401</v>
      </c>
      <c r="E125" s="24" t="n">
        <f aca="false">A125-B125+C125+D125</f>
        <v>18.18691</v>
      </c>
    </row>
    <row r="126" customFormat="false" ht="15" hidden="false" customHeight="false" outlineLevel="0" collapsed="false">
      <c r="A126" s="48" t="n">
        <f aca="false">ROUND(A125+0.1,1)</f>
        <v>21.4</v>
      </c>
      <c r="B126" s="24" t="n">
        <f aca="false">MIN(LTV*A126,LOOKUP(A126,LoanLo,LoanCap))</f>
        <v>4</v>
      </c>
      <c r="C126" s="21" t="n">
        <f aca="false">A126*IF(A126&lt;=6,0.01,IF(A126&lt;=9,(A126*2/3-3)/100,0.03))*(1+EduAcq)</f>
        <v>0.7062</v>
      </c>
      <c r="D126" s="21" t="n">
        <f aca="false">A126*LOOKUP(A126,FeeLo,FeeR)*(1+VAT)+EtcBuy</f>
        <v>0.18478</v>
      </c>
      <c r="E126" s="24" t="n">
        <f aca="false">A126-B126+C126+D126</f>
        <v>18.29098</v>
      </c>
    </row>
    <row r="127" customFormat="false" ht="15" hidden="false" customHeight="false" outlineLevel="0" collapsed="false">
      <c r="A127" s="48" t="n">
        <f aca="false">ROUND(A126+0.1,1)</f>
        <v>21.5</v>
      </c>
      <c r="B127" s="24" t="n">
        <f aca="false">MIN(LTV*A127,LOOKUP(A127,LoanLo,LoanCap))</f>
        <v>4</v>
      </c>
      <c r="C127" s="21" t="n">
        <f aca="false">A127*IF(A127&lt;=6,0.01,IF(A127&lt;=9,(A127*2/3-3)/100,0.03))*(1+EduAcq)</f>
        <v>0.7095</v>
      </c>
      <c r="D127" s="21" t="n">
        <f aca="false">A127*LOOKUP(A127,FeeLo,FeeR)*(1+VAT)+EtcBuy</f>
        <v>0.18555</v>
      </c>
      <c r="E127" s="24" t="n">
        <f aca="false">A127-B127+C127+D127</f>
        <v>18.39505</v>
      </c>
    </row>
    <row r="128" customFormat="false" ht="15" hidden="false" customHeight="false" outlineLevel="0" collapsed="false">
      <c r="A128" s="48" t="n">
        <f aca="false">ROUND(A127+0.1,1)</f>
        <v>21.6</v>
      </c>
      <c r="B128" s="24" t="n">
        <f aca="false">MIN(LTV*A128,LOOKUP(A128,LoanLo,LoanCap))</f>
        <v>4</v>
      </c>
      <c r="C128" s="21" t="n">
        <f aca="false">A128*IF(A128&lt;=6,0.01,IF(A128&lt;=9,(A128*2/3-3)/100,0.03))*(1+EduAcq)</f>
        <v>0.7128</v>
      </c>
      <c r="D128" s="21" t="n">
        <f aca="false">A128*LOOKUP(A128,FeeLo,FeeR)*(1+VAT)+EtcBuy</f>
        <v>0.18632</v>
      </c>
      <c r="E128" s="24" t="n">
        <f aca="false">A128-B128+C128+D128</f>
        <v>18.49912</v>
      </c>
    </row>
    <row r="129" customFormat="false" ht="15" hidden="false" customHeight="false" outlineLevel="0" collapsed="false">
      <c r="A129" s="48" t="n">
        <f aca="false">ROUND(A128+0.1,1)</f>
        <v>21.7</v>
      </c>
      <c r="B129" s="24" t="n">
        <f aca="false">MIN(LTV*A129,LOOKUP(A129,LoanLo,LoanCap))</f>
        <v>4</v>
      </c>
      <c r="C129" s="21" t="n">
        <f aca="false">A129*IF(A129&lt;=6,0.01,IF(A129&lt;=9,(A129*2/3-3)/100,0.03))*(1+EduAcq)</f>
        <v>0.7161</v>
      </c>
      <c r="D129" s="21" t="n">
        <f aca="false">A129*LOOKUP(A129,FeeLo,FeeR)*(1+VAT)+EtcBuy</f>
        <v>0.18709</v>
      </c>
      <c r="E129" s="24" t="n">
        <f aca="false">A129-B129+C129+D129</f>
        <v>18.60319</v>
      </c>
    </row>
    <row r="130" customFormat="false" ht="15" hidden="false" customHeight="false" outlineLevel="0" collapsed="false">
      <c r="A130" s="48" t="n">
        <f aca="false">ROUND(A129+0.1,1)</f>
        <v>21.8</v>
      </c>
      <c r="B130" s="24" t="n">
        <f aca="false">MIN(LTV*A130,LOOKUP(A130,LoanLo,LoanCap))</f>
        <v>4</v>
      </c>
      <c r="C130" s="21" t="n">
        <f aca="false">A130*IF(A130&lt;=6,0.01,IF(A130&lt;=9,(A130*2/3-3)/100,0.03))*(1+EduAcq)</f>
        <v>0.7194</v>
      </c>
      <c r="D130" s="21" t="n">
        <f aca="false">A130*LOOKUP(A130,FeeLo,FeeR)*(1+VAT)+EtcBuy</f>
        <v>0.18786</v>
      </c>
      <c r="E130" s="24" t="n">
        <f aca="false">A130-B130+C130+D130</f>
        <v>18.70726</v>
      </c>
    </row>
    <row r="131" customFormat="false" ht="15" hidden="false" customHeight="false" outlineLevel="0" collapsed="false">
      <c r="A131" s="48" t="n">
        <f aca="false">ROUND(A130+0.1,1)</f>
        <v>21.9</v>
      </c>
      <c r="B131" s="24" t="n">
        <f aca="false">MIN(LTV*A131,LOOKUP(A131,LoanLo,LoanCap))</f>
        <v>4</v>
      </c>
      <c r="C131" s="21" t="n">
        <f aca="false">A131*IF(A131&lt;=6,0.01,IF(A131&lt;=9,(A131*2/3-3)/100,0.03))*(1+EduAcq)</f>
        <v>0.7227</v>
      </c>
      <c r="D131" s="21" t="n">
        <f aca="false">A131*LOOKUP(A131,FeeLo,FeeR)*(1+VAT)+EtcBuy</f>
        <v>0.18863</v>
      </c>
      <c r="E131" s="24" t="n">
        <f aca="false">A131-B131+C131+D131</f>
        <v>18.81133</v>
      </c>
    </row>
    <row r="132" customFormat="false" ht="15" hidden="false" customHeight="false" outlineLevel="0" collapsed="false">
      <c r="A132" s="48" t="n">
        <f aca="false">ROUND(A131+0.1,1)</f>
        <v>22</v>
      </c>
      <c r="B132" s="24" t="n">
        <f aca="false">MIN(LTV*A132,LOOKUP(A132,LoanLo,LoanCap))</f>
        <v>4</v>
      </c>
      <c r="C132" s="21" t="n">
        <f aca="false">A132*IF(A132&lt;=6,0.01,IF(A132&lt;=9,(A132*2/3-3)/100,0.03))*(1+EduAcq)</f>
        <v>0.726</v>
      </c>
      <c r="D132" s="21" t="n">
        <f aca="false">A132*LOOKUP(A132,FeeLo,FeeR)*(1+VAT)+EtcBuy</f>
        <v>0.1894</v>
      </c>
      <c r="E132" s="24" t="n">
        <f aca="false">A132-B132+C132+D132</f>
        <v>18.9154</v>
      </c>
    </row>
    <row r="133" customFormat="false" ht="15" hidden="false" customHeight="false" outlineLevel="0" collapsed="false">
      <c r="A133" s="48" t="n">
        <f aca="false">ROUND(A132+0.1,1)</f>
        <v>22.1</v>
      </c>
      <c r="B133" s="24" t="n">
        <f aca="false">MIN(LTV*A133,LOOKUP(A133,LoanLo,LoanCap))</f>
        <v>4</v>
      </c>
      <c r="C133" s="21" t="n">
        <f aca="false">A133*IF(A133&lt;=6,0.01,IF(A133&lt;=9,(A133*2/3-3)/100,0.03))*(1+EduAcq)</f>
        <v>0.7293</v>
      </c>
      <c r="D133" s="21" t="n">
        <f aca="false">A133*LOOKUP(A133,FeeLo,FeeR)*(1+VAT)+EtcBuy</f>
        <v>0.19017</v>
      </c>
      <c r="E133" s="24" t="n">
        <f aca="false">A133-B133+C133+D133</f>
        <v>19.01947</v>
      </c>
    </row>
    <row r="134" customFormat="false" ht="15" hidden="false" customHeight="false" outlineLevel="0" collapsed="false">
      <c r="A134" s="48" t="n">
        <f aca="false">ROUND(A133+0.1,1)</f>
        <v>22.2</v>
      </c>
      <c r="B134" s="24" t="n">
        <f aca="false">MIN(LTV*A134,LOOKUP(A134,LoanLo,LoanCap))</f>
        <v>4</v>
      </c>
      <c r="C134" s="21" t="n">
        <f aca="false">A134*IF(A134&lt;=6,0.01,IF(A134&lt;=9,(A134*2/3-3)/100,0.03))*(1+EduAcq)</f>
        <v>0.7326</v>
      </c>
      <c r="D134" s="21" t="n">
        <f aca="false">A134*LOOKUP(A134,FeeLo,FeeR)*(1+VAT)+EtcBuy</f>
        <v>0.19094</v>
      </c>
      <c r="E134" s="24" t="n">
        <f aca="false">A134-B134+C134+D134</f>
        <v>19.12354</v>
      </c>
    </row>
    <row r="135" customFormat="false" ht="15" hidden="false" customHeight="false" outlineLevel="0" collapsed="false">
      <c r="A135" s="48" t="n">
        <f aca="false">ROUND(A134+0.1,1)</f>
        <v>22.3</v>
      </c>
      <c r="B135" s="24" t="n">
        <f aca="false">MIN(LTV*A135,LOOKUP(A135,LoanLo,LoanCap))</f>
        <v>4</v>
      </c>
      <c r="C135" s="21" t="n">
        <f aca="false">A135*IF(A135&lt;=6,0.01,IF(A135&lt;=9,(A135*2/3-3)/100,0.03))*(1+EduAcq)</f>
        <v>0.7359</v>
      </c>
      <c r="D135" s="21" t="n">
        <f aca="false">A135*LOOKUP(A135,FeeLo,FeeR)*(1+VAT)+EtcBuy</f>
        <v>0.19171</v>
      </c>
      <c r="E135" s="24" t="n">
        <f aca="false">A135-B135+C135+D135</f>
        <v>19.22761</v>
      </c>
    </row>
    <row r="136" customFormat="false" ht="15" hidden="false" customHeight="false" outlineLevel="0" collapsed="false">
      <c r="A136" s="48" t="n">
        <f aca="false">ROUND(A135+0.1,1)</f>
        <v>22.4</v>
      </c>
      <c r="B136" s="24" t="n">
        <f aca="false">MIN(LTV*A136,LOOKUP(A136,LoanLo,LoanCap))</f>
        <v>4</v>
      </c>
      <c r="C136" s="21" t="n">
        <f aca="false">A136*IF(A136&lt;=6,0.01,IF(A136&lt;=9,(A136*2/3-3)/100,0.03))*(1+EduAcq)</f>
        <v>0.7392</v>
      </c>
      <c r="D136" s="21" t="n">
        <f aca="false">A136*LOOKUP(A136,FeeLo,FeeR)*(1+VAT)+EtcBuy</f>
        <v>0.19248</v>
      </c>
      <c r="E136" s="24" t="n">
        <f aca="false">A136-B136+C136+D136</f>
        <v>19.33168</v>
      </c>
    </row>
    <row r="137" customFormat="false" ht="15" hidden="false" customHeight="false" outlineLevel="0" collapsed="false">
      <c r="A137" s="48" t="n">
        <f aca="false">ROUND(A136+0.1,1)</f>
        <v>22.5</v>
      </c>
      <c r="B137" s="24" t="n">
        <f aca="false">MIN(LTV*A137,LOOKUP(A137,LoanLo,LoanCap))</f>
        <v>4</v>
      </c>
      <c r="C137" s="21" t="n">
        <f aca="false">A137*IF(A137&lt;=6,0.01,IF(A137&lt;=9,(A137*2/3-3)/100,0.03))*(1+EduAcq)</f>
        <v>0.7425</v>
      </c>
      <c r="D137" s="21" t="n">
        <f aca="false">A137*LOOKUP(A137,FeeLo,FeeR)*(1+VAT)+EtcBuy</f>
        <v>0.19325</v>
      </c>
      <c r="E137" s="24" t="n">
        <f aca="false">A137-B137+C137+D137</f>
        <v>19.43575</v>
      </c>
    </row>
    <row r="138" customFormat="false" ht="15" hidden="false" customHeight="false" outlineLevel="0" collapsed="false">
      <c r="A138" s="48" t="n">
        <f aca="false">ROUND(A137+0.1,1)</f>
        <v>22.6</v>
      </c>
      <c r="B138" s="24" t="n">
        <f aca="false">MIN(LTV*A138,LOOKUP(A138,LoanLo,LoanCap))</f>
        <v>4</v>
      </c>
      <c r="C138" s="21" t="n">
        <f aca="false">A138*IF(A138&lt;=6,0.01,IF(A138&lt;=9,(A138*2/3-3)/100,0.03))*(1+EduAcq)</f>
        <v>0.7458</v>
      </c>
      <c r="D138" s="21" t="n">
        <f aca="false">A138*LOOKUP(A138,FeeLo,FeeR)*(1+VAT)+EtcBuy</f>
        <v>0.19402</v>
      </c>
      <c r="E138" s="24" t="n">
        <f aca="false">A138-B138+C138+D138</f>
        <v>19.53982</v>
      </c>
    </row>
    <row r="139" customFormat="false" ht="15" hidden="false" customHeight="false" outlineLevel="0" collapsed="false">
      <c r="A139" s="48" t="n">
        <f aca="false">ROUND(A138+0.1,1)</f>
        <v>22.7</v>
      </c>
      <c r="B139" s="24" t="n">
        <f aca="false">MIN(LTV*A139,LOOKUP(A139,LoanLo,LoanCap))</f>
        <v>4</v>
      </c>
      <c r="C139" s="21" t="n">
        <f aca="false">A139*IF(A139&lt;=6,0.01,IF(A139&lt;=9,(A139*2/3-3)/100,0.03))*(1+EduAcq)</f>
        <v>0.7491</v>
      </c>
      <c r="D139" s="21" t="n">
        <f aca="false">A139*LOOKUP(A139,FeeLo,FeeR)*(1+VAT)+EtcBuy</f>
        <v>0.19479</v>
      </c>
      <c r="E139" s="24" t="n">
        <f aca="false">A139-B139+C139+D139</f>
        <v>19.64389</v>
      </c>
    </row>
    <row r="140" customFormat="false" ht="15" hidden="false" customHeight="false" outlineLevel="0" collapsed="false">
      <c r="A140" s="48" t="n">
        <f aca="false">ROUND(A139+0.1,1)</f>
        <v>22.8</v>
      </c>
      <c r="B140" s="24" t="n">
        <f aca="false">MIN(LTV*A140,LOOKUP(A140,LoanLo,LoanCap))</f>
        <v>4</v>
      </c>
      <c r="C140" s="21" t="n">
        <f aca="false">A140*IF(A140&lt;=6,0.01,IF(A140&lt;=9,(A140*2/3-3)/100,0.03))*(1+EduAcq)</f>
        <v>0.7524</v>
      </c>
      <c r="D140" s="21" t="n">
        <f aca="false">A140*LOOKUP(A140,FeeLo,FeeR)*(1+VAT)+EtcBuy</f>
        <v>0.19556</v>
      </c>
      <c r="E140" s="24" t="n">
        <f aca="false">A140-B140+C140+D140</f>
        <v>19.74796</v>
      </c>
    </row>
    <row r="141" customFormat="false" ht="15" hidden="false" customHeight="false" outlineLevel="0" collapsed="false">
      <c r="A141" s="48" t="n">
        <f aca="false">ROUND(A140+0.1,1)</f>
        <v>22.9</v>
      </c>
      <c r="B141" s="24" t="n">
        <f aca="false">MIN(LTV*A141,LOOKUP(A141,LoanLo,LoanCap))</f>
        <v>4</v>
      </c>
      <c r="C141" s="21" t="n">
        <f aca="false">A141*IF(A141&lt;=6,0.01,IF(A141&lt;=9,(A141*2/3-3)/100,0.03))*(1+EduAcq)</f>
        <v>0.7557</v>
      </c>
      <c r="D141" s="21" t="n">
        <f aca="false">A141*LOOKUP(A141,FeeLo,FeeR)*(1+VAT)+EtcBuy</f>
        <v>0.19633</v>
      </c>
      <c r="E141" s="24" t="n">
        <f aca="false">A141-B141+C141+D141</f>
        <v>19.85203</v>
      </c>
    </row>
    <row r="142" customFormat="false" ht="15" hidden="false" customHeight="false" outlineLevel="0" collapsed="false">
      <c r="A142" s="48" t="n">
        <f aca="false">ROUND(A141+0.1,1)</f>
        <v>23</v>
      </c>
      <c r="B142" s="24" t="n">
        <f aca="false">MIN(LTV*A142,LOOKUP(A142,LoanLo,LoanCap))</f>
        <v>4</v>
      </c>
      <c r="C142" s="21" t="n">
        <f aca="false">A142*IF(A142&lt;=6,0.01,IF(A142&lt;=9,(A142*2/3-3)/100,0.03))*(1+EduAcq)</f>
        <v>0.759</v>
      </c>
      <c r="D142" s="21" t="n">
        <f aca="false">A142*LOOKUP(A142,FeeLo,FeeR)*(1+VAT)+EtcBuy</f>
        <v>0.1971</v>
      </c>
      <c r="E142" s="24" t="n">
        <f aca="false">A142-B142+C142+D142</f>
        <v>19.9561</v>
      </c>
    </row>
    <row r="143" customFormat="false" ht="15" hidden="false" customHeight="false" outlineLevel="0" collapsed="false">
      <c r="A143" s="48" t="n">
        <f aca="false">ROUND(A142+0.1,1)</f>
        <v>23.1</v>
      </c>
      <c r="B143" s="24" t="n">
        <f aca="false">MIN(LTV*A143,LOOKUP(A143,LoanLo,LoanCap))</f>
        <v>4</v>
      </c>
      <c r="C143" s="21" t="n">
        <f aca="false">A143*IF(A143&lt;=6,0.01,IF(A143&lt;=9,(A143*2/3-3)/100,0.03))*(1+EduAcq)</f>
        <v>0.7623</v>
      </c>
      <c r="D143" s="21" t="n">
        <f aca="false">A143*LOOKUP(A143,FeeLo,FeeR)*(1+VAT)+EtcBuy</f>
        <v>0.19787</v>
      </c>
      <c r="E143" s="24" t="n">
        <f aca="false">A143-B143+C143+D143</f>
        <v>20.06017</v>
      </c>
    </row>
    <row r="144" customFormat="false" ht="15" hidden="false" customHeight="false" outlineLevel="0" collapsed="false">
      <c r="A144" s="48" t="n">
        <f aca="false">ROUND(A143+0.1,1)</f>
        <v>23.2</v>
      </c>
      <c r="B144" s="24" t="n">
        <f aca="false">MIN(LTV*A144,LOOKUP(A144,LoanLo,LoanCap))</f>
        <v>4</v>
      </c>
      <c r="C144" s="21" t="n">
        <f aca="false">A144*IF(A144&lt;=6,0.01,IF(A144&lt;=9,(A144*2/3-3)/100,0.03))*(1+EduAcq)</f>
        <v>0.7656</v>
      </c>
      <c r="D144" s="21" t="n">
        <f aca="false">A144*LOOKUP(A144,FeeLo,FeeR)*(1+VAT)+EtcBuy</f>
        <v>0.19864</v>
      </c>
      <c r="E144" s="24" t="n">
        <f aca="false">A144-B144+C144+D144</f>
        <v>20.16424</v>
      </c>
    </row>
    <row r="145" customFormat="false" ht="15" hidden="false" customHeight="false" outlineLevel="0" collapsed="false">
      <c r="A145" s="48" t="n">
        <f aca="false">ROUND(A144+0.1,1)</f>
        <v>23.3</v>
      </c>
      <c r="B145" s="24" t="n">
        <f aca="false">MIN(LTV*A145,LOOKUP(A145,LoanLo,LoanCap))</f>
        <v>4</v>
      </c>
      <c r="C145" s="21" t="n">
        <f aca="false">A145*IF(A145&lt;=6,0.01,IF(A145&lt;=9,(A145*2/3-3)/100,0.03))*(1+EduAcq)</f>
        <v>0.7689</v>
      </c>
      <c r="D145" s="21" t="n">
        <f aca="false">A145*LOOKUP(A145,FeeLo,FeeR)*(1+VAT)+EtcBuy</f>
        <v>0.19941</v>
      </c>
      <c r="E145" s="24" t="n">
        <f aca="false">A145-B145+C145+D145</f>
        <v>20.26831</v>
      </c>
    </row>
    <row r="146" customFormat="false" ht="15" hidden="false" customHeight="false" outlineLevel="0" collapsed="false">
      <c r="A146" s="48" t="n">
        <f aca="false">ROUND(A145+0.1,1)</f>
        <v>23.4</v>
      </c>
      <c r="B146" s="24" t="n">
        <f aca="false">MIN(LTV*A146,LOOKUP(A146,LoanLo,LoanCap))</f>
        <v>4</v>
      </c>
      <c r="C146" s="21" t="n">
        <f aca="false">A146*IF(A146&lt;=6,0.01,IF(A146&lt;=9,(A146*2/3-3)/100,0.03))*(1+EduAcq)</f>
        <v>0.7722</v>
      </c>
      <c r="D146" s="21" t="n">
        <f aca="false">A146*LOOKUP(A146,FeeLo,FeeR)*(1+VAT)+EtcBuy</f>
        <v>0.20018</v>
      </c>
      <c r="E146" s="24" t="n">
        <f aca="false">A146-B146+C146+D146</f>
        <v>20.37238</v>
      </c>
    </row>
    <row r="147" customFormat="false" ht="15" hidden="false" customHeight="false" outlineLevel="0" collapsed="false">
      <c r="A147" s="48" t="n">
        <f aca="false">ROUND(A146+0.1,1)</f>
        <v>23.5</v>
      </c>
      <c r="B147" s="24" t="n">
        <f aca="false">MIN(LTV*A147,LOOKUP(A147,LoanLo,LoanCap))</f>
        <v>4</v>
      </c>
      <c r="C147" s="21" t="n">
        <f aca="false">A147*IF(A147&lt;=6,0.01,IF(A147&lt;=9,(A147*2/3-3)/100,0.03))*(1+EduAcq)</f>
        <v>0.7755</v>
      </c>
      <c r="D147" s="21" t="n">
        <f aca="false">A147*LOOKUP(A147,FeeLo,FeeR)*(1+VAT)+EtcBuy</f>
        <v>0.20095</v>
      </c>
      <c r="E147" s="24" t="n">
        <f aca="false">A147-B147+C147+D147</f>
        <v>20.47645</v>
      </c>
    </row>
    <row r="148" customFormat="false" ht="15" hidden="false" customHeight="false" outlineLevel="0" collapsed="false">
      <c r="A148" s="48" t="n">
        <f aca="false">ROUND(A147+0.1,1)</f>
        <v>23.6</v>
      </c>
      <c r="B148" s="24" t="n">
        <f aca="false">MIN(LTV*A148,LOOKUP(A148,LoanLo,LoanCap))</f>
        <v>4</v>
      </c>
      <c r="C148" s="21" t="n">
        <f aca="false">A148*IF(A148&lt;=6,0.01,IF(A148&lt;=9,(A148*2/3-3)/100,0.03))*(1+EduAcq)</f>
        <v>0.7788</v>
      </c>
      <c r="D148" s="21" t="n">
        <f aca="false">A148*LOOKUP(A148,FeeLo,FeeR)*(1+VAT)+EtcBuy</f>
        <v>0.20172</v>
      </c>
      <c r="E148" s="24" t="n">
        <f aca="false">A148-B148+C148+D148</f>
        <v>20.58052</v>
      </c>
    </row>
    <row r="149" customFormat="false" ht="15" hidden="false" customHeight="false" outlineLevel="0" collapsed="false">
      <c r="A149" s="48" t="n">
        <f aca="false">ROUND(A148+0.1,1)</f>
        <v>23.7</v>
      </c>
      <c r="B149" s="24" t="n">
        <f aca="false">MIN(LTV*A149,LOOKUP(A149,LoanLo,LoanCap))</f>
        <v>4</v>
      </c>
      <c r="C149" s="21" t="n">
        <f aca="false">A149*IF(A149&lt;=6,0.01,IF(A149&lt;=9,(A149*2/3-3)/100,0.03))*(1+EduAcq)</f>
        <v>0.7821</v>
      </c>
      <c r="D149" s="21" t="n">
        <f aca="false">A149*LOOKUP(A149,FeeLo,FeeR)*(1+VAT)+EtcBuy</f>
        <v>0.20249</v>
      </c>
      <c r="E149" s="24" t="n">
        <f aca="false">A149-B149+C149+D149</f>
        <v>20.68459</v>
      </c>
    </row>
    <row r="150" customFormat="false" ht="15" hidden="false" customHeight="false" outlineLevel="0" collapsed="false">
      <c r="A150" s="48" t="n">
        <f aca="false">ROUND(A149+0.1,1)</f>
        <v>23.8</v>
      </c>
      <c r="B150" s="24" t="n">
        <f aca="false">MIN(LTV*A150,LOOKUP(A150,LoanLo,LoanCap))</f>
        <v>4</v>
      </c>
      <c r="C150" s="21" t="n">
        <f aca="false">A150*IF(A150&lt;=6,0.01,IF(A150&lt;=9,(A150*2/3-3)/100,0.03))*(1+EduAcq)</f>
        <v>0.7854</v>
      </c>
      <c r="D150" s="21" t="n">
        <f aca="false">A150*LOOKUP(A150,FeeLo,FeeR)*(1+VAT)+EtcBuy</f>
        <v>0.20326</v>
      </c>
      <c r="E150" s="24" t="n">
        <f aca="false">A150-B150+C150+D150</f>
        <v>20.78866</v>
      </c>
    </row>
    <row r="151" customFormat="false" ht="15" hidden="false" customHeight="false" outlineLevel="0" collapsed="false">
      <c r="A151" s="48" t="n">
        <f aca="false">ROUND(A150+0.1,1)</f>
        <v>23.9</v>
      </c>
      <c r="B151" s="24" t="n">
        <f aca="false">MIN(LTV*A151,LOOKUP(A151,LoanLo,LoanCap))</f>
        <v>4</v>
      </c>
      <c r="C151" s="21" t="n">
        <f aca="false">A151*IF(A151&lt;=6,0.01,IF(A151&lt;=9,(A151*2/3-3)/100,0.03))*(1+EduAcq)</f>
        <v>0.7887</v>
      </c>
      <c r="D151" s="21" t="n">
        <f aca="false">A151*LOOKUP(A151,FeeLo,FeeR)*(1+VAT)+EtcBuy</f>
        <v>0.20403</v>
      </c>
      <c r="E151" s="24" t="n">
        <f aca="false">A151-B151+C151+D151</f>
        <v>20.89273</v>
      </c>
    </row>
    <row r="152" customFormat="false" ht="15" hidden="false" customHeight="false" outlineLevel="0" collapsed="false">
      <c r="A152" s="48" t="n">
        <f aca="false">ROUND(A151+0.1,1)</f>
        <v>24</v>
      </c>
      <c r="B152" s="24" t="n">
        <f aca="false">MIN(LTV*A152,LOOKUP(A152,LoanLo,LoanCap))</f>
        <v>4</v>
      </c>
      <c r="C152" s="21" t="n">
        <f aca="false">A152*IF(A152&lt;=6,0.01,IF(A152&lt;=9,(A152*2/3-3)/100,0.03))*(1+EduAcq)</f>
        <v>0.792</v>
      </c>
      <c r="D152" s="21" t="n">
        <f aca="false">A152*LOOKUP(A152,FeeLo,FeeR)*(1+VAT)+EtcBuy</f>
        <v>0.2048</v>
      </c>
      <c r="E152" s="24" t="n">
        <f aca="false">A152-B152+C152+D152</f>
        <v>20.9968</v>
      </c>
    </row>
    <row r="153" customFormat="false" ht="15" hidden="false" customHeight="false" outlineLevel="0" collapsed="false">
      <c r="A153" s="48" t="n">
        <f aca="false">ROUND(A152+0.1,1)</f>
        <v>24.1</v>
      </c>
      <c r="B153" s="24" t="n">
        <f aca="false">MIN(LTV*A153,LOOKUP(A153,LoanLo,LoanCap))</f>
        <v>4</v>
      </c>
      <c r="C153" s="21" t="n">
        <f aca="false">A153*IF(A153&lt;=6,0.01,IF(A153&lt;=9,(A153*2/3-3)/100,0.03))*(1+EduAcq)</f>
        <v>0.7953</v>
      </c>
      <c r="D153" s="21" t="n">
        <f aca="false">A153*LOOKUP(A153,FeeLo,FeeR)*(1+VAT)+EtcBuy</f>
        <v>0.20557</v>
      </c>
      <c r="E153" s="24" t="n">
        <f aca="false">A153-B153+C153+D153</f>
        <v>21.10087</v>
      </c>
    </row>
    <row r="154" customFormat="false" ht="15" hidden="false" customHeight="false" outlineLevel="0" collapsed="false">
      <c r="A154" s="48" t="n">
        <f aca="false">ROUND(A153+0.1,1)</f>
        <v>24.2</v>
      </c>
      <c r="B154" s="24" t="n">
        <f aca="false">MIN(LTV*A154,LOOKUP(A154,LoanLo,LoanCap))</f>
        <v>4</v>
      </c>
      <c r="C154" s="21" t="n">
        <f aca="false">A154*IF(A154&lt;=6,0.01,IF(A154&lt;=9,(A154*2/3-3)/100,0.03))*(1+EduAcq)</f>
        <v>0.7986</v>
      </c>
      <c r="D154" s="21" t="n">
        <f aca="false">A154*LOOKUP(A154,FeeLo,FeeR)*(1+VAT)+EtcBuy</f>
        <v>0.20634</v>
      </c>
      <c r="E154" s="24" t="n">
        <f aca="false">A154-B154+C154+D154</f>
        <v>21.20494</v>
      </c>
    </row>
    <row r="155" customFormat="false" ht="15" hidden="false" customHeight="false" outlineLevel="0" collapsed="false">
      <c r="A155" s="48" t="n">
        <f aca="false">ROUND(A154+0.1,1)</f>
        <v>24.3</v>
      </c>
      <c r="B155" s="24" t="n">
        <f aca="false">MIN(LTV*A155,LOOKUP(A155,LoanLo,LoanCap))</f>
        <v>4</v>
      </c>
      <c r="C155" s="21" t="n">
        <f aca="false">A155*IF(A155&lt;=6,0.01,IF(A155&lt;=9,(A155*2/3-3)/100,0.03))*(1+EduAcq)</f>
        <v>0.8019</v>
      </c>
      <c r="D155" s="21" t="n">
        <f aca="false">A155*LOOKUP(A155,FeeLo,FeeR)*(1+VAT)+EtcBuy</f>
        <v>0.20711</v>
      </c>
      <c r="E155" s="24" t="n">
        <f aca="false">A155-B155+C155+D155</f>
        <v>21.30901</v>
      </c>
    </row>
    <row r="156" customFormat="false" ht="15" hidden="false" customHeight="false" outlineLevel="0" collapsed="false">
      <c r="A156" s="48" t="n">
        <f aca="false">ROUND(A155+0.1,1)</f>
        <v>24.4</v>
      </c>
      <c r="B156" s="24" t="n">
        <f aca="false">MIN(LTV*A156,LOOKUP(A156,LoanLo,LoanCap))</f>
        <v>4</v>
      </c>
      <c r="C156" s="21" t="n">
        <f aca="false">A156*IF(A156&lt;=6,0.01,IF(A156&lt;=9,(A156*2/3-3)/100,0.03))*(1+EduAcq)</f>
        <v>0.8052</v>
      </c>
      <c r="D156" s="21" t="n">
        <f aca="false">A156*LOOKUP(A156,FeeLo,FeeR)*(1+VAT)+EtcBuy</f>
        <v>0.20788</v>
      </c>
      <c r="E156" s="24" t="n">
        <f aca="false">A156-B156+C156+D156</f>
        <v>21.41308</v>
      </c>
    </row>
    <row r="157" customFormat="false" ht="15" hidden="false" customHeight="false" outlineLevel="0" collapsed="false">
      <c r="A157" s="48" t="n">
        <f aca="false">ROUND(A156+0.1,1)</f>
        <v>24.5</v>
      </c>
      <c r="B157" s="24" t="n">
        <f aca="false">MIN(LTV*A157,LOOKUP(A157,LoanLo,LoanCap))</f>
        <v>4</v>
      </c>
      <c r="C157" s="21" t="n">
        <f aca="false">A157*IF(A157&lt;=6,0.01,IF(A157&lt;=9,(A157*2/3-3)/100,0.03))*(1+EduAcq)</f>
        <v>0.8085</v>
      </c>
      <c r="D157" s="21" t="n">
        <f aca="false">A157*LOOKUP(A157,FeeLo,FeeR)*(1+VAT)+EtcBuy</f>
        <v>0.20865</v>
      </c>
      <c r="E157" s="24" t="n">
        <f aca="false">A157-B157+C157+D157</f>
        <v>21.51715</v>
      </c>
    </row>
    <row r="158" customFormat="false" ht="15" hidden="false" customHeight="false" outlineLevel="0" collapsed="false">
      <c r="A158" s="48" t="n">
        <f aca="false">ROUND(A157+0.1,1)</f>
        <v>24.6</v>
      </c>
      <c r="B158" s="24" t="n">
        <f aca="false">MIN(LTV*A158,LOOKUP(A158,LoanLo,LoanCap))</f>
        <v>4</v>
      </c>
      <c r="C158" s="21" t="n">
        <f aca="false">A158*IF(A158&lt;=6,0.01,IF(A158&lt;=9,(A158*2/3-3)/100,0.03))*(1+EduAcq)</f>
        <v>0.8118</v>
      </c>
      <c r="D158" s="21" t="n">
        <f aca="false">A158*LOOKUP(A158,FeeLo,FeeR)*(1+VAT)+EtcBuy</f>
        <v>0.20942</v>
      </c>
      <c r="E158" s="24" t="n">
        <f aca="false">A158-B158+C158+D158</f>
        <v>21.62122</v>
      </c>
    </row>
    <row r="159" customFormat="false" ht="15" hidden="false" customHeight="false" outlineLevel="0" collapsed="false">
      <c r="A159" s="48" t="n">
        <f aca="false">ROUND(A158+0.1,1)</f>
        <v>24.7</v>
      </c>
      <c r="B159" s="24" t="n">
        <f aca="false">MIN(LTV*A159,LOOKUP(A159,LoanLo,LoanCap))</f>
        <v>4</v>
      </c>
      <c r="C159" s="21" t="n">
        <f aca="false">A159*IF(A159&lt;=6,0.01,IF(A159&lt;=9,(A159*2/3-3)/100,0.03))*(1+EduAcq)</f>
        <v>0.8151</v>
      </c>
      <c r="D159" s="21" t="n">
        <f aca="false">A159*LOOKUP(A159,FeeLo,FeeR)*(1+VAT)+EtcBuy</f>
        <v>0.21019</v>
      </c>
      <c r="E159" s="24" t="n">
        <f aca="false">A159-B159+C159+D159</f>
        <v>21.72529</v>
      </c>
    </row>
    <row r="160" customFormat="false" ht="15" hidden="false" customHeight="false" outlineLevel="0" collapsed="false">
      <c r="A160" s="48" t="n">
        <f aca="false">ROUND(A159+0.1,1)</f>
        <v>24.8</v>
      </c>
      <c r="B160" s="24" t="n">
        <f aca="false">MIN(LTV*A160,LOOKUP(A160,LoanLo,LoanCap))</f>
        <v>4</v>
      </c>
      <c r="C160" s="21" t="n">
        <f aca="false">A160*IF(A160&lt;=6,0.01,IF(A160&lt;=9,(A160*2/3-3)/100,0.03))*(1+EduAcq)</f>
        <v>0.8184</v>
      </c>
      <c r="D160" s="21" t="n">
        <f aca="false">A160*LOOKUP(A160,FeeLo,FeeR)*(1+VAT)+EtcBuy</f>
        <v>0.21096</v>
      </c>
      <c r="E160" s="24" t="n">
        <f aca="false">A160-B160+C160+D160</f>
        <v>21.82936</v>
      </c>
    </row>
    <row r="161" customFormat="false" ht="15" hidden="false" customHeight="false" outlineLevel="0" collapsed="false">
      <c r="A161" s="48" t="n">
        <f aca="false">ROUND(A160+0.1,1)</f>
        <v>24.9</v>
      </c>
      <c r="B161" s="24" t="n">
        <f aca="false">MIN(LTV*A161,LOOKUP(A161,LoanLo,LoanCap))</f>
        <v>4</v>
      </c>
      <c r="C161" s="21" t="n">
        <f aca="false">A161*IF(A161&lt;=6,0.01,IF(A161&lt;=9,(A161*2/3-3)/100,0.03))*(1+EduAcq)</f>
        <v>0.8217</v>
      </c>
      <c r="D161" s="21" t="n">
        <f aca="false">A161*LOOKUP(A161,FeeLo,FeeR)*(1+VAT)+EtcBuy</f>
        <v>0.21173</v>
      </c>
      <c r="E161" s="24" t="n">
        <f aca="false">A161-B161+C161+D161</f>
        <v>21.93343</v>
      </c>
    </row>
    <row r="162" customFormat="false" ht="15" hidden="false" customHeight="false" outlineLevel="0" collapsed="false">
      <c r="A162" s="48" t="n">
        <f aca="false">ROUND(A161+0.1,1)</f>
        <v>25</v>
      </c>
      <c r="B162" s="24" t="n">
        <f aca="false">MIN(LTV*A162,LOOKUP(A162,LoanLo,LoanCap))</f>
        <v>4</v>
      </c>
      <c r="C162" s="21" t="n">
        <f aca="false">A162*IF(A162&lt;=6,0.01,IF(A162&lt;=9,(A162*2/3-3)/100,0.03))*(1+EduAcq)</f>
        <v>0.825</v>
      </c>
      <c r="D162" s="21" t="n">
        <f aca="false">A162*LOOKUP(A162,FeeLo,FeeR)*(1+VAT)+EtcBuy</f>
        <v>0.2125</v>
      </c>
      <c r="E162" s="24" t="n">
        <f aca="false">A162-B162+C162+D162</f>
        <v>22.0375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9.4" hidden="false" customHeight="false" outlineLevel="0" collapsed="false">
      <c r="A1" s="1" t="s">
        <v>211</v>
      </c>
    </row>
    <row r="3" customFormat="false" ht="42" hidden="false" customHeight="true" outlineLevel="0" collapsed="false">
      <c r="A3" s="13" t="s">
        <v>212</v>
      </c>
      <c r="B3" s="13" t="s">
        <v>213</v>
      </c>
      <c r="C3" s="13" t="s">
        <v>214</v>
      </c>
    </row>
    <row r="4" customFormat="false" ht="15" hidden="false" customHeight="false" outlineLevel="0" collapsed="false">
      <c r="A4" s="4" t="s">
        <v>215</v>
      </c>
      <c r="B4" s="50" t="n">
        <v>12</v>
      </c>
      <c r="C4" s="42" t="s">
        <v>216</v>
      </c>
    </row>
    <row r="5" customFormat="false" ht="15" hidden="false" customHeight="false" outlineLevel="0" collapsed="false">
      <c r="A5" s="4" t="s">
        <v>217</v>
      </c>
      <c r="B5" s="50" t="n">
        <v>14</v>
      </c>
      <c r="C5" s="42" t="s">
        <v>218</v>
      </c>
    </row>
    <row r="6" customFormat="false" ht="15" hidden="false" customHeight="false" outlineLevel="0" collapsed="false">
      <c r="A6" s="4" t="s">
        <v>219</v>
      </c>
      <c r="B6" s="50" t="n">
        <v>16</v>
      </c>
      <c r="C6" s="42" t="s">
        <v>220</v>
      </c>
    </row>
    <row r="7" customFormat="false" ht="15" hidden="false" customHeight="false" outlineLevel="0" collapsed="false">
      <c r="A7" s="4" t="s">
        <v>221</v>
      </c>
      <c r="B7" s="51" t="n">
        <v>0.04</v>
      </c>
      <c r="C7" s="42" t="s">
        <v>222</v>
      </c>
    </row>
    <row r="8" customFormat="false" ht="15" hidden="false" customHeight="false" outlineLevel="0" collapsed="false">
      <c r="A8" s="4" t="s">
        <v>223</v>
      </c>
      <c r="B8" s="52" t="n">
        <v>30</v>
      </c>
      <c r="C8" s="42" t="s">
        <v>224</v>
      </c>
    </row>
    <row r="9" customFormat="false" ht="15" hidden="false" customHeight="false" outlineLevel="0" collapsed="false">
      <c r="A9" s="3" t="s">
        <v>225</v>
      </c>
      <c r="B9" s="53" t="n">
        <v>0.4</v>
      </c>
      <c r="C9" s="39" t="s">
        <v>226</v>
      </c>
    </row>
    <row r="10" customFormat="false" ht="15" hidden="false" customHeight="false" outlineLevel="0" collapsed="false">
      <c r="A10" s="3" t="s">
        <v>227</v>
      </c>
      <c r="B10" s="54" t="n">
        <v>0.03</v>
      </c>
      <c r="C10" s="42" t="s">
        <v>228</v>
      </c>
    </row>
    <row r="11" customFormat="false" ht="15" hidden="false" customHeight="false" outlineLevel="0" collapsed="false">
      <c r="A11" s="3" t="s">
        <v>229</v>
      </c>
      <c r="B11" s="55" t="n">
        <v>0.4</v>
      </c>
      <c r="C11" s="42" t="s">
        <v>230</v>
      </c>
    </row>
    <row r="12" customFormat="false" ht="15" hidden="false" customHeight="false" outlineLevel="0" collapsed="false">
      <c r="A12" s="4" t="s">
        <v>231</v>
      </c>
      <c r="B12" s="56" t="n">
        <v>0.02</v>
      </c>
      <c r="C12" s="42" t="s">
        <v>232</v>
      </c>
    </row>
    <row r="13" customFormat="false" ht="15" hidden="false" customHeight="false" outlineLevel="0" collapsed="false">
      <c r="A13" s="4" t="s">
        <v>233</v>
      </c>
      <c r="B13" s="56" t="n">
        <v>0.04</v>
      </c>
      <c r="C13" s="42" t="s">
        <v>234</v>
      </c>
    </row>
    <row r="14" customFormat="false" ht="15" hidden="false" customHeight="false" outlineLevel="0" collapsed="false">
      <c r="A14" s="4" t="s">
        <v>235</v>
      </c>
      <c r="B14" s="56" t="n">
        <v>0.06</v>
      </c>
      <c r="C14" s="42" t="s">
        <v>236</v>
      </c>
    </row>
    <row r="15" customFormat="false" ht="15" hidden="false" customHeight="false" outlineLevel="0" collapsed="false">
      <c r="A15" s="4" t="s">
        <v>237</v>
      </c>
      <c r="B15" s="55" t="n">
        <v>0.52</v>
      </c>
      <c r="C15" s="42" t="s">
        <v>238</v>
      </c>
    </row>
    <row r="16" customFormat="false" ht="15" hidden="false" customHeight="false" outlineLevel="0" collapsed="false">
      <c r="A16" s="4" t="s">
        <v>239</v>
      </c>
      <c r="B16" s="55" t="n">
        <v>0.69</v>
      </c>
      <c r="C16" s="39" t="s">
        <v>240</v>
      </c>
    </row>
    <row r="17" customFormat="false" ht="15" hidden="false" customHeight="false" outlineLevel="0" collapsed="false">
      <c r="A17" s="4" t="s">
        <v>241</v>
      </c>
      <c r="B17" s="55" t="n">
        <v>0.6</v>
      </c>
      <c r="C17" s="39" t="s">
        <v>242</v>
      </c>
    </row>
    <row r="18" customFormat="false" ht="15" hidden="false" customHeight="false" outlineLevel="0" collapsed="false">
      <c r="A18" s="4" t="s">
        <v>243</v>
      </c>
      <c r="B18" s="55" t="n">
        <v>0.6</v>
      </c>
      <c r="C18" s="42" t="s">
        <v>244</v>
      </c>
    </row>
    <row r="19" customFormat="false" ht="15" hidden="false" customHeight="false" outlineLevel="0" collapsed="false">
      <c r="A19" s="4" t="s">
        <v>245</v>
      </c>
      <c r="B19" s="49" t="n">
        <v>12</v>
      </c>
      <c r="C19" s="39" t="s">
        <v>246</v>
      </c>
    </row>
    <row r="20" customFormat="false" ht="15" hidden="false" customHeight="false" outlineLevel="0" collapsed="false">
      <c r="A20" s="4" t="s">
        <v>247</v>
      </c>
      <c r="B20" s="49" t="n">
        <v>9</v>
      </c>
      <c r="C20" s="39" t="s">
        <v>248</v>
      </c>
    </row>
    <row r="21" customFormat="false" ht="15" hidden="false" customHeight="false" outlineLevel="0" collapsed="false">
      <c r="A21" s="4" t="s">
        <v>249</v>
      </c>
      <c r="B21" s="57" t="n">
        <v>0.0014</v>
      </c>
      <c r="C21" s="42" t="s">
        <v>250</v>
      </c>
    </row>
    <row r="22" customFormat="false" ht="15" hidden="false" customHeight="false" outlineLevel="0" collapsed="false">
      <c r="A22" s="4" t="s">
        <v>251</v>
      </c>
      <c r="B22" s="55" t="n">
        <v>0.2</v>
      </c>
      <c r="C22" s="42" t="s">
        <v>252</v>
      </c>
    </row>
    <row r="23" customFormat="false" ht="15" hidden="false" customHeight="false" outlineLevel="0" collapsed="false">
      <c r="A23" s="4" t="s">
        <v>253</v>
      </c>
      <c r="B23" s="55" t="n">
        <v>0.2</v>
      </c>
      <c r="C23" s="42" t="s">
        <v>254</v>
      </c>
    </row>
    <row r="24" customFormat="false" ht="15" hidden="false" customHeight="false" outlineLevel="0" collapsed="false">
      <c r="A24" s="4" t="s">
        <v>255</v>
      </c>
      <c r="B24" s="55" t="n">
        <v>0.1</v>
      </c>
      <c r="C24" s="39" t="s">
        <v>256</v>
      </c>
    </row>
    <row r="25" customFormat="false" ht="15" hidden="false" customHeight="false" outlineLevel="0" collapsed="false">
      <c r="A25" s="4" t="s">
        <v>257</v>
      </c>
      <c r="B25" s="54" t="n">
        <v>0.002</v>
      </c>
      <c r="C25" s="42" t="s">
        <v>258</v>
      </c>
    </row>
    <row r="26" customFormat="false" ht="15" hidden="false" customHeight="false" outlineLevel="0" collapsed="false">
      <c r="A26" s="4" t="s">
        <v>259</v>
      </c>
      <c r="B26" s="55" t="n">
        <v>0.1</v>
      </c>
      <c r="C26" s="42" t="s">
        <v>260</v>
      </c>
    </row>
    <row r="27" customFormat="false" ht="15" hidden="false" customHeight="false" outlineLevel="0" collapsed="false">
      <c r="A27" s="4" t="s">
        <v>261</v>
      </c>
      <c r="B27" s="37" t="n">
        <v>0.02</v>
      </c>
      <c r="C27" s="42" t="s">
        <v>262</v>
      </c>
    </row>
    <row r="28" customFormat="false" ht="15" hidden="false" customHeight="false" outlineLevel="0" collapsed="false">
      <c r="A28" s="4" t="s">
        <v>263</v>
      </c>
      <c r="B28" s="58" t="n">
        <v>0.025</v>
      </c>
      <c r="C28" s="42" t="s">
        <v>264</v>
      </c>
    </row>
    <row r="29" customFormat="false" ht="15" hidden="false" customHeight="false" outlineLevel="0" collapsed="false">
      <c r="A29" s="4" t="s">
        <v>265</v>
      </c>
      <c r="B29" s="55" t="n">
        <v>0.1</v>
      </c>
      <c r="C29" s="42" t="s">
        <v>266</v>
      </c>
    </row>
    <row r="30" customFormat="false" ht="15" hidden="false" customHeight="false" outlineLevel="0" collapsed="false">
      <c r="A30" s="3" t="s">
        <v>267</v>
      </c>
      <c r="B30" s="49" t="n">
        <v>12</v>
      </c>
      <c r="C30" s="39" t="s">
        <v>268</v>
      </c>
    </row>
    <row r="31" customFormat="false" ht="15" hidden="false" customHeight="false" outlineLevel="0" collapsed="false">
      <c r="A31" s="4" t="s">
        <v>269</v>
      </c>
      <c r="B31" s="55" t="n">
        <v>0.04</v>
      </c>
      <c r="C31" s="39" t="s">
        <v>270</v>
      </c>
    </row>
    <row r="32" customFormat="false" ht="15" hidden="false" customHeight="false" outlineLevel="0" collapsed="false">
      <c r="A32" s="4" t="s">
        <v>271</v>
      </c>
      <c r="B32" s="55" t="n">
        <v>0.04</v>
      </c>
      <c r="C32" s="42" t="s">
        <v>272</v>
      </c>
    </row>
    <row r="33" customFormat="false" ht="15" hidden="false" customHeight="false" outlineLevel="0" collapsed="false">
      <c r="A33" s="4" t="s">
        <v>273</v>
      </c>
      <c r="B33" s="55" t="n">
        <v>0.8</v>
      </c>
      <c r="C33" s="42"/>
    </row>
    <row r="34" customFormat="false" ht="15" hidden="false" customHeight="false" outlineLevel="0" collapsed="false">
      <c r="A34" s="4" t="s">
        <v>274</v>
      </c>
      <c r="B34" s="8" t="n">
        <v>0</v>
      </c>
      <c r="C34" s="42" t="s">
        <v>275</v>
      </c>
    </row>
    <row r="35" customFormat="false" ht="15" hidden="false" customHeight="false" outlineLevel="0" collapsed="false">
      <c r="A35" s="4" t="s">
        <v>276</v>
      </c>
      <c r="B35" s="8" t="n">
        <v>2</v>
      </c>
      <c r="C35" s="42" t="s">
        <v>277</v>
      </c>
    </row>
    <row r="36" customFormat="false" ht="15" hidden="false" customHeight="false" outlineLevel="0" collapsed="false">
      <c r="A36" s="4" t="s">
        <v>278</v>
      </c>
      <c r="B36" s="53" t="n">
        <v>0.5</v>
      </c>
      <c r="C36" s="42" t="s">
        <v>279</v>
      </c>
    </row>
    <row r="37" customFormat="false" ht="15" hidden="false" customHeight="false" outlineLevel="0" collapsed="false">
      <c r="A37" s="4" t="s">
        <v>280</v>
      </c>
      <c r="B37" s="56" t="n">
        <v>0.03</v>
      </c>
      <c r="C37" s="42" t="s">
        <v>281</v>
      </c>
    </row>
    <row r="38" customFormat="false" ht="15" hidden="false" customHeight="false" outlineLevel="0" collapsed="false">
      <c r="A38" s="4" t="s">
        <v>282</v>
      </c>
      <c r="B38" s="54" t="n">
        <v>0.154</v>
      </c>
      <c r="C38" s="39" t="s">
        <v>283</v>
      </c>
    </row>
    <row r="39" customFormat="false" ht="15" hidden="false" customHeight="false" outlineLevel="0" collapsed="false">
      <c r="A39" s="9" t="s">
        <v>284</v>
      </c>
      <c r="B39" s="59" t="n">
        <f aca="false">Rate/12</f>
        <v>0.00333333333333333</v>
      </c>
      <c r="C39" s="60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</cols>
  <sheetData>
    <row r="1" customFormat="false" ht="19.4" hidden="false" customHeight="false" outlineLevel="0" collapsed="false">
      <c r="A1" s="1" t="s">
        <v>286</v>
      </c>
    </row>
    <row r="2" customFormat="false" ht="15" hidden="false" customHeight="false" outlineLevel="0" collapsed="false">
      <c r="A2" s="11" t="s">
        <v>287</v>
      </c>
    </row>
    <row r="4" customFormat="false" ht="15" hidden="false" customHeight="false" outlineLevel="0" collapsed="false">
      <c r="A4" s="12" t="s">
        <v>288</v>
      </c>
      <c r="E4" s="61" t="s">
        <v>289</v>
      </c>
    </row>
    <row r="5" customFormat="false" ht="27.75" hidden="false" customHeight="true" outlineLevel="0" collapsed="false">
      <c r="A5" s="13" t="s">
        <v>290</v>
      </c>
      <c r="B5" s="13" t="s">
        <v>291</v>
      </c>
      <c r="C5" s="13" t="s">
        <v>292</v>
      </c>
    </row>
    <row r="6" customFormat="false" ht="15" hidden="false" customHeight="false" outlineLevel="0" collapsed="false">
      <c r="A6" s="37" t="n">
        <v>0</v>
      </c>
      <c r="B6" s="54" t="n">
        <v>0.06</v>
      </c>
      <c r="C6" s="62" t="n">
        <f aca="false">B6</f>
        <v>0.06</v>
      </c>
    </row>
    <row r="7" customFormat="false" ht="15" hidden="false" customHeight="false" outlineLevel="0" collapsed="false">
      <c r="A7" s="37" t="n">
        <v>0.14</v>
      </c>
      <c r="B7" s="54" t="n">
        <v>0.15</v>
      </c>
      <c r="C7" s="62" t="n">
        <f aca="false">B7-B6</f>
        <v>0.09</v>
      </c>
    </row>
    <row r="8" customFormat="false" ht="15" hidden="false" customHeight="false" outlineLevel="0" collapsed="false">
      <c r="A8" s="37" t="n">
        <v>0.5</v>
      </c>
      <c r="B8" s="54" t="n">
        <v>0.24</v>
      </c>
      <c r="C8" s="62" t="n">
        <f aca="false">B8-B7</f>
        <v>0.09</v>
      </c>
    </row>
    <row r="9" customFormat="false" ht="15" hidden="false" customHeight="false" outlineLevel="0" collapsed="false">
      <c r="A9" s="37" t="n">
        <v>0.88</v>
      </c>
      <c r="B9" s="54" t="n">
        <v>0.35</v>
      </c>
      <c r="C9" s="62" t="n">
        <f aca="false">B9-B8</f>
        <v>0.11</v>
      </c>
    </row>
    <row r="10" customFormat="false" ht="15" hidden="false" customHeight="false" outlineLevel="0" collapsed="false">
      <c r="A10" s="37" t="n">
        <v>1.5</v>
      </c>
      <c r="B10" s="54" t="n">
        <v>0.38</v>
      </c>
      <c r="C10" s="62" t="n">
        <f aca="false">B10-B9</f>
        <v>0.03</v>
      </c>
    </row>
    <row r="11" customFormat="false" ht="15" hidden="false" customHeight="false" outlineLevel="0" collapsed="false">
      <c r="A11" s="37" t="n">
        <v>3</v>
      </c>
      <c r="B11" s="54" t="n">
        <v>0.4</v>
      </c>
      <c r="C11" s="62" t="n">
        <f aca="false">B11-B10</f>
        <v>0.02</v>
      </c>
    </row>
    <row r="12" customFormat="false" ht="15" hidden="false" customHeight="false" outlineLevel="0" collapsed="false">
      <c r="A12" s="37" t="n">
        <v>5</v>
      </c>
      <c r="B12" s="54" t="n">
        <v>0.42</v>
      </c>
      <c r="C12" s="62" t="n">
        <f aca="false">B12-B11</f>
        <v>0.02</v>
      </c>
    </row>
    <row r="13" customFormat="false" ht="15" hidden="false" customHeight="false" outlineLevel="0" collapsed="false">
      <c r="A13" s="37" t="n">
        <v>10</v>
      </c>
      <c r="B13" s="54" t="n">
        <v>0.45</v>
      </c>
      <c r="C13" s="62" t="n">
        <f aca="false">B13-B12</f>
        <v>0.03</v>
      </c>
    </row>
    <row r="15" customFormat="false" ht="15" hidden="false" customHeight="false" outlineLevel="0" collapsed="false">
      <c r="A15" s="12" t="s">
        <v>293</v>
      </c>
    </row>
    <row r="16" customFormat="false" ht="27.75" hidden="false" customHeight="true" outlineLevel="0" collapsed="false">
      <c r="A16" s="13" t="s">
        <v>290</v>
      </c>
      <c r="B16" s="13" t="s">
        <v>291</v>
      </c>
      <c r="C16" s="13" t="s">
        <v>292</v>
      </c>
    </row>
    <row r="17" customFormat="false" ht="15" hidden="false" customHeight="false" outlineLevel="0" collapsed="false">
      <c r="A17" s="37" t="n">
        <v>0</v>
      </c>
      <c r="B17" s="57" t="n">
        <v>0.001</v>
      </c>
      <c r="C17" s="62" t="n">
        <f aca="false">B17</f>
        <v>0.001</v>
      </c>
    </row>
    <row r="18" customFormat="false" ht="15" hidden="false" customHeight="false" outlineLevel="0" collapsed="false">
      <c r="A18" s="37" t="n">
        <v>0.6</v>
      </c>
      <c r="B18" s="57" t="n">
        <v>0.0015</v>
      </c>
      <c r="C18" s="62" t="n">
        <f aca="false">B18-B17</f>
        <v>0.0005</v>
      </c>
    </row>
    <row r="19" customFormat="false" ht="15" hidden="false" customHeight="false" outlineLevel="0" collapsed="false">
      <c r="A19" s="37" t="n">
        <v>1.5</v>
      </c>
      <c r="B19" s="57" t="n">
        <v>0.0025</v>
      </c>
      <c r="C19" s="62" t="n">
        <f aca="false">B19-B18</f>
        <v>0.001</v>
      </c>
    </row>
    <row r="20" customFormat="false" ht="15" hidden="false" customHeight="false" outlineLevel="0" collapsed="false">
      <c r="A20" s="37" t="n">
        <v>3</v>
      </c>
      <c r="B20" s="57" t="n">
        <v>0.004</v>
      </c>
      <c r="C20" s="62" t="n">
        <f aca="false">B20-B19</f>
        <v>0.0015</v>
      </c>
    </row>
    <row r="22" customFormat="false" ht="15" hidden="false" customHeight="false" outlineLevel="0" collapsed="false">
      <c r="A22" s="12" t="s">
        <v>294</v>
      </c>
    </row>
    <row r="23" customFormat="false" ht="27.75" hidden="false" customHeight="true" outlineLevel="0" collapsed="false">
      <c r="A23" s="13" t="s">
        <v>290</v>
      </c>
      <c r="B23" s="13" t="s">
        <v>291</v>
      </c>
      <c r="C23" s="13" t="s">
        <v>292</v>
      </c>
    </row>
    <row r="24" customFormat="false" ht="15" hidden="false" customHeight="false" outlineLevel="0" collapsed="false">
      <c r="A24" s="37" t="n">
        <v>0</v>
      </c>
      <c r="B24" s="57" t="n">
        <v>0.0005</v>
      </c>
      <c r="C24" s="62" t="n">
        <f aca="false">B24</f>
        <v>0.0005</v>
      </c>
    </row>
    <row r="25" customFormat="false" ht="15" hidden="false" customHeight="false" outlineLevel="0" collapsed="false">
      <c r="A25" s="37" t="n">
        <v>0.6</v>
      </c>
      <c r="B25" s="57" t="n">
        <v>0.001</v>
      </c>
      <c r="C25" s="62" t="n">
        <f aca="false">B25-B24</f>
        <v>0.0005</v>
      </c>
    </row>
    <row r="26" customFormat="false" ht="15" hidden="false" customHeight="false" outlineLevel="0" collapsed="false">
      <c r="A26" s="37" t="n">
        <v>1.5</v>
      </c>
      <c r="B26" s="57" t="n">
        <v>0.002</v>
      </c>
      <c r="C26" s="62" t="n">
        <f aca="false">B26-B25</f>
        <v>0.001</v>
      </c>
    </row>
    <row r="27" customFormat="false" ht="15" hidden="false" customHeight="false" outlineLevel="0" collapsed="false">
      <c r="A27" s="37" t="n">
        <v>3</v>
      </c>
      <c r="B27" s="57" t="n">
        <v>0.0035</v>
      </c>
      <c r="C27" s="62" t="n">
        <f aca="false">B27-B26</f>
        <v>0.0015</v>
      </c>
    </row>
    <row r="29" customFormat="false" ht="15" hidden="false" customHeight="false" outlineLevel="0" collapsed="false">
      <c r="A29" s="12" t="s">
        <v>295</v>
      </c>
    </row>
    <row r="30" customFormat="false" ht="27.75" hidden="false" customHeight="true" outlineLevel="0" collapsed="false">
      <c r="A30" s="13" t="s">
        <v>290</v>
      </c>
      <c r="B30" s="13" t="s">
        <v>291</v>
      </c>
      <c r="C30" s="13" t="s">
        <v>292</v>
      </c>
    </row>
    <row r="31" customFormat="false" ht="15" hidden="false" customHeight="false" outlineLevel="0" collapsed="false">
      <c r="A31" s="37" t="n">
        <v>0</v>
      </c>
      <c r="B31" s="57" t="n">
        <v>0.005</v>
      </c>
      <c r="C31" s="62" t="n">
        <f aca="false">B31</f>
        <v>0.005</v>
      </c>
    </row>
    <row r="32" customFormat="false" ht="15" hidden="false" customHeight="false" outlineLevel="0" collapsed="false">
      <c r="A32" s="37" t="n">
        <v>3</v>
      </c>
      <c r="B32" s="57" t="n">
        <v>0.007</v>
      </c>
      <c r="C32" s="62" t="n">
        <f aca="false">B32-B31</f>
        <v>0.002</v>
      </c>
    </row>
    <row r="33" customFormat="false" ht="15" hidden="false" customHeight="false" outlineLevel="0" collapsed="false">
      <c r="A33" s="37" t="n">
        <v>6</v>
      </c>
      <c r="B33" s="57" t="n">
        <v>0.01</v>
      </c>
      <c r="C33" s="62" t="n">
        <f aca="false">B33-B32</f>
        <v>0.003</v>
      </c>
    </row>
    <row r="34" customFormat="false" ht="15" hidden="false" customHeight="false" outlineLevel="0" collapsed="false">
      <c r="A34" s="37" t="n">
        <v>12</v>
      </c>
      <c r="B34" s="57" t="n">
        <v>0.013</v>
      </c>
      <c r="C34" s="62" t="n">
        <f aca="false">B34-B33</f>
        <v>0.003</v>
      </c>
    </row>
    <row r="35" customFormat="false" ht="15" hidden="false" customHeight="false" outlineLevel="0" collapsed="false">
      <c r="A35" s="37" t="n">
        <v>25</v>
      </c>
      <c r="B35" s="57" t="n">
        <v>0.015</v>
      </c>
      <c r="C35" s="62" t="n">
        <f aca="false">B35-B34</f>
        <v>0.002</v>
      </c>
    </row>
    <row r="36" customFormat="false" ht="15" hidden="false" customHeight="false" outlineLevel="0" collapsed="false">
      <c r="A36" s="37" t="n">
        <v>50</v>
      </c>
      <c r="B36" s="57" t="n">
        <v>0.02</v>
      </c>
      <c r="C36" s="62" t="n">
        <f aca="false">B36-B35</f>
        <v>0.005</v>
      </c>
    </row>
    <row r="37" customFormat="false" ht="15" hidden="false" customHeight="false" outlineLevel="0" collapsed="false">
      <c r="A37" s="37" t="n">
        <v>94</v>
      </c>
      <c r="B37" s="57" t="n">
        <v>0.027</v>
      </c>
      <c r="C37" s="62" t="n">
        <f aca="false">B37-B36</f>
        <v>0.007</v>
      </c>
    </row>
    <row r="39" customFormat="false" ht="15" hidden="false" customHeight="false" outlineLevel="0" collapsed="false">
      <c r="A39" s="12" t="s">
        <v>296</v>
      </c>
      <c r="E39" s="61" t="s">
        <v>297</v>
      </c>
    </row>
    <row r="40" customFormat="false" ht="27.75" hidden="false" customHeight="true" outlineLevel="0" collapsed="false">
      <c r="A40" s="13" t="s">
        <v>290</v>
      </c>
      <c r="B40" s="13" t="s">
        <v>298</v>
      </c>
    </row>
    <row r="41" customFormat="false" ht="15" hidden="false" customHeight="false" outlineLevel="0" collapsed="false">
      <c r="A41" s="49" t="n">
        <v>0</v>
      </c>
      <c r="B41" s="54" t="n">
        <v>0.004</v>
      </c>
    </row>
    <row r="42" customFormat="false" ht="15" hidden="false" customHeight="false" outlineLevel="0" collapsed="false">
      <c r="A42" s="49" t="n">
        <v>9</v>
      </c>
      <c r="B42" s="54" t="n">
        <v>0.005</v>
      </c>
    </row>
    <row r="43" customFormat="false" ht="15" hidden="false" customHeight="false" outlineLevel="0" collapsed="false">
      <c r="A43" s="49" t="n">
        <v>12</v>
      </c>
      <c r="B43" s="54" t="n">
        <v>0.006</v>
      </c>
    </row>
    <row r="44" customFormat="false" ht="15" hidden="false" customHeight="false" outlineLevel="0" collapsed="false">
      <c r="A44" s="49" t="n">
        <v>15</v>
      </c>
      <c r="B44" s="54" t="n">
        <v>0.007</v>
      </c>
    </row>
    <row r="46" customFormat="false" ht="15" hidden="false" customHeight="false" outlineLevel="0" collapsed="false">
      <c r="A46" s="12" t="s">
        <v>299</v>
      </c>
      <c r="E46" s="63" t="s">
        <v>300</v>
      </c>
    </row>
    <row r="47" customFormat="false" ht="27.75" hidden="false" customHeight="true" outlineLevel="0" collapsed="false">
      <c r="A47" s="13" t="s">
        <v>290</v>
      </c>
      <c r="B47" s="13" t="s">
        <v>301</v>
      </c>
    </row>
    <row r="48" customFormat="false" ht="15" hidden="false" customHeight="false" outlineLevel="0" collapsed="false">
      <c r="A48" s="64" t="n">
        <v>0</v>
      </c>
      <c r="B48" s="49" t="n">
        <v>6</v>
      </c>
    </row>
    <row r="49" customFormat="false" ht="15" hidden="false" customHeight="false" outlineLevel="0" collapsed="false">
      <c r="A49" s="64" t="n">
        <v>15.0001</v>
      </c>
      <c r="B49" s="49" t="n">
        <v>4</v>
      </c>
    </row>
    <row r="50" customFormat="false" ht="15" hidden="false" customHeight="false" outlineLevel="0" collapsed="false">
      <c r="A50" s="64" t="n">
        <v>25.0001</v>
      </c>
      <c r="B50" s="49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2026-10-20T15:13:21Z</dcterms:created>
  <dc:creator>openpyxl</dc:creator>
  <dc:description/>
  <dc:language>en-US</dc:language>
  <cp:lastModifiedBy/>
  <dcterms:modified xsi:type="dcterms:W3CDTF">2026-10-20T15:13:22Z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