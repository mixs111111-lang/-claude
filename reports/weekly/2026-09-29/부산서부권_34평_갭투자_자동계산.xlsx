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가정" sheetId="2" state="visible" r:id="rId2"/>
    <sheet name="단지분석" sheetId="3" state="visible" r:id="rId3"/>
    <sheet name="순위" sheetId="4" state="visible" r:id="rId4"/>
    <sheet name="대출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#,##0.00;(#,##0.00);-"/>
    <numFmt numFmtId="166" formatCode="0.00&quot;배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i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9" fillId="0" borderId="0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Analyst</author>
  </authors>
  <commentList>
    <comment ref="E4" authorId="0" shapeId="0">
      <text>
        <t>최신 국토부 실거래가로 교체하세요(억원).</t>
      </text>
    </comment>
    <comment ref="O4" authorId="0" shapeId="0">
      <text>
        <t>보유기간(가정!B6) 전체 누적 상승률. 애널리스트 추정.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부산 서부권 34평 7개 단지 갭투자·수익률 자동계산 시트 (데이터 기준 2026-09-29)</t>
        </is>
      </c>
    </row>
    <row r="3">
      <c r="A3" s="2" t="inlineStr">
        <is>
          <t>사용법</t>
        </is>
      </c>
      <c r="B3" s="3" t="inlineStr"/>
    </row>
    <row r="4">
      <c r="A4" s="4" t="inlineStr">
        <is>
          <t>1</t>
        </is>
      </c>
      <c r="B4" s="3" t="inlineStr">
        <is>
          <t>[가정] 시트의 노란 칸(취득세율·중개보수율·시나리오 선택)을 수정하세요.</t>
        </is>
      </c>
    </row>
    <row r="5">
      <c r="A5" s="4" t="inlineStr">
        <is>
          <t>2</t>
        </is>
      </c>
      <c r="B5" s="3" t="inlineStr">
        <is>
          <t>[단지분석] 시트의 파란 글씨·연노랑 칸(매매가·전세가·상승률·평가점수)만 입력하세요. 나머지는 모두 수식으로 자동 계산됩니다.</t>
        </is>
      </c>
    </row>
    <row r="6">
      <c r="A6" s="4" t="inlineStr">
        <is>
          <t>3</t>
        </is>
      </c>
      <c r="B6" s="3" t="inlineStr">
        <is>
          <t>[순위] 시트는 종합점수 기준 1~7위를 자동 정렬합니다(동점이면 위쪽 행이 우선).</t>
        </is>
      </c>
    </row>
    <row r="7">
      <c r="A7" s="4" t="inlineStr">
        <is>
          <t>4</t>
        </is>
      </c>
      <c r="B7" s="3" t="inlineStr">
        <is>
          <t>[대출시뮬] 시트에서 실거주 매수(2안)의 대출이자와 월 부담액을 계산합니다.</t>
        </is>
      </c>
    </row>
    <row r="8">
      <c r="A8" s="2" t="inlineStr">
        <is>
          <t>색상 규칙</t>
        </is>
      </c>
      <c r="B8" s="3" t="inlineStr"/>
    </row>
    <row r="9">
      <c r="A9" s="5" t="inlineStr">
        <is>
          <t>파란 글씨</t>
        </is>
      </c>
      <c r="B9" s="3" t="inlineStr">
        <is>
          <t>직접 입력하는 값(하드코딩 입력값)</t>
        </is>
      </c>
    </row>
    <row r="10">
      <c r="A10" s="4" t="inlineStr">
        <is>
          <t>검은 글씨</t>
        </is>
      </c>
      <c r="B10" s="3" t="inlineStr">
        <is>
          <t>수식(수정 금지)</t>
        </is>
      </c>
    </row>
    <row r="11">
      <c r="A11" s="6" t="inlineStr">
        <is>
          <t>초록 글씨</t>
        </is>
      </c>
      <c r="B11" s="3" t="inlineStr">
        <is>
          <t>다른 시트를 참조하는 수식</t>
        </is>
      </c>
    </row>
    <row r="12">
      <c r="A12" s="7" t="inlineStr">
        <is>
          <t>노란 채우기</t>
        </is>
      </c>
      <c r="B12" s="3" t="inlineStr">
        <is>
          <t>핵심 가정. 사용자가 바꾸는 칸</t>
        </is>
      </c>
    </row>
    <row r="13">
      <c r="A13" s="2" t="inlineStr">
        <is>
          <t>데이터 출처·한계</t>
        </is>
      </c>
      <c r="B13" s="3" t="inlineStr"/>
    </row>
    <row r="14">
      <c r="A14" s="4" t="inlineStr">
        <is>
          <t>출처</t>
        </is>
      </c>
      <c r="B14" s="3" t="inlineStr">
        <is>
          <t>2026-09-29 기준 웹검색에 노출된 실거래·시세(호갱노노·KB부동산·리치고 등). 국토부 원문(rt.molit.go.kr)은 작성 환경의 네트워크 정책으로 직접 확인하지 못함.</t>
        </is>
      </c>
    </row>
    <row r="15">
      <c r="A15" s="4" t="inlineStr">
        <is>
          <t>주의</t>
        </is>
      </c>
      <c r="B15" s="3" t="inlineStr">
        <is>
          <t>"추정" 표시 값은 애널리스트 추정치임. 계약 전 국토부 실거래가로 반드시 교체하세요. 수익률은 세전(양도세·보유세·매도 중개비 차감 전)이며 투자 권유가 아님.</t>
        </is>
      </c>
    </row>
    <row r="16">
      <c r="A16" s="4" t="inlineStr">
        <is>
          <t>단위</t>
        </is>
      </c>
      <c r="B16" s="3" t="inlineStr">
        <is>
          <t>금액: 억원 / 비율: % (소수로 저장, 예 0.05 = 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1" t="inlineStr">
        <is>
          <t>공통 가정</t>
        </is>
      </c>
    </row>
    <row r="3">
      <c r="A3" s="8" t="inlineStr">
        <is>
          <t>항목</t>
        </is>
      </c>
      <c r="B3" s="8" t="inlineStr">
        <is>
          <t>값</t>
        </is>
      </c>
      <c r="C3" s="8" t="inlineStr">
        <is>
          <t>근거/설명</t>
        </is>
      </c>
    </row>
    <row r="4">
      <c r="A4" s="9" t="inlineStr">
        <is>
          <t>취득세+지방교육세율</t>
        </is>
      </c>
      <c r="B4" s="10" t="n">
        <v>0.011</v>
      </c>
      <c r="C4" s="11" t="inlineStr">
        <is>
          <t>1주택 또는 비조정지역(부산) 2주택, 6억 전후 34평(85㎡ 이하 농특세 비과세) 기준 약 1.1%. 3주택 이상은 8% 중과 → 0.08로 변경</t>
        </is>
      </c>
    </row>
    <row r="5">
      <c r="A5" s="9" t="inlineStr">
        <is>
          <t>매수 중개보수율</t>
        </is>
      </c>
      <c r="B5" s="10" t="n">
        <v>0.004</v>
      </c>
      <c r="C5" s="11" t="inlineStr">
        <is>
          <t>공인중개사법 부산 조례 기준 매매 5억~9억 상한 0.4%</t>
        </is>
      </c>
    </row>
    <row r="6">
      <c r="A6" s="9" t="inlineStr">
        <is>
          <t>보유기간(년)</t>
        </is>
      </c>
      <c r="B6" s="12" t="n">
        <v>2</v>
      </c>
      <c r="C6" s="11" t="inlineStr">
        <is>
          <t>예상시세 시나리오의 기간. 상승률은 [단지분석]에서 "보유기간 전체 누적 상승률"로 입력</t>
        </is>
      </c>
    </row>
    <row r="7">
      <c r="A7" s="9" t="inlineStr">
        <is>
          <t>적용 시나리오</t>
        </is>
      </c>
      <c r="B7" s="13" t="inlineStr">
        <is>
          <t>기본</t>
        </is>
      </c>
      <c r="C7" s="11" t="inlineStr">
        <is>
          <t>보수 / 기본 / 낙관 중 선택 → [순위] 시트의 수익률 열에 반영</t>
        </is>
      </c>
    </row>
    <row r="8">
      <c r="A8" s="9" t="inlineStr">
        <is>
          <t>소액 갭 기준(억원 미만)</t>
        </is>
      </c>
      <c r="B8" s="14" t="n">
        <v>1.8</v>
      </c>
      <c r="C8" s="11" t="inlineStr">
        <is>
          <t>레버리지 평가 "소액 갭 ◎" 기준</t>
        </is>
      </c>
    </row>
    <row r="9">
      <c r="A9" s="9" t="inlineStr">
        <is>
          <t>중간 갭 기준(억원 미만)</t>
        </is>
      </c>
      <c r="B9" s="14" t="n">
        <v>2.3</v>
      </c>
      <c r="C9" s="11" t="inlineStr">
        <is>
          <t>이 값 이상이면 "갭 큼 △"</t>
        </is>
      </c>
    </row>
  </sheetData>
  <dataValidations count="1">
    <dataValidation sqref="B7" showDropDown="0" showInputMessage="0" showErrorMessage="0" allowBlank="0" type="list">
      <formula1>"보수,기본,낙관"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55" customWidth="1" min="35" max="35"/>
  </cols>
  <sheetData>
    <row r="1">
      <c r="A1" s="1" t="inlineStr">
        <is>
          <t>단지별 갭투자 분석 (34평, 단위: 억원)</t>
        </is>
      </c>
    </row>
    <row r="2">
      <c r="A2" s="15" t="inlineStr">
        <is>
          <t>파란 글씨·연노랑 칸만 입력 → 나머지 자동계산</t>
        </is>
      </c>
    </row>
    <row r="4" ht="42" customHeight="1">
      <c r="A4" s="16" t="inlineStr">
        <is>
          <t>단지명</t>
        </is>
      </c>
      <c r="B4" s="16" t="inlineStr">
        <is>
          <t>지역</t>
        </is>
      </c>
      <c r="C4" s="16" t="inlineStr">
        <is>
          <t>세대수</t>
        </is>
      </c>
      <c r="D4" s="16" t="inlineStr">
        <is>
          <t>입주</t>
        </is>
      </c>
      <c r="E4" s="16" t="inlineStr">
        <is>
          <t>매매가
(입력)</t>
        </is>
      </c>
      <c r="F4" s="16" t="inlineStr">
        <is>
          <t>매매가
추정여부</t>
        </is>
      </c>
      <c r="G4" s="16" t="inlineStr">
        <is>
          <t>전세가
(입력)</t>
        </is>
      </c>
      <c r="H4" s="16" t="inlineStr">
        <is>
          <t>전세가
추정여부</t>
        </is>
      </c>
      <c r="I4" s="16" t="inlineStr">
        <is>
          <t>부대비용
(취득세+중개)</t>
        </is>
      </c>
      <c r="J4" s="16" t="inlineStr">
        <is>
          <t>총매수가</t>
        </is>
      </c>
      <c r="K4" s="16" t="inlineStr">
        <is>
          <t>갭투자금</t>
        </is>
      </c>
      <c r="L4" s="16" t="inlineStr">
        <is>
          <t>회수율
(전세가율)</t>
        </is>
      </c>
      <c r="M4" s="16" t="inlineStr">
        <is>
          <t>투자금 대비
전세가(배)</t>
        </is>
      </c>
      <c r="N4" s="16" t="inlineStr">
        <is>
          <t>레버리지 평가</t>
        </is>
      </c>
      <c r="O4" s="16" t="inlineStr">
        <is>
          <t>상승률
보수</t>
        </is>
      </c>
      <c r="P4" s="16" t="inlineStr">
        <is>
          <t>상승률
기본</t>
        </is>
      </c>
      <c r="Q4" s="16" t="inlineStr">
        <is>
          <t>상승률
낙관</t>
        </is>
      </c>
      <c r="R4" s="16" t="inlineStr">
        <is>
          <t>예상시세
보수</t>
        </is>
      </c>
      <c r="S4" s="16" t="inlineStr">
        <is>
          <t>예상시세
기본</t>
        </is>
      </c>
      <c r="T4" s="16" t="inlineStr">
        <is>
          <t>예상시세
낙관</t>
        </is>
      </c>
      <c r="U4" s="16" t="inlineStr">
        <is>
          <t>수익금
보수</t>
        </is>
      </c>
      <c r="V4" s="16" t="inlineStr">
        <is>
          <t>수익금
기본</t>
        </is>
      </c>
      <c r="W4" s="16" t="inlineStr">
        <is>
          <t>수익금
낙관</t>
        </is>
      </c>
      <c r="X4" s="16" t="inlineStr">
        <is>
          <t>수익률
보수</t>
        </is>
      </c>
      <c r="Y4" s="16" t="inlineStr">
        <is>
          <t>수익률
기본</t>
        </is>
      </c>
      <c r="Z4" s="16" t="inlineStr">
        <is>
          <t>수익률
낙관</t>
        </is>
      </c>
      <c r="AA4" s="16" t="inlineStr">
        <is>
          <t>상승기대
(30)</t>
        </is>
      </c>
      <c r="AB4" s="16" t="inlineStr">
        <is>
          <t>입지·교통
(20)</t>
        </is>
      </c>
      <c r="AC4" s="16" t="inlineStr">
        <is>
          <t>갭·전세가율
(15)</t>
        </is>
      </c>
      <c r="AD4" s="16" t="inlineStr">
        <is>
          <t>상품성
(15)</t>
        </is>
      </c>
      <c r="AE4" s="16" t="inlineStr">
        <is>
          <t>학군
(10)</t>
        </is>
      </c>
      <c r="AF4" s="16" t="inlineStr">
        <is>
          <t>공급리스크
(10)</t>
        </is>
      </c>
      <c r="AG4" s="16" t="inlineStr">
        <is>
          <t>종합점수</t>
        </is>
      </c>
      <c r="AH4" s="16" t="inlineStr">
        <is>
          <t>순위</t>
        </is>
      </c>
      <c r="AI4" s="16" t="inlineStr">
        <is>
          <t>가격 근거(출처)</t>
        </is>
      </c>
    </row>
    <row r="5">
      <c r="A5" s="17" t="inlineStr">
        <is>
          <t>힐스테이트사하역</t>
        </is>
      </c>
      <c r="B5" s="18" t="inlineStr">
        <is>
          <t>사하구 괴정동</t>
        </is>
      </c>
      <c r="C5" s="19" t="n">
        <v>1314</v>
      </c>
      <c r="D5" s="19" t="inlineStr">
        <is>
          <t>2022.12</t>
        </is>
      </c>
      <c r="E5" s="20" t="n">
        <v>5.9</v>
      </c>
      <c r="F5" s="19" t="inlineStr">
        <is>
          <t>실거래</t>
        </is>
      </c>
      <c r="G5" s="20" t="n">
        <v>4.3</v>
      </c>
      <c r="H5" s="19" t="inlineStr">
        <is>
          <t>실거래</t>
        </is>
      </c>
      <c r="I5" s="21">
        <f>E5*(가정!$B$4+가정!$B$5)</f>
        <v/>
      </c>
      <c r="J5" s="21">
        <f>E5+I5</f>
        <v/>
      </c>
      <c r="K5" s="21">
        <f>E5-G5+I5</f>
        <v/>
      </c>
      <c r="L5" s="22">
        <f>IFERROR(G5/E5,0)</f>
        <v/>
      </c>
      <c r="M5" s="23">
        <f>IFERROR(G5/K5,0)</f>
        <v/>
      </c>
      <c r="N5" s="24">
        <f>IF(K5&lt;가정!$B$8,"소액 갭 ◎",IF(K5&lt;가정!$B$9,"중간 ○","갭 큼 △"))</f>
        <v/>
      </c>
      <c r="O5" s="25" t="n">
        <v>-0.03</v>
      </c>
      <c r="P5" s="25" t="n">
        <v>0.05</v>
      </c>
      <c r="Q5" s="25" t="n">
        <v>0.1</v>
      </c>
      <c r="R5" s="21">
        <f>E5*(1+O5)</f>
        <v/>
      </c>
      <c r="S5" s="21">
        <f>E5*(1+P5)</f>
        <v/>
      </c>
      <c r="T5" s="21">
        <f>E5*(1+Q5)</f>
        <v/>
      </c>
      <c r="U5" s="21">
        <f>R5-E5-I5</f>
        <v/>
      </c>
      <c r="V5" s="21">
        <f>S5-E5-I5</f>
        <v/>
      </c>
      <c r="W5" s="21">
        <f>T5-E5-I5</f>
        <v/>
      </c>
      <c r="X5" s="22">
        <f>IFERROR(U5/K5,0)</f>
        <v/>
      </c>
      <c r="Y5" s="22">
        <f>IFERROR(V5/K5,0)</f>
        <v/>
      </c>
      <c r="Z5" s="22">
        <f>IFERROR(W5/K5,0)</f>
        <v/>
      </c>
      <c r="AA5" s="26" t="n">
        <v>24</v>
      </c>
      <c r="AB5" s="26" t="n">
        <v>17</v>
      </c>
      <c r="AC5" s="26" t="n">
        <v>12</v>
      </c>
      <c r="AD5" s="26" t="n">
        <v>14</v>
      </c>
      <c r="AE5" s="26" t="n">
        <v>6</v>
      </c>
      <c r="AF5" s="26" t="n">
        <v>6</v>
      </c>
      <c r="AG5" s="24">
        <f>SUM(AA5:AF5)</f>
        <v/>
      </c>
      <c r="AH5" s="24">
        <f>COUNTIF($AG$5:$AG$11,"&gt;"&amp;AG5)+COUNTIF($AG$5:AG5,AG5)</f>
        <v/>
      </c>
      <c r="AI5" s="18" t="inlineStr">
        <is>
          <t>최근1개월 평균 5.65억, 거래사례 6.20~6.25억·6.5억(호갱노노 검색 스니펫) → 대표값 5.90억 / 전세 거래 4.30억(전세가율 약 70%, 스니펫)</t>
        </is>
      </c>
    </row>
    <row r="6">
      <c r="A6" s="17" t="inlineStr">
        <is>
          <t>사하역비스타동원</t>
        </is>
      </c>
      <c r="B6" s="18" t="inlineStr">
        <is>
          <t>사하구 괴정동</t>
        </is>
      </c>
      <c r="C6" s="19" t="n">
        <v>513</v>
      </c>
      <c r="D6" s="19" t="inlineStr">
        <is>
          <t>2021.01</t>
        </is>
      </c>
      <c r="E6" s="20" t="n">
        <v>5.8</v>
      </c>
      <c r="F6" s="19" t="inlineStr">
        <is>
          <t>시세</t>
        </is>
      </c>
      <c r="G6" s="20" t="n">
        <v>4.1</v>
      </c>
      <c r="H6" s="19" t="inlineStr">
        <is>
          <t>추정</t>
        </is>
      </c>
      <c r="I6" s="21">
        <f>E6*(가정!$B$4+가정!$B$5)</f>
        <v/>
      </c>
      <c r="J6" s="21">
        <f>E6+I6</f>
        <v/>
      </c>
      <c r="K6" s="21">
        <f>E6-G6+I6</f>
        <v/>
      </c>
      <c r="L6" s="22">
        <f>IFERROR(G6/E6,0)</f>
        <v/>
      </c>
      <c r="M6" s="23">
        <f>IFERROR(G6/K6,0)</f>
        <v/>
      </c>
      <c r="N6" s="24">
        <f>IF(K6&lt;가정!$B$8,"소액 갭 ◎",IF(K6&lt;가정!$B$9,"중간 ○","갭 큼 △"))</f>
        <v/>
      </c>
      <c r="O6" s="25" t="n">
        <v>-0.03</v>
      </c>
      <c r="P6" s="25" t="n">
        <v>0.04</v>
      </c>
      <c r="Q6" s="25" t="n">
        <v>0.08</v>
      </c>
      <c r="R6" s="21">
        <f>E6*(1+O6)</f>
        <v/>
      </c>
      <c r="S6" s="21">
        <f>E6*(1+P6)</f>
        <v/>
      </c>
      <c r="T6" s="21">
        <f>E6*(1+Q6)</f>
        <v/>
      </c>
      <c r="U6" s="21">
        <f>R6-E6-I6</f>
        <v/>
      </c>
      <c r="V6" s="21">
        <f>S6-E6-I6</f>
        <v/>
      </c>
      <c r="W6" s="21">
        <f>T6-E6-I6</f>
        <v/>
      </c>
      <c r="X6" s="22">
        <f>IFERROR(U6/K6,0)</f>
        <v/>
      </c>
      <c r="Y6" s="22">
        <f>IFERROR(V6/K6,0)</f>
        <v/>
      </c>
      <c r="Z6" s="22">
        <f>IFERROR(W6/K6,0)</f>
        <v/>
      </c>
      <c r="AA6" s="26" t="n">
        <v>19</v>
      </c>
      <c r="AB6" s="26" t="n">
        <v>17</v>
      </c>
      <c r="AC6" s="26" t="n">
        <v>12</v>
      </c>
      <c r="AD6" s="26" t="n">
        <v>10</v>
      </c>
      <c r="AE6" s="26" t="n">
        <v>6</v>
      </c>
      <c r="AF6" s="26" t="n">
        <v>6</v>
      </c>
      <c r="AG6" s="24">
        <f>SUM(AA6:AF6)</f>
        <v/>
      </c>
      <c r="AH6" s="24">
        <f>COUNTIF($AG$5:$AG$11,"&gt;"&amp;AG6)+COUNTIF($AG$5:AG6,AG6)</f>
        <v/>
      </c>
      <c r="AI6" s="18" t="inlineStr">
        <is>
          <t>33평형 매매시세 5.8억(2026.9.29, 리치고 스니펫), 매물 호가 6.5억 / 전세 실거래 3.885억(2025.12.5), 33평 전세시세 4.3억 → 중간값 4.1억(추정)</t>
        </is>
      </c>
    </row>
    <row r="7">
      <c r="A7" s="17" t="inlineStr">
        <is>
          <t>더샵명지퍼스트월드2단지</t>
        </is>
      </c>
      <c r="B7" s="18" t="inlineStr">
        <is>
          <t>강서구 명지동</t>
        </is>
      </c>
      <c r="C7" s="19" t="n">
        <v>1406</v>
      </c>
      <c r="D7" s="19" t="inlineStr">
        <is>
          <t>2019~2020(자료 상이)</t>
        </is>
      </c>
      <c r="E7" s="20" t="n">
        <v>5.9</v>
      </c>
      <c r="F7" s="19" t="inlineStr">
        <is>
          <t>실거래</t>
        </is>
      </c>
      <c r="G7" s="20" t="n">
        <v>3.4</v>
      </c>
      <c r="H7" s="19" t="inlineStr">
        <is>
          <t>추정</t>
        </is>
      </c>
      <c r="I7" s="21">
        <f>E7*(가정!$B$4+가정!$B$5)</f>
        <v/>
      </c>
      <c r="J7" s="21">
        <f>E7+I7</f>
        <v/>
      </c>
      <c r="K7" s="21">
        <f>E7-G7+I7</f>
        <v/>
      </c>
      <c r="L7" s="22">
        <f>IFERROR(G7/E7,0)</f>
        <v/>
      </c>
      <c r="M7" s="23">
        <f>IFERROR(G7/K7,0)</f>
        <v/>
      </c>
      <c r="N7" s="24">
        <f>IF(K7&lt;가정!$B$8,"소액 갭 ◎",IF(K7&lt;가정!$B$9,"중간 ○","갭 큼 △"))</f>
        <v/>
      </c>
      <c r="O7" s="25" t="n">
        <v>-0.05</v>
      </c>
      <c r="P7" s="25" t="n">
        <v>0.03</v>
      </c>
      <c r="Q7" s="25" t="n">
        <v>0.09</v>
      </c>
      <c r="R7" s="21">
        <f>E7*(1+O7)</f>
        <v/>
      </c>
      <c r="S7" s="21">
        <f>E7*(1+P7)</f>
        <v/>
      </c>
      <c r="T7" s="21">
        <f>E7*(1+Q7)</f>
        <v/>
      </c>
      <c r="U7" s="21">
        <f>R7-E7-I7</f>
        <v/>
      </c>
      <c r="V7" s="21">
        <f>S7-E7-I7</f>
        <v/>
      </c>
      <c r="W7" s="21">
        <f>T7-E7-I7</f>
        <v/>
      </c>
      <c r="X7" s="22">
        <f>IFERROR(U7/K7,0)</f>
        <v/>
      </c>
      <c r="Y7" s="22">
        <f>IFERROR(V7/K7,0)</f>
        <v/>
      </c>
      <c r="Z7" s="22">
        <f>IFERROR(W7/K7,0)</f>
        <v/>
      </c>
      <c r="AA7" s="26" t="n">
        <v>19</v>
      </c>
      <c r="AB7" s="26" t="n">
        <v>15</v>
      </c>
      <c r="AC7" s="26" t="n">
        <v>7</v>
      </c>
      <c r="AD7" s="26" t="n">
        <v>11</v>
      </c>
      <c r="AE7" s="26" t="n">
        <v>8</v>
      </c>
      <c r="AF7" s="26" t="n">
        <v>5</v>
      </c>
      <c r="AG7" s="24">
        <f>SUM(AA7:AF7)</f>
        <v/>
      </c>
      <c r="AH7" s="24">
        <f>COUNTIF($AG$5:$AG$11,"&gt;"&amp;AG7)+COUNTIF($AG$5:AG7,AG7)</f>
        <v/>
      </c>
      <c r="AI7" s="18" t="inlineStr">
        <is>
          <t>실거래 5.90억(2026.9.4), 5.99억(2026.8.15, 12층) / 매물 6.3억 / 3단지 전세 매물평균 3.35억 준용 → 3.4억(추정)</t>
        </is>
      </c>
    </row>
    <row r="8">
      <c r="A8" s="17" t="inlineStr">
        <is>
          <t>더샵명지퍼스트월드3단지</t>
        </is>
      </c>
      <c r="B8" s="18" t="inlineStr">
        <is>
          <t>강서구 명지동</t>
        </is>
      </c>
      <c r="C8" s="19" t="n">
        <v>1530</v>
      </c>
      <c r="D8" s="19" t="inlineStr">
        <is>
          <t>2020.07</t>
        </is>
      </c>
      <c r="E8" s="20" t="n">
        <v>6</v>
      </c>
      <c r="F8" s="19" t="inlineStr">
        <is>
          <t>추정</t>
        </is>
      </c>
      <c r="G8" s="20" t="n">
        <v>3.35</v>
      </c>
      <c r="H8" s="19" t="inlineStr">
        <is>
          <t>시세</t>
        </is>
      </c>
      <c r="I8" s="21">
        <f>E8*(가정!$B$4+가정!$B$5)</f>
        <v/>
      </c>
      <c r="J8" s="21">
        <f>E8+I8</f>
        <v/>
      </c>
      <c r="K8" s="21">
        <f>E8-G8+I8</f>
        <v/>
      </c>
      <c r="L8" s="22">
        <f>IFERROR(G8/E8,0)</f>
        <v/>
      </c>
      <c r="M8" s="23">
        <f>IFERROR(G8/K8,0)</f>
        <v/>
      </c>
      <c r="N8" s="24">
        <f>IF(K8&lt;가정!$B$8,"소액 갭 ◎",IF(K8&lt;가정!$B$9,"중간 ○","갭 큼 △"))</f>
        <v/>
      </c>
      <c r="O8" s="25" t="n">
        <v>-0.05</v>
      </c>
      <c r="P8" s="25" t="n">
        <v>0.03</v>
      </c>
      <c r="Q8" s="25" t="n">
        <v>0.09</v>
      </c>
      <c r="R8" s="21">
        <f>E8*(1+O8)</f>
        <v/>
      </c>
      <c r="S8" s="21">
        <f>E8*(1+P8)</f>
        <v/>
      </c>
      <c r="T8" s="21">
        <f>E8*(1+Q8)</f>
        <v/>
      </c>
      <c r="U8" s="21">
        <f>R8-E8-I8</f>
        <v/>
      </c>
      <c r="V8" s="21">
        <f>S8-E8-I8</f>
        <v/>
      </c>
      <c r="W8" s="21">
        <f>T8-E8-I8</f>
        <v/>
      </c>
      <c r="X8" s="22">
        <f>IFERROR(U8/K8,0)</f>
        <v/>
      </c>
      <c r="Y8" s="22">
        <f>IFERROR(V8/K8,0)</f>
        <v/>
      </c>
      <c r="Z8" s="22">
        <f>IFERROR(W8/K8,0)</f>
        <v/>
      </c>
      <c r="AA8" s="26" t="n">
        <v>20</v>
      </c>
      <c r="AB8" s="26" t="n">
        <v>15</v>
      </c>
      <c r="AC8" s="26" t="n">
        <v>7</v>
      </c>
      <c r="AD8" s="26" t="n">
        <v>13</v>
      </c>
      <c r="AE8" s="26" t="n">
        <v>8</v>
      </c>
      <c r="AF8" s="26" t="n">
        <v>5</v>
      </c>
      <c r="AG8" s="24">
        <f>SUM(AA8:AF8)</f>
        <v/>
      </c>
      <c r="AH8" s="24">
        <f>COUNTIF($AG$5:$AG$11,"&gt;"&amp;AG8)+COUNTIF($AG$5:AG8,AG8)</f>
        <v/>
      </c>
      <c r="AI8" s="18" t="inlineStr">
        <is>
          <t>34평 매매 실거래 미확인 → 2단지 실거래(5.9~5.99억)+신축 프리미엄 가정 6.0억(추정) / 34평 전세 매물평균 3.35억(2026.8, 상위 3.55/하위 3.15억)</t>
        </is>
      </c>
    </row>
    <row r="9">
      <c r="A9" s="17" t="inlineStr">
        <is>
          <t>대신푸르지오1차</t>
        </is>
      </c>
      <c r="B9" s="18" t="inlineStr">
        <is>
          <t>서구 서대신동1가</t>
        </is>
      </c>
      <c r="C9" s="19" t="n">
        <v>959</v>
      </c>
      <c r="D9" s="19" t="inlineStr">
        <is>
          <t>2018.04</t>
        </is>
      </c>
      <c r="E9" s="20" t="n">
        <v>6.05</v>
      </c>
      <c r="F9" s="19" t="inlineStr">
        <is>
          <t>시세</t>
        </is>
      </c>
      <c r="G9" s="20" t="n">
        <v>4</v>
      </c>
      <c r="H9" s="19" t="inlineStr">
        <is>
          <t>추정</t>
        </is>
      </c>
      <c r="I9" s="21">
        <f>E9*(가정!$B$4+가정!$B$5)</f>
        <v/>
      </c>
      <c r="J9" s="21">
        <f>E9+I9</f>
        <v/>
      </c>
      <c r="K9" s="21">
        <f>E9-G9+I9</f>
        <v/>
      </c>
      <c r="L9" s="22">
        <f>IFERROR(G9/E9,0)</f>
        <v/>
      </c>
      <c r="M9" s="23">
        <f>IFERROR(G9/K9,0)</f>
        <v/>
      </c>
      <c r="N9" s="24">
        <f>IF(K9&lt;가정!$B$8,"소액 갭 ◎",IF(K9&lt;가정!$B$9,"중간 ○","갭 큼 △"))</f>
        <v/>
      </c>
      <c r="O9" s="25" t="n">
        <v>-0.03</v>
      </c>
      <c r="P9" s="25" t="n">
        <v>0.03</v>
      </c>
      <c r="Q9" s="25" t="n">
        <v>0.07000000000000001</v>
      </c>
      <c r="R9" s="21">
        <f>E9*(1+O9)</f>
        <v/>
      </c>
      <c r="S9" s="21">
        <f>E9*(1+P9)</f>
        <v/>
      </c>
      <c r="T9" s="21">
        <f>E9*(1+Q9)</f>
        <v/>
      </c>
      <c r="U9" s="21">
        <f>R9-E9-I9</f>
        <v/>
      </c>
      <c r="V9" s="21">
        <f>S9-E9-I9</f>
        <v/>
      </c>
      <c r="W9" s="21">
        <f>T9-E9-I9</f>
        <v/>
      </c>
      <c r="X9" s="22">
        <f>IFERROR(U9/K9,0)</f>
        <v/>
      </c>
      <c r="Y9" s="22">
        <f>IFERROR(V9/K9,0)</f>
        <v/>
      </c>
      <c r="Z9" s="22">
        <f>IFERROR(W9/K9,0)</f>
        <v/>
      </c>
      <c r="AA9" s="26" t="n">
        <v>18</v>
      </c>
      <c r="AB9" s="26" t="n">
        <v>16</v>
      </c>
      <c r="AC9" s="26" t="n">
        <v>10</v>
      </c>
      <c r="AD9" s="26" t="n">
        <v>11</v>
      </c>
      <c r="AE9" s="26" t="n">
        <v>8</v>
      </c>
      <c r="AF9" s="26" t="n">
        <v>8</v>
      </c>
      <c r="AG9" s="24">
        <f>SUM(AA9:AF9)</f>
        <v/>
      </c>
      <c r="AH9" s="24">
        <f>COUNTIF($AG$5:$AG$11,"&gt;"&amp;AG9)+COUNTIF($AG$5:AG9,AG9)</f>
        <v/>
      </c>
      <c r="AI9" s="18" t="inlineStr">
        <is>
          <t>34평 시세 6.05억(평당 2,400만, 2026.6 스니펫), 6.1억 / 전세 원자료 미확인 → 인근 신축 대비 연식 할인 4.0억(추정)</t>
        </is>
      </c>
    </row>
    <row r="10">
      <c r="A10" s="17" t="inlineStr">
        <is>
          <t>대신2차푸르지오</t>
        </is>
      </c>
      <c r="B10" s="18" t="inlineStr">
        <is>
          <t>서구 서대신동2가</t>
        </is>
      </c>
      <c r="C10" s="19" t="n">
        <v>815</v>
      </c>
      <c r="D10" s="19" t="inlineStr">
        <is>
          <t>2020.09</t>
        </is>
      </c>
      <c r="E10" s="20" t="n">
        <v>5.8</v>
      </c>
      <c r="F10" s="19" t="inlineStr">
        <is>
          <t>시세</t>
        </is>
      </c>
      <c r="G10" s="20" t="n">
        <v>4.2</v>
      </c>
      <c r="H10" s="19" t="inlineStr">
        <is>
          <t>추정</t>
        </is>
      </c>
      <c r="I10" s="21">
        <f>E10*(가정!$B$4+가정!$B$5)</f>
        <v/>
      </c>
      <c r="J10" s="21">
        <f>E10+I10</f>
        <v/>
      </c>
      <c r="K10" s="21">
        <f>E10-G10+I10</f>
        <v/>
      </c>
      <c r="L10" s="22">
        <f>IFERROR(G10/E10,0)</f>
        <v/>
      </c>
      <c r="M10" s="23">
        <f>IFERROR(G10/K10,0)</f>
        <v/>
      </c>
      <c r="N10" s="24">
        <f>IF(K10&lt;가정!$B$8,"소액 갭 ◎",IF(K10&lt;가정!$B$9,"중간 ○","갭 큼 △"))</f>
        <v/>
      </c>
      <c r="O10" s="25" t="n">
        <v>-0.03</v>
      </c>
      <c r="P10" s="25" t="n">
        <v>0.05</v>
      </c>
      <c r="Q10" s="25" t="n">
        <v>0.1</v>
      </c>
      <c r="R10" s="21">
        <f>E10*(1+O10)</f>
        <v/>
      </c>
      <c r="S10" s="21">
        <f>E10*(1+P10)</f>
        <v/>
      </c>
      <c r="T10" s="21">
        <f>E10*(1+Q10)</f>
        <v/>
      </c>
      <c r="U10" s="21">
        <f>R10-E10-I10</f>
        <v/>
      </c>
      <c r="V10" s="21">
        <f>S10-E10-I10</f>
        <v/>
      </c>
      <c r="W10" s="21">
        <f>T10-E10-I10</f>
        <v/>
      </c>
      <c r="X10" s="22">
        <f>IFERROR(U10/K10,0)</f>
        <v/>
      </c>
      <c r="Y10" s="22">
        <f>IFERROR(V10/K10,0)</f>
        <v/>
      </c>
      <c r="Z10" s="22">
        <f>IFERROR(W10/K10,0)</f>
        <v/>
      </c>
      <c r="AA10" s="26" t="n">
        <v>22</v>
      </c>
      <c r="AB10" s="26" t="n">
        <v>16</v>
      </c>
      <c r="AC10" s="26" t="n">
        <v>12</v>
      </c>
      <c r="AD10" s="26" t="n">
        <v>12</v>
      </c>
      <c r="AE10" s="26" t="n">
        <v>8</v>
      </c>
      <c r="AF10" s="26" t="n">
        <v>8</v>
      </c>
      <c r="AG10" s="24">
        <f>SUM(AA10:AF10)</f>
        <v/>
      </c>
      <c r="AH10" s="24">
        <f>COUNTIF($AG$5:$AG$11,"&gt;"&amp;AG10)+COUNTIF($AG$5:AG10,AG10)</f>
        <v/>
      </c>
      <c r="AI10" s="18" t="inlineStr">
        <is>
          <t>KB시세 상위평균 6.0억 / 하위평균 5.55억(2026.5), 매물 5.9억 → 5.8억 / 전세 매물 8건뿐(2026.5, 매매매물 360건) → 4.2억(추정)</t>
        </is>
      </c>
    </row>
    <row r="11">
      <c r="A11" s="17" t="inlineStr">
        <is>
          <t>대신해모로센트럴</t>
        </is>
      </c>
      <c r="B11" s="18" t="inlineStr">
        <is>
          <t>서구 서대신동2가</t>
        </is>
      </c>
      <c r="C11" s="19" t="n">
        <v>733</v>
      </c>
      <c r="D11" s="19" t="inlineStr">
        <is>
          <t>2022.07</t>
        </is>
      </c>
      <c r="E11" s="20" t="n">
        <v>5.8</v>
      </c>
      <c r="F11" s="19" t="inlineStr">
        <is>
          <t>시세</t>
        </is>
      </c>
      <c r="G11" s="20" t="n">
        <v>4.3</v>
      </c>
      <c r="H11" s="19" t="inlineStr">
        <is>
          <t>추정</t>
        </is>
      </c>
      <c r="I11" s="21">
        <f>E11*(가정!$B$4+가정!$B$5)</f>
        <v/>
      </c>
      <c r="J11" s="21">
        <f>E11+I11</f>
        <v/>
      </c>
      <c r="K11" s="21">
        <f>E11-G11+I11</f>
        <v/>
      </c>
      <c r="L11" s="22">
        <f>IFERROR(G11/E11,0)</f>
        <v/>
      </c>
      <c r="M11" s="23">
        <f>IFERROR(G11/K11,0)</f>
        <v/>
      </c>
      <c r="N11" s="24">
        <f>IF(K11&lt;가정!$B$8,"소액 갭 ◎",IF(K11&lt;가정!$B$9,"중간 ○","갭 큼 △"))</f>
        <v/>
      </c>
      <c r="O11" s="25" t="n">
        <v>-0.03</v>
      </c>
      <c r="P11" s="25" t="n">
        <v>0.05</v>
      </c>
      <c r="Q11" s="25" t="n">
        <v>0.09</v>
      </c>
      <c r="R11" s="21">
        <f>E11*(1+O11)</f>
        <v/>
      </c>
      <c r="S11" s="21">
        <f>E11*(1+P11)</f>
        <v/>
      </c>
      <c r="T11" s="21">
        <f>E11*(1+Q11)</f>
        <v/>
      </c>
      <c r="U11" s="21">
        <f>R11-E11-I11</f>
        <v/>
      </c>
      <c r="V11" s="21">
        <f>S11-E11-I11</f>
        <v/>
      </c>
      <c r="W11" s="21">
        <f>T11-E11-I11</f>
        <v/>
      </c>
      <c r="X11" s="22">
        <f>IFERROR(U11/K11,0)</f>
        <v/>
      </c>
      <c r="Y11" s="22">
        <f>IFERROR(V11/K11,0)</f>
        <v/>
      </c>
      <c r="Z11" s="22">
        <f>IFERROR(W11/K11,0)</f>
        <v/>
      </c>
      <c r="AA11" s="26" t="n">
        <v>21</v>
      </c>
      <c r="AB11" s="26" t="n">
        <v>16</v>
      </c>
      <c r="AC11" s="26" t="n">
        <v>13</v>
      </c>
      <c r="AD11" s="26" t="n">
        <v>12</v>
      </c>
      <c r="AE11" s="26" t="n">
        <v>7</v>
      </c>
      <c r="AF11" s="26" t="n">
        <v>8</v>
      </c>
      <c r="AG11" s="24">
        <f>SUM(AA11:AF11)</f>
        <v/>
      </c>
      <c r="AH11" s="24">
        <f>COUNTIF($AG$5:$AG$11,"&gt;"&amp;AG11)+COUNTIF($AG$5:AG11,AG11)</f>
        <v/>
      </c>
      <c r="AI11" s="18" t="inlineStr">
        <is>
          <t>34평 최근1개월 평균 5.8억(스니펫). 참고: 76.52㎡ 5.8억(2026.1.15) / 76.95㎡ 전세 4.2억(2026.1.27) → 34평 4.3억(추정)</t>
        </is>
      </c>
    </row>
    <row r="12">
      <c r="A12" s="27" t="inlineStr">
        <is>
          <t>평균</t>
        </is>
      </c>
      <c r="B12" s="28" t="n"/>
      <c r="C12" s="28" t="n"/>
      <c r="D12" s="28" t="n"/>
      <c r="E12" s="29">
        <f>AVERAGE(E5:E11)</f>
        <v/>
      </c>
      <c r="F12" s="28" t="n"/>
      <c r="G12" s="29">
        <f>AVERAGE(G5:G11)</f>
        <v/>
      </c>
      <c r="H12" s="28" t="n"/>
      <c r="I12" s="29">
        <f>AVERAGE(I5:I11)</f>
        <v/>
      </c>
      <c r="J12" s="29">
        <f>AVERAGE(J5:J11)</f>
        <v/>
      </c>
      <c r="K12" s="29">
        <f>AVERAGE(K5:K11)</f>
        <v/>
      </c>
      <c r="L12" s="30">
        <f>AVERAGE(L5:L11)</f>
        <v/>
      </c>
      <c r="M12" s="31">
        <f>AVERAGE(M5:M11)</f>
        <v/>
      </c>
      <c r="N12" s="28" t="n"/>
      <c r="O12" s="28" t="n"/>
      <c r="P12" s="28" t="n"/>
      <c r="Q12" s="28" t="n"/>
      <c r="R12" s="29">
        <f>AVERAGE(R5:R11)</f>
        <v/>
      </c>
      <c r="S12" s="29">
        <f>AVERAGE(S5:S11)</f>
        <v/>
      </c>
      <c r="T12" s="29">
        <f>AVERAGE(T5:T11)</f>
        <v/>
      </c>
      <c r="U12" s="29">
        <f>AVERAGE(U5:U11)</f>
        <v/>
      </c>
      <c r="V12" s="29">
        <f>AVERAGE(V5:V11)</f>
        <v/>
      </c>
      <c r="W12" s="29">
        <f>AVERAGE(W5:W11)</f>
        <v/>
      </c>
      <c r="X12" s="30">
        <f>AVERAGE(X5:X11)</f>
        <v/>
      </c>
      <c r="Y12" s="30">
        <f>AVERAGE(Y5:Y11)</f>
        <v/>
      </c>
      <c r="Z12" s="30">
        <f>AVERAGE(Z5:Z11)</f>
        <v/>
      </c>
      <c r="AA12" s="28" t="n"/>
      <c r="AB12" s="28" t="n"/>
      <c r="AC12" s="28" t="n"/>
      <c r="AD12" s="28" t="n"/>
      <c r="AE12" s="28" t="n"/>
      <c r="AF12" s="28" t="n"/>
      <c r="AG12" s="32">
        <f>AVERAGE(AG5:AG11)</f>
        <v/>
      </c>
      <c r="AH12" s="28" t="n"/>
      <c r="AI12" s="28" t="n"/>
    </row>
    <row r="14">
      <c r="A14" s="33" t="inlineStr">
        <is>
          <t>주: 수익금 = 예상시세 − 매매가 − 부대비용(세전). 상승률·점수는 애널리스트 추정 가정이며 자유롭게 수정 가능. 점수 가중치: 상승기대30·입지20·갭15·상품성15·학군10·공급리스크10.</t>
        </is>
      </c>
    </row>
  </sheetData>
  <conditionalFormatting sqref="Y5:Y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5:AH11">
    <cfRule type="cellIs" priority="2" operator="lessThanOrEqual" dxfId="0">
      <formula>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종합점수 순위 (자동 정렬)</t>
        </is>
      </c>
    </row>
    <row r="2">
      <c r="A2" s="6">
        <f>"적용 시나리오: "&amp;가정!$B$7</f>
        <v/>
      </c>
    </row>
    <row r="4">
      <c r="A4" s="16" t="inlineStr">
        <is>
          <t>순위</t>
        </is>
      </c>
      <c r="B4" s="16" t="inlineStr">
        <is>
          <t>단지명</t>
        </is>
      </c>
      <c r="C4" s="16" t="inlineStr">
        <is>
          <t>지역</t>
        </is>
      </c>
      <c r="D4" s="16" t="inlineStr">
        <is>
          <t>종합점수</t>
        </is>
      </c>
      <c r="E4" s="16" t="inlineStr">
        <is>
          <t>매매가</t>
        </is>
      </c>
      <c r="F4" s="16" t="inlineStr">
        <is>
          <t>전세가</t>
        </is>
      </c>
      <c r="G4" s="16" t="inlineStr">
        <is>
          <t>갭투자금</t>
        </is>
      </c>
      <c r="H4" s="16" t="inlineStr">
        <is>
          <t>회수율</t>
        </is>
      </c>
      <c r="I4" s="16" t="inlineStr">
        <is>
          <t>예상시세(선택 시나리오)</t>
        </is>
      </c>
      <c r="J4" s="16" t="inlineStr">
        <is>
          <t>수익금(선택)</t>
        </is>
      </c>
      <c r="K4" s="16" t="inlineStr">
        <is>
          <t>수익률(선택)</t>
        </is>
      </c>
      <c r="L4" s="16" t="inlineStr">
        <is>
          <t>레버리지 평가</t>
        </is>
      </c>
    </row>
    <row r="5">
      <c r="A5" s="34" t="n">
        <v>1</v>
      </c>
      <c r="B5" s="35">
        <f>INDEX(단지분석!$A$5:$A$11,MATCH($A5,단지분석!$AH$5:$AH$11,0))</f>
        <v/>
      </c>
      <c r="C5" s="36">
        <f>INDEX(단지분석!$B$5:$B$11,MATCH($A5,단지분석!$AH$5:$AH$11,0))</f>
        <v/>
      </c>
      <c r="D5" s="36">
        <f>INDEX(단지분석!$AG$5:$AG$11,MATCH($A5,단지분석!$AH$5:$AH$11,0))</f>
        <v/>
      </c>
      <c r="E5" s="37">
        <f>INDEX(단지분석!$E$5:$E$11,MATCH($A5,단지분석!$AH$5:$AH$11,0))</f>
        <v/>
      </c>
      <c r="F5" s="37">
        <f>INDEX(단지분석!$G$5:$G$11,MATCH($A5,단지분석!$AH$5:$AH$11,0))</f>
        <v/>
      </c>
      <c r="G5" s="37">
        <f>INDEX(단지분석!$K$5:$K$11,MATCH($A5,단지분석!$AH$5:$AH$11,0))</f>
        <v/>
      </c>
      <c r="H5" s="38">
        <f>INDEX(단지분석!$L$5:$L$11,MATCH($A5,단지분석!$AH$5:$AH$11,0))</f>
        <v/>
      </c>
      <c r="I5" s="37">
        <f>IF(가정!$B$7="보수",INDEX(단지분석!$R$5:$R$11,MATCH($A5,단지분석!$AH$5:$AH$11,0)),IF(가정!$B$7="낙관",INDEX(단지분석!$T$5:$T$11,MATCH($A5,단지분석!$AH$5:$AH$11,0)),INDEX(단지분석!$S$5:$S$11,MATCH($A5,단지분석!$AH$5:$AH$11,0))))</f>
        <v/>
      </c>
      <c r="J5" s="37">
        <f>IF(가정!$B$7="보수",INDEX(단지분석!$U$5:$U$11,MATCH($A5,단지분석!$AH$5:$AH$11,0)),IF(가정!$B$7="낙관",INDEX(단지분석!$W$5:$W$11,MATCH($A5,단지분석!$AH$5:$AH$11,0)),INDEX(단지분석!$V$5:$V$11,MATCH($A5,단지분석!$AH$5:$AH$11,0))))</f>
        <v/>
      </c>
      <c r="K5" s="39">
        <f>IFERROR(J5/G5,0)</f>
        <v/>
      </c>
      <c r="L5" s="36">
        <f>INDEX(단지분석!$N$5:$N$11,MATCH($A5,단지분석!$AH$5:$AH$11,0))</f>
        <v/>
      </c>
    </row>
    <row r="6">
      <c r="A6" s="34" t="n">
        <v>2</v>
      </c>
      <c r="B6" s="35">
        <f>INDEX(단지분석!$A$5:$A$11,MATCH($A6,단지분석!$AH$5:$AH$11,0))</f>
        <v/>
      </c>
      <c r="C6" s="36">
        <f>INDEX(단지분석!$B$5:$B$11,MATCH($A6,단지분석!$AH$5:$AH$11,0))</f>
        <v/>
      </c>
      <c r="D6" s="36">
        <f>INDEX(단지분석!$AG$5:$AG$11,MATCH($A6,단지분석!$AH$5:$AH$11,0))</f>
        <v/>
      </c>
      <c r="E6" s="37">
        <f>INDEX(단지분석!$E$5:$E$11,MATCH($A6,단지분석!$AH$5:$AH$11,0))</f>
        <v/>
      </c>
      <c r="F6" s="37">
        <f>INDEX(단지분석!$G$5:$G$11,MATCH($A6,단지분석!$AH$5:$AH$11,0))</f>
        <v/>
      </c>
      <c r="G6" s="37">
        <f>INDEX(단지분석!$K$5:$K$11,MATCH($A6,단지분석!$AH$5:$AH$11,0))</f>
        <v/>
      </c>
      <c r="H6" s="38">
        <f>INDEX(단지분석!$L$5:$L$11,MATCH($A6,단지분석!$AH$5:$AH$11,0))</f>
        <v/>
      </c>
      <c r="I6" s="37">
        <f>IF(가정!$B$7="보수",INDEX(단지분석!$R$5:$R$11,MATCH($A6,단지분석!$AH$5:$AH$11,0)),IF(가정!$B$7="낙관",INDEX(단지분석!$T$5:$T$11,MATCH($A6,단지분석!$AH$5:$AH$11,0)),INDEX(단지분석!$S$5:$S$11,MATCH($A6,단지분석!$AH$5:$AH$11,0))))</f>
        <v/>
      </c>
      <c r="J6" s="37">
        <f>IF(가정!$B$7="보수",INDEX(단지분석!$U$5:$U$11,MATCH($A6,단지분석!$AH$5:$AH$11,0)),IF(가정!$B$7="낙관",INDEX(단지분석!$W$5:$W$11,MATCH($A6,단지분석!$AH$5:$AH$11,0)),INDEX(단지분석!$V$5:$V$11,MATCH($A6,단지분석!$AH$5:$AH$11,0))))</f>
        <v/>
      </c>
      <c r="K6" s="39">
        <f>IFERROR(J6/G6,0)</f>
        <v/>
      </c>
      <c r="L6" s="36">
        <f>INDEX(단지분석!$N$5:$N$11,MATCH($A6,단지분석!$AH$5:$AH$11,0))</f>
        <v/>
      </c>
    </row>
    <row r="7">
      <c r="A7" s="34" t="n">
        <v>3</v>
      </c>
      <c r="B7" s="35">
        <f>INDEX(단지분석!$A$5:$A$11,MATCH($A7,단지분석!$AH$5:$AH$11,0))</f>
        <v/>
      </c>
      <c r="C7" s="36">
        <f>INDEX(단지분석!$B$5:$B$11,MATCH($A7,단지분석!$AH$5:$AH$11,0))</f>
        <v/>
      </c>
      <c r="D7" s="36">
        <f>INDEX(단지분석!$AG$5:$AG$11,MATCH($A7,단지분석!$AH$5:$AH$11,0))</f>
        <v/>
      </c>
      <c r="E7" s="37">
        <f>INDEX(단지분석!$E$5:$E$11,MATCH($A7,단지분석!$AH$5:$AH$11,0))</f>
        <v/>
      </c>
      <c r="F7" s="37">
        <f>INDEX(단지분석!$G$5:$G$11,MATCH($A7,단지분석!$AH$5:$AH$11,0))</f>
        <v/>
      </c>
      <c r="G7" s="37">
        <f>INDEX(단지분석!$K$5:$K$11,MATCH($A7,단지분석!$AH$5:$AH$11,0))</f>
        <v/>
      </c>
      <c r="H7" s="38">
        <f>INDEX(단지분석!$L$5:$L$11,MATCH($A7,단지분석!$AH$5:$AH$11,0))</f>
        <v/>
      </c>
      <c r="I7" s="37">
        <f>IF(가정!$B$7="보수",INDEX(단지분석!$R$5:$R$11,MATCH($A7,단지분석!$AH$5:$AH$11,0)),IF(가정!$B$7="낙관",INDEX(단지분석!$T$5:$T$11,MATCH($A7,단지분석!$AH$5:$AH$11,0)),INDEX(단지분석!$S$5:$S$11,MATCH($A7,단지분석!$AH$5:$AH$11,0))))</f>
        <v/>
      </c>
      <c r="J7" s="37">
        <f>IF(가정!$B$7="보수",INDEX(단지분석!$U$5:$U$11,MATCH($A7,단지분석!$AH$5:$AH$11,0)),IF(가정!$B$7="낙관",INDEX(단지분석!$W$5:$W$11,MATCH($A7,단지분석!$AH$5:$AH$11,0)),INDEX(단지분석!$V$5:$V$11,MATCH($A7,단지분석!$AH$5:$AH$11,0))))</f>
        <v/>
      </c>
      <c r="K7" s="39">
        <f>IFERROR(J7/G7,0)</f>
        <v/>
      </c>
      <c r="L7" s="36">
        <f>INDEX(단지분석!$N$5:$N$11,MATCH($A7,단지분석!$AH$5:$AH$11,0))</f>
        <v/>
      </c>
    </row>
    <row r="8">
      <c r="A8" s="34" t="n">
        <v>4</v>
      </c>
      <c r="B8" s="35">
        <f>INDEX(단지분석!$A$5:$A$11,MATCH($A8,단지분석!$AH$5:$AH$11,0))</f>
        <v/>
      </c>
      <c r="C8" s="36">
        <f>INDEX(단지분석!$B$5:$B$11,MATCH($A8,단지분석!$AH$5:$AH$11,0))</f>
        <v/>
      </c>
      <c r="D8" s="36">
        <f>INDEX(단지분석!$AG$5:$AG$11,MATCH($A8,단지분석!$AH$5:$AH$11,0))</f>
        <v/>
      </c>
      <c r="E8" s="37">
        <f>INDEX(단지분석!$E$5:$E$11,MATCH($A8,단지분석!$AH$5:$AH$11,0))</f>
        <v/>
      </c>
      <c r="F8" s="37">
        <f>INDEX(단지분석!$G$5:$G$11,MATCH($A8,단지분석!$AH$5:$AH$11,0))</f>
        <v/>
      </c>
      <c r="G8" s="37">
        <f>INDEX(단지분석!$K$5:$K$11,MATCH($A8,단지분석!$AH$5:$AH$11,0))</f>
        <v/>
      </c>
      <c r="H8" s="38">
        <f>INDEX(단지분석!$L$5:$L$11,MATCH($A8,단지분석!$AH$5:$AH$11,0))</f>
        <v/>
      </c>
      <c r="I8" s="37">
        <f>IF(가정!$B$7="보수",INDEX(단지분석!$R$5:$R$11,MATCH($A8,단지분석!$AH$5:$AH$11,0)),IF(가정!$B$7="낙관",INDEX(단지분석!$T$5:$T$11,MATCH($A8,단지분석!$AH$5:$AH$11,0)),INDEX(단지분석!$S$5:$S$11,MATCH($A8,단지분석!$AH$5:$AH$11,0))))</f>
        <v/>
      </c>
      <c r="J8" s="37">
        <f>IF(가정!$B$7="보수",INDEX(단지분석!$U$5:$U$11,MATCH($A8,단지분석!$AH$5:$AH$11,0)),IF(가정!$B$7="낙관",INDEX(단지분석!$W$5:$W$11,MATCH($A8,단지분석!$AH$5:$AH$11,0)),INDEX(단지분석!$V$5:$V$11,MATCH($A8,단지분석!$AH$5:$AH$11,0))))</f>
        <v/>
      </c>
      <c r="K8" s="39">
        <f>IFERROR(J8/G8,0)</f>
        <v/>
      </c>
      <c r="L8" s="36">
        <f>INDEX(단지분석!$N$5:$N$11,MATCH($A8,단지분석!$AH$5:$AH$11,0))</f>
        <v/>
      </c>
    </row>
    <row r="9">
      <c r="A9" s="24" t="n">
        <v>5</v>
      </c>
      <c r="B9" s="40">
        <f>INDEX(단지분석!$A$5:$A$11,MATCH($A9,단지분석!$AH$5:$AH$11,0))</f>
        <v/>
      </c>
      <c r="C9" s="41">
        <f>INDEX(단지분석!$B$5:$B$11,MATCH($A9,단지분석!$AH$5:$AH$11,0))</f>
        <v/>
      </c>
      <c r="D9" s="41">
        <f>INDEX(단지분석!$AG$5:$AG$11,MATCH($A9,단지분석!$AH$5:$AH$11,0))</f>
        <v/>
      </c>
      <c r="E9" s="42">
        <f>INDEX(단지분석!$E$5:$E$11,MATCH($A9,단지분석!$AH$5:$AH$11,0))</f>
        <v/>
      </c>
      <c r="F9" s="42">
        <f>INDEX(단지분석!$G$5:$G$11,MATCH($A9,단지분석!$AH$5:$AH$11,0))</f>
        <v/>
      </c>
      <c r="G9" s="42">
        <f>INDEX(단지분석!$K$5:$K$11,MATCH($A9,단지분석!$AH$5:$AH$11,0))</f>
        <v/>
      </c>
      <c r="H9" s="43">
        <f>INDEX(단지분석!$L$5:$L$11,MATCH($A9,단지분석!$AH$5:$AH$11,0))</f>
        <v/>
      </c>
      <c r="I9" s="42">
        <f>IF(가정!$B$7="보수",INDEX(단지분석!$R$5:$R$11,MATCH($A9,단지분석!$AH$5:$AH$11,0)),IF(가정!$B$7="낙관",INDEX(단지분석!$T$5:$T$11,MATCH($A9,단지분석!$AH$5:$AH$11,0)),INDEX(단지분석!$S$5:$S$11,MATCH($A9,단지분석!$AH$5:$AH$11,0))))</f>
        <v/>
      </c>
      <c r="J9" s="42">
        <f>IF(가정!$B$7="보수",INDEX(단지분석!$U$5:$U$11,MATCH($A9,단지분석!$AH$5:$AH$11,0)),IF(가정!$B$7="낙관",INDEX(단지분석!$W$5:$W$11,MATCH($A9,단지분석!$AH$5:$AH$11,0)),INDEX(단지분석!$V$5:$V$11,MATCH($A9,단지분석!$AH$5:$AH$11,0))))</f>
        <v/>
      </c>
      <c r="K9" s="22">
        <f>IFERROR(J9/G9,0)</f>
        <v/>
      </c>
      <c r="L9" s="41">
        <f>INDEX(단지분석!$N$5:$N$11,MATCH($A9,단지분석!$AH$5:$AH$11,0))</f>
        <v/>
      </c>
    </row>
    <row r="10">
      <c r="A10" s="24" t="n">
        <v>6</v>
      </c>
      <c r="B10" s="40">
        <f>INDEX(단지분석!$A$5:$A$11,MATCH($A10,단지분석!$AH$5:$AH$11,0))</f>
        <v/>
      </c>
      <c r="C10" s="41">
        <f>INDEX(단지분석!$B$5:$B$11,MATCH($A10,단지분석!$AH$5:$AH$11,0))</f>
        <v/>
      </c>
      <c r="D10" s="41">
        <f>INDEX(단지분석!$AG$5:$AG$11,MATCH($A10,단지분석!$AH$5:$AH$11,0))</f>
        <v/>
      </c>
      <c r="E10" s="42">
        <f>INDEX(단지분석!$E$5:$E$11,MATCH($A10,단지분석!$AH$5:$AH$11,0))</f>
        <v/>
      </c>
      <c r="F10" s="42">
        <f>INDEX(단지분석!$G$5:$G$11,MATCH($A10,단지분석!$AH$5:$AH$11,0))</f>
        <v/>
      </c>
      <c r="G10" s="42">
        <f>INDEX(단지분석!$K$5:$K$11,MATCH($A10,단지분석!$AH$5:$AH$11,0))</f>
        <v/>
      </c>
      <c r="H10" s="43">
        <f>INDEX(단지분석!$L$5:$L$11,MATCH($A10,단지분석!$AH$5:$AH$11,0))</f>
        <v/>
      </c>
      <c r="I10" s="42">
        <f>IF(가정!$B$7="보수",INDEX(단지분석!$R$5:$R$11,MATCH($A10,단지분석!$AH$5:$AH$11,0)),IF(가정!$B$7="낙관",INDEX(단지분석!$T$5:$T$11,MATCH($A10,단지분석!$AH$5:$AH$11,0)),INDEX(단지분석!$S$5:$S$11,MATCH($A10,단지분석!$AH$5:$AH$11,0))))</f>
        <v/>
      </c>
      <c r="J10" s="42">
        <f>IF(가정!$B$7="보수",INDEX(단지분석!$U$5:$U$11,MATCH($A10,단지분석!$AH$5:$AH$11,0)),IF(가정!$B$7="낙관",INDEX(단지분석!$W$5:$W$11,MATCH($A10,단지분석!$AH$5:$AH$11,0)),INDEX(단지분석!$V$5:$V$11,MATCH($A10,단지분석!$AH$5:$AH$11,0))))</f>
        <v/>
      </c>
      <c r="K10" s="22">
        <f>IFERROR(J10/G10,0)</f>
        <v/>
      </c>
      <c r="L10" s="41">
        <f>INDEX(단지분석!$N$5:$N$11,MATCH($A10,단지분석!$AH$5:$AH$11,0))</f>
        <v/>
      </c>
    </row>
    <row r="11">
      <c r="A11" s="24" t="n">
        <v>7</v>
      </c>
      <c r="B11" s="40">
        <f>INDEX(단지분석!$A$5:$A$11,MATCH($A11,단지분석!$AH$5:$AH$11,0))</f>
        <v/>
      </c>
      <c r="C11" s="41">
        <f>INDEX(단지분석!$B$5:$B$11,MATCH($A11,단지분석!$AH$5:$AH$11,0))</f>
        <v/>
      </c>
      <c r="D11" s="41">
        <f>INDEX(단지분석!$AG$5:$AG$11,MATCH($A11,단지분석!$AH$5:$AH$11,0))</f>
        <v/>
      </c>
      <c r="E11" s="42">
        <f>INDEX(단지분석!$E$5:$E$11,MATCH($A11,단지분석!$AH$5:$AH$11,0))</f>
        <v/>
      </c>
      <c r="F11" s="42">
        <f>INDEX(단지분석!$G$5:$G$11,MATCH($A11,단지분석!$AH$5:$AH$11,0))</f>
        <v/>
      </c>
      <c r="G11" s="42">
        <f>INDEX(단지분석!$K$5:$K$11,MATCH($A11,단지분석!$AH$5:$AH$11,0))</f>
        <v/>
      </c>
      <c r="H11" s="43">
        <f>INDEX(단지분석!$L$5:$L$11,MATCH($A11,단지분석!$AH$5:$AH$11,0))</f>
        <v/>
      </c>
      <c r="I11" s="42">
        <f>IF(가정!$B$7="보수",INDEX(단지분석!$R$5:$R$11,MATCH($A11,단지분석!$AH$5:$AH$11,0)),IF(가정!$B$7="낙관",INDEX(단지분석!$T$5:$T$11,MATCH($A11,단지분석!$AH$5:$AH$11,0)),INDEX(단지분석!$S$5:$S$11,MATCH($A11,단지분석!$AH$5:$AH$11,0))))</f>
        <v/>
      </c>
      <c r="J11" s="42">
        <f>IF(가정!$B$7="보수",INDEX(단지분석!$U$5:$U$11,MATCH($A11,단지분석!$AH$5:$AH$11,0)),IF(가정!$B$7="낙관",INDEX(단지분석!$W$5:$W$11,MATCH($A11,단지분석!$AH$5:$AH$11,0)),INDEX(단지분석!$V$5:$V$11,MATCH($A11,단지분석!$AH$5:$AH$11,0))))</f>
        <v/>
      </c>
      <c r="K11" s="22">
        <f>IFERROR(J11/G11,0)</f>
        <v/>
      </c>
      <c r="L11" s="41">
        <f>INDEX(단지분석!$N$5:$N$11,MATCH($A11,단지분석!$AH$5:$AH$11,0))</f>
        <v/>
      </c>
    </row>
    <row r="13">
      <c r="A13" s="33" t="inlineStr">
        <is>
          <t>1~4위(노란색) = 향후 가격 인상 기대 상위. 점수·가격 입력은 [단지분석]에서 수정.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실거주 매수 대출 시뮬레이션 (2안)</t>
        </is>
      </c>
    </row>
    <row r="3">
      <c r="A3" s="44" t="inlineStr">
        <is>
          <t>항목</t>
        </is>
      </c>
      <c r="B3" s="44" t="inlineStr">
        <is>
          <t>값</t>
        </is>
      </c>
    </row>
    <row r="4">
      <c r="A4" s="9" t="inlineStr">
        <is>
          <t>대상 단지(단지분석 행 선택)</t>
        </is>
      </c>
      <c r="B4" s="13" t="inlineStr">
        <is>
          <t>대신2차푸르지오</t>
        </is>
      </c>
      <c r="C4" s="45" t="inlineStr">
        <is>
          <t>단지명을 목록에서 선택</t>
        </is>
      </c>
    </row>
    <row r="5">
      <c r="A5" s="9" t="inlineStr">
        <is>
          <t>매매가(억원)</t>
        </is>
      </c>
      <c r="B5" s="42">
        <f>INDEX(단지분석!$E$5:$E$11,MATCH(B4,단지분석!$A$5:$A$11,0))</f>
        <v/>
      </c>
      <c r="C5" s="45" t="inlineStr"/>
    </row>
    <row r="6">
      <c r="A6" s="9" t="inlineStr">
        <is>
          <t>부대비용(억원)</t>
        </is>
      </c>
      <c r="B6" s="42">
        <f>INDEX(단지분석!$I$5:$I$11,MATCH(B4,단지분석!$A$5:$A$11,0))</f>
        <v/>
      </c>
      <c r="C6" s="45" t="inlineStr"/>
    </row>
    <row r="7">
      <c r="A7" s="9" t="inlineStr">
        <is>
          <t>LTV(담보인정비율)</t>
        </is>
      </c>
      <c r="B7" s="10" t="n">
        <v>0.7</v>
      </c>
      <c r="C7" s="45" t="inlineStr">
        <is>
          <t>비규제지역 일반 70% 가정. 실제 한도는 DSR·소득에 따라 달라짐</t>
        </is>
      </c>
    </row>
    <row r="8">
      <c r="A8" s="9" t="inlineStr">
        <is>
          <t>대출금(억원)</t>
        </is>
      </c>
      <c r="B8" s="21">
        <f>B5*B7</f>
        <v/>
      </c>
      <c r="C8" s="45" t="inlineStr"/>
    </row>
    <row r="9">
      <c r="A9" s="9" t="inlineStr">
        <is>
          <t>필요 자기자본(억원)</t>
        </is>
      </c>
      <c r="B9" s="21">
        <f>B5+B6-B8</f>
        <v/>
      </c>
      <c r="C9" s="45" t="inlineStr"/>
    </row>
    <row r="10">
      <c r="A10" s="9" t="inlineStr">
        <is>
          <t>대출금리(연)</t>
        </is>
      </c>
      <c r="B10" s="10" t="n">
        <v>0.045</v>
      </c>
      <c r="C10" s="45" t="inlineStr">
        <is>
          <t>가정값. 기준금리 3.00%(2026.8.27) 환경의 주담대 금리로 은행 견적으로 교체</t>
        </is>
      </c>
    </row>
    <row r="11">
      <c r="A11" s="9" t="inlineStr">
        <is>
          <t>대출기간(년)</t>
        </is>
      </c>
      <c r="B11" s="12" t="n">
        <v>30</v>
      </c>
      <c r="C11" s="45" t="inlineStr"/>
    </row>
    <row r="12">
      <c r="A12" s="9" t="inlineStr">
        <is>
          <t>월 원리금(만원, 원리금균등)</t>
        </is>
      </c>
      <c r="B12" s="46">
        <f>IFERROR(PMT(B10/12,B11*12,-B8*10000),0)</f>
        <v/>
      </c>
      <c r="C12" s="45" t="inlineStr">
        <is>
          <t>억원×10,000 = 만원</t>
        </is>
      </c>
    </row>
    <row r="13">
      <c r="A13" s="9" t="inlineStr">
        <is>
          <t>월 이자만(만원, 첫달)</t>
        </is>
      </c>
      <c r="B13" s="46">
        <f>B8*10000*B10/12</f>
        <v/>
      </c>
      <c r="C13" s="45" t="inlineStr"/>
    </row>
    <row r="14">
      <c r="A14" s="9" t="inlineStr">
        <is>
          <t>보유기간 예상시세(기본, 억원)</t>
        </is>
      </c>
      <c r="B14" s="42">
        <f>INDEX(단지분석!$S$5:$S$11,MATCH(B4,단지분석!$A$5:$A$11,0))</f>
        <v/>
      </c>
      <c r="C14" s="45" t="inlineStr"/>
    </row>
    <row r="15">
      <c r="A15" s="9" t="inlineStr">
        <is>
          <t>보유기간 총이자(억원, 근사)</t>
        </is>
      </c>
      <c r="B15" s="42">
        <f>B8*B10*가정!$B$6</f>
        <v/>
      </c>
      <c r="C15" s="45" t="inlineStr">
        <is>
          <t>원금 상환분 무시한 단순 근사</t>
        </is>
      </c>
    </row>
    <row r="16">
      <c r="A16" s="9" t="inlineStr">
        <is>
          <t>실거주 순수익(억원, 세전)</t>
        </is>
      </c>
      <c r="B16" s="21">
        <f>B14-B5-B6-B15</f>
        <v/>
      </c>
      <c r="C16" s="45" t="inlineStr">
        <is>
          <t>1주택 2년 거주 시 양도세 비과세(12억 이하) 가정</t>
        </is>
      </c>
    </row>
    <row r="17">
      <c r="A17" s="9" t="inlineStr">
        <is>
          <t>자기자본 수익률</t>
        </is>
      </c>
      <c r="B17" s="22">
        <f>IFERROR(B16/B9,0)</f>
        <v/>
      </c>
      <c r="C17" s="45" t="inlineStr"/>
    </row>
  </sheetData>
  <dataValidations count="1">
    <dataValidation sqref="B4" showDropDown="0" showInputMessage="0" showErrorMessage="0" allowBlank="0" type="list">
      <formula1>=단지분석!$A$5:$A$11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2026-10-09T10:29:35Z</dcterms:created>
  <dcterms:modified xsi:type="dcterms:W3CDTF">2026-10-09T10:29:35Z</dcterms:modified>
</cp:coreProperties>
</file>