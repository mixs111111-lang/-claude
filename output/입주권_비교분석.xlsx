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입력가정" sheetId="1" state="visible" r:id="rId3"/>
    <sheet name="분석" sheetId="2" state="visible" r:id="rId4"/>
    <sheet name="입지점수" sheetId="3" state="visible" r:id="rId5"/>
    <sheet name="매수전략" sheetId="4" state="visible" r:id="rId6"/>
    <sheet name="출처_한계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<sst xmlns="http://schemas.openxmlformats.org/spreadsheetml/2006/main" count="161" uniqueCount="124">
  <si>
    <r>
      <rPr>
        <b val="true"/>
        <sz val="13"/>
        <rFont val="Arial"/>
        <family val="0"/>
        <charset val="1"/>
      </rPr>
      <t xml:space="preserve">34</t>
    </r>
    <r>
      <rPr>
        <b val="true"/>
        <sz val="13"/>
        <rFont val="WenQuanYi Zen Hei"/>
        <family val="2"/>
      </rPr>
      <t xml:space="preserve">평</t>
    </r>
    <r>
      <rPr>
        <b val="true"/>
        <sz val="13"/>
        <rFont val="Arial"/>
        <family val="0"/>
        <charset val="1"/>
      </rPr>
      <t xml:space="preserve">(</t>
    </r>
    <r>
      <rPr>
        <b val="true"/>
        <sz val="13"/>
        <rFont val="WenQuanYi Zen Hei"/>
        <family val="2"/>
      </rPr>
      <t xml:space="preserve">전용</t>
    </r>
    <r>
      <rPr>
        <b val="true"/>
        <sz val="13"/>
        <rFont val="Arial"/>
        <family val="0"/>
        <charset val="1"/>
      </rPr>
      <t xml:space="preserve">84</t>
    </r>
    <r>
      <rPr>
        <b val="true"/>
        <sz val="13"/>
        <rFont val="WenQuanYi Zen Hei"/>
        <family val="2"/>
      </rPr>
      <t xml:space="preserve">㎡</t>
    </r>
    <r>
      <rPr>
        <b val="true"/>
        <sz val="13"/>
        <rFont val="Arial"/>
        <family val="0"/>
        <charset val="1"/>
      </rPr>
      <t xml:space="preserve">) </t>
    </r>
    <r>
      <rPr>
        <b val="true"/>
        <sz val="13"/>
        <rFont val="WenQuanYi Zen Hei"/>
        <family val="2"/>
      </rPr>
      <t xml:space="preserve">입주권 비교 모델 </t>
    </r>
    <r>
      <rPr>
        <b val="true"/>
        <sz val="13"/>
        <rFont val="Arial"/>
        <family val="0"/>
        <charset val="1"/>
      </rPr>
      <t xml:space="preserve">- </t>
    </r>
    <r>
      <rPr>
        <b val="true"/>
        <sz val="13"/>
        <rFont val="WenQuanYi Zen Hei"/>
        <family val="2"/>
      </rPr>
      <t xml:space="preserve">입력값 </t>
    </r>
    <r>
      <rPr>
        <b val="true"/>
        <sz val="13"/>
        <rFont val="Arial"/>
        <family val="0"/>
        <charset val="1"/>
      </rPr>
      <t xml:space="preserve">(</t>
    </r>
    <r>
      <rPr>
        <b val="true"/>
        <sz val="13"/>
        <rFont val="WenQuanYi Zen Hei"/>
        <family val="2"/>
      </rPr>
      <t xml:space="preserve">단위</t>
    </r>
    <r>
      <rPr>
        <b val="true"/>
        <sz val="13"/>
        <rFont val="Arial"/>
        <family val="0"/>
        <charset val="1"/>
      </rPr>
      <t xml:space="preserve">: </t>
    </r>
    <r>
      <rPr>
        <b val="true"/>
        <sz val="13"/>
        <rFont val="WenQuanYi Zen Hei"/>
        <family val="2"/>
      </rPr>
      <t xml:space="preserve">억원</t>
    </r>
    <r>
      <rPr>
        <b val="true"/>
        <sz val="13"/>
        <rFont val="Arial"/>
        <family val="0"/>
        <charset val="1"/>
      </rPr>
      <t xml:space="preserve">) / </t>
    </r>
    <r>
      <rPr>
        <b val="true"/>
        <sz val="13"/>
        <rFont val="WenQuanYi Zen Hei"/>
        <family val="2"/>
      </rPr>
      <t xml:space="preserve">기준일 </t>
    </r>
    <r>
      <rPr>
        <b val="true"/>
        <sz val="13"/>
        <rFont val="Arial"/>
        <family val="0"/>
        <charset val="1"/>
      </rPr>
      <t xml:space="preserve">2026-10-29</t>
    </r>
  </si>
  <si>
    <r>
      <rPr>
        <i val="true"/>
        <sz val="9"/>
        <color rgb="FFC00000"/>
        <rFont val="WenQuanYi Zen Hei"/>
        <family val="2"/>
      </rPr>
      <t xml:space="preserve">파란 글씨</t>
    </r>
    <r>
      <rPr>
        <i val="true"/>
        <sz val="9"/>
        <color rgb="FFC00000"/>
        <rFont val="Arial"/>
        <family val="0"/>
        <charset val="1"/>
      </rPr>
      <t xml:space="preserve">=</t>
    </r>
    <r>
      <rPr>
        <i val="true"/>
        <sz val="9"/>
        <color rgb="FFC00000"/>
        <rFont val="WenQuanYi Zen Hei"/>
        <family val="2"/>
      </rPr>
      <t xml:space="preserve">입력값</t>
    </r>
    <r>
      <rPr>
        <i val="true"/>
        <sz val="9"/>
        <color rgb="FFC00000"/>
        <rFont val="Arial"/>
        <family val="0"/>
        <charset val="1"/>
      </rPr>
      <t xml:space="preserve">(</t>
    </r>
    <r>
      <rPr>
        <i val="true"/>
        <sz val="9"/>
        <color rgb="FFC00000"/>
        <rFont val="WenQuanYi Zen Hei"/>
        <family val="2"/>
      </rPr>
      <t xml:space="preserve">교체 대상</t>
    </r>
    <r>
      <rPr>
        <i val="true"/>
        <sz val="9"/>
        <color rgb="FFC00000"/>
        <rFont val="Arial"/>
        <family val="0"/>
        <charset val="1"/>
      </rPr>
      <t xml:space="preserve">), </t>
    </r>
    <r>
      <rPr>
        <i val="true"/>
        <sz val="9"/>
        <color rgb="FFC00000"/>
        <rFont val="WenQuanYi Zen Hei"/>
        <family val="2"/>
      </rPr>
      <t xml:space="preserve">검정</t>
    </r>
    <r>
      <rPr>
        <i val="true"/>
        <sz val="9"/>
        <color rgb="FFC00000"/>
        <rFont val="Arial"/>
        <family val="0"/>
        <charset val="1"/>
      </rPr>
      <t xml:space="preserve">=</t>
    </r>
    <r>
      <rPr>
        <i val="true"/>
        <sz val="9"/>
        <color rgb="FFC00000"/>
        <rFont val="WenQuanYi Zen Hei"/>
        <family val="2"/>
      </rPr>
      <t xml:space="preserve">수식</t>
    </r>
    <r>
      <rPr>
        <i val="true"/>
        <sz val="9"/>
        <color rgb="FFC00000"/>
        <rFont val="Arial"/>
        <family val="0"/>
        <charset val="1"/>
      </rPr>
      <t xml:space="preserve">. </t>
    </r>
    <r>
      <rPr>
        <i val="true"/>
        <sz val="9"/>
        <color rgb="FFC00000"/>
        <rFont val="WenQuanYi Zen Hei"/>
        <family val="2"/>
      </rPr>
      <t xml:space="preserve">노란 칸</t>
    </r>
    <r>
      <rPr>
        <i val="true"/>
        <sz val="9"/>
        <color rgb="FFC00000"/>
        <rFont val="Arial"/>
        <family val="0"/>
        <charset val="1"/>
      </rPr>
      <t xml:space="preserve">=</t>
    </r>
    <r>
      <rPr>
        <i val="true"/>
        <sz val="9"/>
        <color rgb="FFC00000"/>
        <rFont val="WenQuanYi Zen Hei"/>
        <family val="2"/>
      </rPr>
      <t xml:space="preserve">웹검색으로 확인된 값</t>
    </r>
    <r>
      <rPr>
        <i val="true"/>
        <sz val="9"/>
        <color rgb="FFC00000"/>
        <rFont val="Arial"/>
        <family val="0"/>
        <charset val="1"/>
      </rPr>
      <t xml:space="preserve">, </t>
    </r>
    <r>
      <rPr>
        <i val="true"/>
        <sz val="9"/>
        <color rgb="FFC00000"/>
        <rFont val="WenQuanYi Zen Hei"/>
        <family val="2"/>
      </rPr>
      <t xml:space="preserve">나머지 파란 칸은 </t>
    </r>
    <r>
      <rPr>
        <i val="true"/>
        <sz val="9"/>
        <color rgb="FFC00000"/>
        <rFont val="Arial"/>
        <family val="0"/>
        <charset val="1"/>
      </rPr>
      <t xml:space="preserve">'</t>
    </r>
    <r>
      <rPr>
        <i val="true"/>
        <sz val="9"/>
        <color rgb="FFC00000"/>
        <rFont val="WenQuanYi Zen Hei"/>
        <family val="2"/>
      </rPr>
      <t xml:space="preserve">가정치</t>
    </r>
    <r>
      <rPr>
        <i val="true"/>
        <sz val="9"/>
        <color rgb="FFC00000"/>
        <rFont val="Arial"/>
        <family val="0"/>
        <charset val="1"/>
      </rPr>
      <t xml:space="preserve">'</t>
    </r>
    <r>
      <rPr>
        <i val="true"/>
        <sz val="9"/>
        <color rgb="FFC00000"/>
        <rFont val="WenQuanYi Zen Hei"/>
        <family val="2"/>
      </rPr>
      <t xml:space="preserve">로 중개업소 호가</t>
    </r>
    <r>
      <rPr>
        <i val="true"/>
        <sz val="9"/>
        <color rgb="FFC00000"/>
        <rFont val="Arial"/>
        <family val="0"/>
        <charset val="1"/>
      </rPr>
      <t xml:space="preserve">·</t>
    </r>
    <r>
      <rPr>
        <i val="true"/>
        <sz val="9"/>
        <color rgb="FFC00000"/>
        <rFont val="WenQuanYi Zen Hei"/>
        <family val="2"/>
      </rPr>
      <t xml:space="preserve">조합 총회자료로 반드시 교체하세요</t>
    </r>
    <r>
      <rPr>
        <i val="true"/>
        <sz val="9"/>
        <color rgb="FFC00000"/>
        <rFont val="Arial"/>
        <family val="0"/>
        <charset val="1"/>
      </rPr>
      <t xml:space="preserve">.</t>
    </r>
  </si>
  <si>
    <t xml:space="preserve">No</t>
  </si>
  <si>
    <t xml:space="preserve">구역</t>
  </si>
  <si>
    <t xml:space="preserve">지역</t>
  </si>
  <si>
    <r>
      <rPr>
        <b val="true"/>
        <sz val="10"/>
        <color rgb="FFFFFFFF"/>
        <rFont val="WenQuanYi Zen Hei"/>
        <family val="2"/>
      </rPr>
      <t xml:space="preserve">사업단계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확인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</si>
  <si>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종전 감정가</t>
  </si>
  <si>
    <t xml:space="preserve">비례율</t>
  </si>
  <si>
    <r>
      <rPr>
        <b val="true"/>
        <sz val="10"/>
        <color rgb="FFFFFFFF"/>
        <rFont val="WenQuanYi Zen Hei"/>
        <family val="2"/>
      </rPr>
      <t xml:space="preserve">조합원 분양가</t>
    </r>
    <r>
      <rPr>
        <b val="true"/>
        <sz val="10"/>
        <color rgb="FFFFFFFF"/>
        <rFont val="Arial"/>
        <family val="0"/>
        <charset val="1"/>
      </rPr>
      <t xml:space="preserve">(84</t>
    </r>
    <r>
      <rPr>
        <b val="true"/>
        <sz val="10"/>
        <color rgb="FFFFFFFF"/>
        <rFont val="WenQuanYi Zen Hei"/>
        <family val="2"/>
      </rPr>
      <t xml:space="preserve">㎡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</si>
  <si>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프리미엄</t>
    </r>
    <r>
      <rPr>
        <b val="true"/>
        <sz val="10"/>
        <color rgb="FFFFFFFF"/>
        <rFont val="Arial"/>
        <family val="0"/>
        <charset val="1"/>
      </rPr>
      <t xml:space="preserve">(P)</t>
    </r>
  </si>
  <si>
    <r>
      <rPr>
        <b val="true"/>
        <sz val="10"/>
        <color rgb="FFFFFFFF"/>
        <rFont val="WenQuanYi Zen Hei"/>
        <family val="2"/>
      </rPr>
      <t xml:space="preserve">이주비 대출비율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감정가 대비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</si>
  <si>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입주후 예상시세</t>
  </si>
  <si>
    <t xml:space="preserve">입주후 전세가율</t>
  </si>
  <si>
    <t xml:space="preserve">입주 예정</t>
  </si>
  <si>
    <t xml:space="preserve">데이터 신뢰도</t>
  </si>
  <si>
    <r>
      <rPr>
        <b val="true"/>
        <sz val="10"/>
        <color rgb="FFFFFFFF"/>
        <rFont val="WenQuanYi Zen Hei"/>
        <family val="2"/>
      </rPr>
      <t xml:space="preserve">출처</t>
    </r>
    <r>
      <rPr>
        <b val="true"/>
        <sz val="10"/>
        <color rgb="FFFFFFFF"/>
        <rFont val="Arial"/>
        <family val="0"/>
        <charset val="1"/>
      </rPr>
      <t xml:space="preserve">/</t>
    </r>
    <r>
      <rPr>
        <b val="true"/>
        <sz val="10"/>
        <color rgb="FFFFFFFF"/>
        <rFont val="WenQuanYi Zen Hei"/>
        <family val="2"/>
      </rPr>
      <t xml:space="preserve">비고</t>
    </r>
  </si>
  <si>
    <r>
      <rPr>
        <sz val="10"/>
        <rFont val="WenQuanYi Zen Hei"/>
        <family val="2"/>
      </rPr>
      <t xml:space="preserve">해운대 우동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구역</t>
    </r>
  </si>
  <si>
    <t xml:space="preserve">부산 해운대</t>
  </si>
  <si>
    <r>
      <rPr>
        <sz val="10"/>
        <rFont val="WenQuanYi Zen Hei"/>
        <family val="2"/>
      </rPr>
      <t xml:space="preserve">관리처분인가</t>
    </r>
    <r>
      <rPr>
        <sz val="10"/>
        <rFont val="Arial"/>
        <family val="0"/>
        <charset val="1"/>
      </rPr>
      <t xml:space="preserve">(2026-05 </t>
    </r>
    <r>
      <rPr>
        <sz val="10"/>
        <rFont val="WenQuanYi Zen Hei"/>
        <family val="2"/>
      </rPr>
      <t xml:space="preserve">고시</t>
    </r>
    <r>
      <rPr>
        <sz val="10"/>
        <rFont val="Arial"/>
        <family val="0"/>
        <charset val="1"/>
      </rPr>
      <t xml:space="preserve">, 2,395</t>
    </r>
    <r>
      <rPr>
        <sz val="10"/>
        <rFont val="WenQuanYi Zen Hei"/>
        <family val="2"/>
      </rPr>
      <t xml:space="preserve">세대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현대건설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</si>
  <si>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2031.06 </t>
    </r>
    <r>
      <rPr>
        <sz val="10"/>
        <rFont val="WenQuanYi Zen Hei"/>
        <family val="2"/>
      </rPr>
      <t xml:space="preserve">예정</t>
    </r>
  </si>
  <si>
    <r>
      <rPr>
        <sz val="10"/>
        <rFont val="WenQuanYi Zen Hei"/>
        <family val="2"/>
      </rPr>
      <t xml:space="preserve">중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비례율 블로그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나머지 가정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</si>
  <si>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비례율</t>
    </r>
    <r>
      <rPr>
        <sz val="10"/>
        <rFont val="Arial"/>
        <family val="0"/>
        <charset val="1"/>
      </rPr>
      <t xml:space="preserve">115%</t>
    </r>
    <r>
      <rPr>
        <sz val="10"/>
        <rFont val="WenQuanYi Zen Hei"/>
        <family val="2"/>
      </rPr>
      <t xml:space="preserve">는 개인블로그 인용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공사비 증액 협의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해운정사 민원 리스크</t>
    </r>
  </si>
  <si>
    <r>
      <rPr>
        <sz val="10"/>
        <rFont val="WenQuanYi Zen Hei"/>
        <family val="2"/>
      </rPr>
      <t xml:space="preserve">부산진 촉진</t>
    </r>
    <r>
      <rPr>
        <sz val="10"/>
        <rFont val="Arial"/>
        <family val="0"/>
        <charset val="1"/>
      </rPr>
      <t xml:space="preserve">2-1</t>
    </r>
    <r>
      <rPr>
        <sz val="10"/>
        <rFont val="WenQuanYi Zen Hei"/>
        <family val="2"/>
      </rPr>
      <t xml:space="preserve">구역</t>
    </r>
  </si>
  <si>
    <t xml:space="preserve">부산 부산진</t>
  </si>
  <si>
    <r>
      <rPr>
        <sz val="10"/>
        <rFont val="WenQuanYi Zen Hei"/>
        <family val="2"/>
      </rPr>
      <t xml:space="preserve">시공사 포스코이앤씨 계약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관리처분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이주 추진</t>
    </r>
    <r>
      <rPr>
        <sz val="10"/>
        <rFont val="Arial"/>
        <family val="0"/>
        <charset val="1"/>
      </rPr>
      <t xml:space="preserve">(1,902</t>
    </r>
    <r>
      <rPr>
        <sz val="10"/>
        <rFont val="WenQuanYi Zen Hei"/>
        <family val="2"/>
      </rPr>
      <t xml:space="preserve">세대</t>
    </r>
    <r>
      <rPr>
        <sz val="10"/>
        <rFont val="Arial"/>
        <family val="0"/>
        <charset val="1"/>
      </rPr>
      <t xml:space="preserve">, 69</t>
    </r>
    <r>
      <rPr>
        <sz val="10"/>
        <rFont val="WenQuanYi Zen Hei"/>
        <family val="2"/>
      </rPr>
      <t xml:space="preserve">층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</si>
  <si>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2030 </t>
    </r>
    <r>
      <rPr>
        <sz val="10"/>
        <rFont val="WenQuanYi Zen Hei"/>
        <family val="2"/>
      </rPr>
      <t xml:space="preserve">전후 가정</t>
    </r>
  </si>
  <si>
    <r>
      <rPr>
        <sz val="10"/>
        <rFont val="WenQuanYi Zen Hei"/>
        <family val="2"/>
      </rPr>
      <t xml:space="preserve">하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전부 가정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</si>
  <si>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비례율 </t>
    </r>
    <r>
      <rPr>
        <sz val="10"/>
        <rFont val="Arial"/>
        <family val="0"/>
        <charset val="1"/>
      </rPr>
      <t xml:space="preserve">'190%'</t>
    </r>
    <r>
      <rPr>
        <sz val="10"/>
        <rFont val="WenQuanYi Zen Hei"/>
        <family val="2"/>
      </rPr>
      <t xml:space="preserve">는 유튜브 표기로 신뢰 불가→</t>
    </r>
    <r>
      <rPr>
        <sz val="10"/>
        <rFont val="Arial"/>
        <family val="0"/>
        <charset val="1"/>
      </rPr>
      <t xml:space="preserve">110% </t>
    </r>
    <r>
      <rPr>
        <sz val="10"/>
        <rFont val="WenQuanYi Zen Hei"/>
        <family val="2"/>
      </rPr>
      <t xml:space="preserve">가정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시민공원 인접</t>
    </r>
  </si>
  <si>
    <r>
      <rPr>
        <sz val="10"/>
        <rFont val="WenQuanYi Zen Hei"/>
        <family val="2"/>
      </rPr>
      <t xml:space="preserve">부산진 촉진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구역</t>
    </r>
  </si>
  <si>
    <r>
      <rPr>
        <sz val="10"/>
        <rFont val="WenQuanYi Zen Hei"/>
        <family val="2"/>
      </rPr>
      <t xml:space="preserve">확인 불가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검색 결과 없음</t>
    </r>
    <r>
      <rPr>
        <sz val="10"/>
        <rFont val="Arial"/>
        <family val="0"/>
        <charset val="1"/>
      </rPr>
      <t xml:space="preserve">)</t>
    </r>
  </si>
  <si>
    <t xml:space="preserve">미확인</t>
  </si>
  <si>
    <r>
      <rPr>
        <sz val="10"/>
        <rFont val="WenQuanYi Zen Hei"/>
        <family val="2"/>
      </rPr>
      <t xml:space="preserve">공개 수치 없음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반드시 조합 공지 확인</t>
    </r>
  </si>
  <si>
    <r>
      <rPr>
        <sz val="10"/>
        <rFont val="WenQuanYi Zen Hei"/>
        <family val="2"/>
      </rPr>
      <t xml:space="preserve">해운대 중동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구역</t>
    </r>
  </si>
  <si>
    <r>
      <rPr>
        <sz val="10"/>
        <rFont val="WenQuanYi Zen Hei"/>
        <family val="2"/>
      </rPr>
      <t xml:space="preserve">시공사 </t>
    </r>
    <r>
      <rPr>
        <sz val="10"/>
        <rFont val="Arial"/>
        <family val="0"/>
        <charset val="1"/>
      </rPr>
      <t xml:space="preserve">DL</t>
    </r>
    <r>
      <rPr>
        <sz val="10"/>
        <rFont val="WenQuanYi Zen Hei"/>
        <family val="2"/>
      </rPr>
      <t xml:space="preserve">이앤씨</t>
    </r>
    <r>
      <rPr>
        <sz val="10"/>
        <rFont val="Arial"/>
        <family val="0"/>
        <charset val="1"/>
      </rPr>
      <t xml:space="preserve">(2023), 1,119</t>
    </r>
    <r>
      <rPr>
        <sz val="10"/>
        <rFont val="WenQuanYi Zen Hei"/>
        <family val="2"/>
      </rPr>
      <t xml:space="preserve">세대</t>
    </r>
    <r>
      <rPr>
        <sz val="10"/>
        <rFont val="Arial"/>
        <family val="0"/>
        <charset val="1"/>
      </rPr>
      <t xml:space="preserve">, 2026.06 </t>
    </r>
    <r>
      <rPr>
        <sz val="10"/>
        <rFont val="WenQuanYi Zen Hei"/>
        <family val="2"/>
      </rPr>
      <t xml:space="preserve">착공</t>
    </r>
    <r>
      <rPr>
        <sz val="10"/>
        <rFont val="Arial"/>
        <family val="0"/>
        <charset val="1"/>
      </rPr>
      <t xml:space="preserve">·2029.10 </t>
    </r>
    <r>
      <rPr>
        <sz val="10"/>
        <rFont val="WenQuanYi Zen Hei"/>
        <family val="2"/>
      </rPr>
      <t xml:space="preserve">준공 계획</t>
    </r>
  </si>
  <si>
    <r>
      <rPr>
        <sz val="10"/>
        <rFont val="Arial"/>
        <family val="0"/>
        <charset val="1"/>
      </rPr>
      <t xml:space="preserve">2029.10 </t>
    </r>
    <r>
      <rPr>
        <sz val="10"/>
        <rFont val="WenQuanYi Zen Hei"/>
        <family val="2"/>
      </rPr>
      <t xml:space="preserve">계획</t>
    </r>
  </si>
  <si>
    <r>
      <rPr>
        <sz val="10"/>
        <rFont val="WenQuanYi Zen Hei"/>
        <family val="2"/>
      </rPr>
      <t xml:space="preserve">하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비대위 </t>
    </r>
    <r>
      <rPr>
        <sz val="10"/>
        <rFont val="Arial"/>
        <family val="0"/>
        <charset val="1"/>
      </rPr>
      <t xml:space="preserve">30%</t>
    </r>
    <r>
      <rPr>
        <sz val="10"/>
        <rFont val="WenQuanYi Zen Hei"/>
        <family val="2"/>
      </rPr>
      <t xml:space="preserve">대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조합 </t>
    </r>
    <r>
      <rPr>
        <sz val="10"/>
        <rFont val="Arial"/>
        <family val="0"/>
        <charset val="1"/>
      </rPr>
      <t xml:space="preserve">110% </t>
    </r>
    <r>
      <rPr>
        <sz val="10"/>
        <rFont val="WenQuanYi Zen Hei"/>
        <family val="2"/>
      </rPr>
      <t xml:space="preserve">분쟁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</si>
  <si>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비례율 분쟁 → 보수적 </t>
    </r>
    <r>
      <rPr>
        <sz val="10"/>
        <rFont val="Arial"/>
        <family val="0"/>
        <charset val="1"/>
      </rPr>
      <t xml:space="preserve">90% </t>
    </r>
    <r>
      <rPr>
        <sz val="10"/>
        <rFont val="WenQuanYi Zen Hei"/>
        <family val="2"/>
      </rPr>
      <t xml:space="preserve">가정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오산마을 사업성 다툼</t>
    </r>
  </si>
  <si>
    <r>
      <rPr>
        <sz val="10"/>
        <rFont val="WenQuanYi Zen Hei"/>
        <family val="2"/>
      </rPr>
      <t xml:space="preserve">수영구 삼익비치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재건축</t>
    </r>
    <r>
      <rPr>
        <sz val="10"/>
        <rFont val="Arial"/>
        <family val="0"/>
        <charset val="1"/>
      </rPr>
      <t xml:space="preserve">)</t>
    </r>
  </si>
  <si>
    <t xml:space="preserve">부산 수영</t>
  </si>
  <si>
    <r>
      <rPr>
        <sz val="10"/>
        <rFont val="WenQuanYi Zen Hei"/>
        <family val="2"/>
      </rPr>
      <t xml:space="preserve">재건축 조합원 분양가 통보</t>
    </r>
    <r>
      <rPr>
        <sz val="10"/>
        <rFont val="Arial"/>
        <family val="0"/>
        <charset val="1"/>
      </rPr>
      <t xml:space="preserve">(2026-10), 3,060</t>
    </r>
    <r>
      <rPr>
        <sz val="10"/>
        <rFont val="WenQuanYi Zen Hei"/>
        <family val="2"/>
      </rPr>
      <t xml:space="preserve">세대 유지</t>
    </r>
  </si>
  <si>
    <r>
      <rPr>
        <sz val="10"/>
        <rFont val="Arial"/>
        <family val="0"/>
        <charset val="1"/>
      </rPr>
      <t xml:space="preserve">2031 </t>
    </r>
    <r>
      <rPr>
        <sz val="10"/>
        <rFont val="WenQuanYi Zen Hei"/>
        <family val="2"/>
      </rPr>
      <t xml:space="preserve">이후 가정</t>
    </r>
  </si>
  <si>
    <r>
      <rPr>
        <sz val="10"/>
        <rFont val="WenQuanYi Zen Hei"/>
        <family val="2"/>
      </rPr>
      <t xml:space="preserve">상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분양가 </t>
    </r>
    <r>
      <rPr>
        <sz val="10"/>
        <rFont val="Arial"/>
        <family val="0"/>
        <charset val="1"/>
      </rPr>
      <t xml:space="preserve">18.76·</t>
    </r>
    <r>
      <rPr>
        <sz val="10"/>
        <rFont val="WenQuanYi Zen Hei"/>
        <family val="2"/>
      </rPr>
      <t xml:space="preserve">분담금 </t>
    </r>
    <r>
      <rPr>
        <sz val="10"/>
        <rFont val="Arial"/>
        <family val="0"/>
        <charset val="1"/>
      </rPr>
      <t xml:space="preserve">8.55 </t>
    </r>
    <r>
      <rPr>
        <sz val="10"/>
        <rFont val="WenQuanYi Zen Hei"/>
        <family val="2"/>
      </rPr>
      <t xml:space="preserve">기사 확인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</si>
  <si>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권리가액</t>
    </r>
    <r>
      <rPr>
        <sz val="10"/>
        <rFont val="Arial"/>
        <family val="0"/>
        <charset val="1"/>
      </rPr>
      <t xml:space="preserve">=18.76-8.55=10.21 </t>
    </r>
    <r>
      <rPr>
        <sz val="10"/>
        <rFont val="WenQuanYi Zen Hei"/>
        <family val="2"/>
      </rPr>
      <t xml:space="preserve">역산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재건축은 조합설립 후 양수 제한 가능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확인 필요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</si>
  <si>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경기 성남권 구도심 재개발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예시</t>
    </r>
    <r>
      <rPr>
        <sz val="10"/>
        <rFont val="Arial"/>
        <family val="0"/>
        <charset val="1"/>
      </rPr>
      <t xml:space="preserve">)</t>
    </r>
  </si>
  <si>
    <t xml:space="preserve">경기</t>
  </si>
  <si>
    <r>
      <rPr>
        <sz val="10"/>
        <rFont val="WenQuanYi Zen Hei"/>
        <family val="2"/>
      </rPr>
      <t xml:space="preserve">예시 슬롯</t>
    </r>
    <r>
      <rPr>
        <sz val="10"/>
        <rFont val="Arial"/>
        <family val="0"/>
        <charset val="1"/>
      </rPr>
      <t xml:space="preserve">-</t>
    </r>
    <r>
      <rPr>
        <sz val="10"/>
        <rFont val="WenQuanYi Zen Hei"/>
        <family val="2"/>
      </rPr>
      <t xml:space="preserve">실제 구역으로 교체</t>
    </r>
  </si>
  <si>
    <t xml:space="preserve">가정</t>
  </si>
  <si>
    <r>
      <rPr>
        <sz val="10"/>
        <rFont val="WenQuanYi Zen Hei"/>
        <family val="2"/>
      </rPr>
      <t xml:space="preserve">하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예시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</si>
  <si>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실제 구역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호가로 교체 필요</t>
    </r>
  </si>
  <si>
    <r>
      <rPr>
        <sz val="10"/>
        <rFont val="WenQuanYi Zen Hei"/>
        <family val="2"/>
      </rPr>
      <t xml:space="preserve">경기 수원권 재개발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예시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</si>
  <si>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대구 수성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중구 재개발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예시</t>
    </r>
    <r>
      <rPr>
        <sz val="10"/>
        <rFont val="Arial"/>
        <family val="0"/>
        <charset val="1"/>
      </rPr>
      <t xml:space="preserve">)</t>
    </r>
  </si>
  <si>
    <t xml:space="preserve">대구</t>
  </si>
  <si>
    <r>
      <rPr>
        <sz val="10"/>
        <rFont val="WenQuanYi Zen Hei"/>
        <family val="2"/>
      </rPr>
      <t xml:space="preserve">대구 미분양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입주 물량 리스크 고려</t>
    </r>
  </si>
  <si>
    <r>
      <rPr>
        <sz val="10"/>
        <rFont val="WenQuanYi Zen Hei"/>
        <family val="2"/>
      </rPr>
      <t xml:space="preserve">대구 도심 재개발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예시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</si>
  <si>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대전 재개발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예시</t>
    </r>
    <r>
      <rPr>
        <sz val="10"/>
        <rFont val="Arial"/>
        <family val="0"/>
        <charset val="1"/>
      </rPr>
      <t xml:space="preserve">)</t>
    </r>
  </si>
  <si>
    <t xml:space="preserve">대전</t>
  </si>
  <si>
    <t xml:space="preserve">가정 메모</t>
  </si>
  <si>
    <r>
      <rPr>
        <sz val="9"/>
        <rFont val="WenQuanYi Zen Hei"/>
        <family val="2"/>
      </rPr>
      <t xml:space="preserve">프리미엄</t>
    </r>
    <r>
      <rPr>
        <sz val="9"/>
        <rFont val="Arial"/>
        <family val="0"/>
        <charset val="1"/>
      </rPr>
      <t xml:space="preserve">(P)=</t>
    </r>
    <r>
      <rPr>
        <sz val="9"/>
        <rFont val="WenQuanYi Zen Hei"/>
        <family val="2"/>
      </rPr>
      <t xml:space="preserve">입주권 매매호가</t>
    </r>
    <r>
      <rPr>
        <sz val="9"/>
        <rFont val="Arial"/>
        <family val="0"/>
        <charset val="1"/>
      </rPr>
      <t xml:space="preserve">-</t>
    </r>
    <r>
      <rPr>
        <sz val="9"/>
        <rFont val="WenQuanYi Zen Hei"/>
        <family val="2"/>
      </rPr>
      <t xml:space="preserve">종전 감정가</t>
    </r>
    <r>
      <rPr>
        <sz val="9"/>
        <rFont val="Arial"/>
        <family val="0"/>
        <charset val="1"/>
      </rPr>
      <t xml:space="preserve">. </t>
    </r>
    <r>
      <rPr>
        <sz val="9"/>
        <rFont val="WenQuanYi Zen Hei"/>
        <family val="2"/>
      </rPr>
      <t xml:space="preserve">공개 실거래가 없어 전부 가정</t>
    </r>
    <r>
      <rPr>
        <sz val="9"/>
        <rFont val="Arial"/>
        <family val="0"/>
        <charset val="1"/>
      </rPr>
      <t xml:space="preserve">(</t>
    </r>
    <r>
      <rPr>
        <sz val="9"/>
        <rFont val="WenQuanYi Zen Hei"/>
        <family val="2"/>
      </rPr>
      <t xml:space="preserve">교체 필수</t>
    </r>
    <r>
      <rPr>
        <sz val="9"/>
        <rFont val="Arial"/>
        <family val="0"/>
        <charset val="1"/>
      </rPr>
      <t xml:space="preserve">).</t>
    </r>
  </si>
  <si>
    <r>
      <rPr>
        <sz val="9"/>
        <rFont val="WenQuanYi Zen Hei"/>
        <family val="2"/>
      </rPr>
      <t xml:space="preserve">이주비 대출비율은 감정가 대비 가정</t>
    </r>
    <r>
      <rPr>
        <sz val="9"/>
        <rFont val="Arial"/>
        <family val="0"/>
        <charset val="1"/>
      </rPr>
      <t xml:space="preserve">(</t>
    </r>
    <r>
      <rPr>
        <sz val="9"/>
        <rFont val="WenQuanYi Zen Hei"/>
        <family val="2"/>
      </rPr>
      <t xml:space="preserve">통상 </t>
    </r>
    <r>
      <rPr>
        <sz val="9"/>
        <rFont val="Arial"/>
        <family val="0"/>
        <charset val="1"/>
      </rPr>
      <t xml:space="preserve">40~60%, </t>
    </r>
    <r>
      <rPr>
        <sz val="9"/>
        <rFont val="WenQuanYi Zen Hei"/>
        <family val="2"/>
      </rPr>
      <t xml:space="preserve">금융기관</t>
    </r>
    <r>
      <rPr>
        <sz val="9"/>
        <rFont val="Arial"/>
        <family val="0"/>
        <charset val="1"/>
      </rPr>
      <t xml:space="preserve">·</t>
    </r>
    <r>
      <rPr>
        <sz val="9"/>
        <rFont val="WenQuanYi Zen Hei"/>
        <family val="2"/>
      </rPr>
      <t xml:space="preserve">규제 따라 상이</t>
    </r>
    <r>
      <rPr>
        <sz val="9"/>
        <rFont val="Arial"/>
        <family val="0"/>
        <charset val="1"/>
      </rPr>
      <t xml:space="preserve">). </t>
    </r>
    <r>
      <rPr>
        <sz val="9"/>
        <rFont val="WenQuanYi Zen Hei"/>
        <family val="2"/>
      </rPr>
      <t xml:space="preserve">삼익비치는 이주 전이라 </t>
    </r>
    <r>
      <rPr>
        <sz val="9"/>
        <rFont val="Arial"/>
        <family val="0"/>
        <charset val="1"/>
      </rPr>
      <t xml:space="preserve">0% </t>
    </r>
    <r>
      <rPr>
        <sz val="9"/>
        <rFont val="WenQuanYi Zen Hei"/>
        <family val="2"/>
      </rPr>
      <t xml:space="preserve">가정</t>
    </r>
    <r>
      <rPr>
        <sz val="9"/>
        <rFont val="Arial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</si>
  <si>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입주후 예상시세</t>
    </r>
    <r>
      <rPr>
        <sz val="9"/>
        <rFont val="Arial"/>
        <family val="0"/>
        <charset val="1"/>
      </rPr>
      <t xml:space="preserve">·</t>
    </r>
    <r>
      <rPr>
        <sz val="9"/>
        <rFont val="WenQuanYi Zen Hei"/>
        <family val="2"/>
      </rPr>
      <t xml:space="preserve">전세가율은 인근 신축 시세 기반 가정치</t>
    </r>
    <r>
      <rPr>
        <sz val="9"/>
        <rFont val="Arial"/>
        <family val="0"/>
        <charset val="1"/>
      </rPr>
      <t xml:space="preserve">. </t>
    </r>
    <r>
      <rPr>
        <sz val="9"/>
        <rFont val="WenQuanYi Zen Hei"/>
        <family val="2"/>
      </rPr>
      <t xml:space="preserve">투자 판단 전 </t>
    </r>
    <r>
      <rPr>
        <sz val="9"/>
        <rFont val="Arial"/>
        <family val="0"/>
        <charset val="1"/>
      </rPr>
      <t xml:space="preserve">KB</t>
    </r>
    <r>
      <rPr>
        <sz val="9"/>
        <rFont val="WenQuanYi Zen Hei"/>
        <family val="2"/>
      </rPr>
      <t xml:space="preserve">시세</t>
    </r>
    <r>
      <rPr>
        <sz val="9"/>
        <rFont val="Arial"/>
        <family val="0"/>
        <charset val="1"/>
      </rPr>
      <t xml:space="preserve">·</t>
    </r>
    <r>
      <rPr>
        <sz val="9"/>
        <rFont val="WenQuanYi Zen Hei"/>
        <family val="2"/>
      </rPr>
      <t xml:space="preserve">실거래가로 재산정</t>
    </r>
    <r>
      <rPr>
        <sz val="9"/>
        <rFont val="Arial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</si>
  <si>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예시 슬롯</t>
    </r>
    <r>
      <rPr>
        <sz val="9"/>
        <rFont val="Arial"/>
        <family val="0"/>
        <charset val="1"/>
      </rPr>
      <t xml:space="preserve">(6~10</t>
    </r>
    <r>
      <rPr>
        <sz val="9"/>
        <rFont val="WenQuanYi Zen Hei"/>
        <family val="2"/>
      </rPr>
      <t xml:space="preserve">번</t>
    </r>
    <r>
      <rPr>
        <sz val="9"/>
        <rFont val="Arial"/>
        <family val="0"/>
        <charset val="1"/>
      </rPr>
      <t xml:space="preserve">)</t>
    </r>
    <r>
      <rPr>
        <sz val="9"/>
        <rFont val="WenQuanYi Zen Hei"/>
        <family val="2"/>
      </rPr>
      <t xml:space="preserve">은 검색으로 실제 구역을 특정하지 못해 일반 가정으로 채운 자리입니다</t>
    </r>
    <r>
      <rPr>
        <sz val="9"/>
        <rFont val="Arial"/>
        <family val="0"/>
        <charset val="1"/>
      </rPr>
      <t xml:space="preserve">.</t>
    </r>
  </si>
  <si>
    <r>
      <rPr>
        <b val="true"/>
        <sz val="13"/>
        <rFont val="WenQuanYi Zen Hei"/>
        <family val="2"/>
      </rPr>
      <t xml:space="preserve">수식 분석 </t>
    </r>
    <r>
      <rPr>
        <b val="true"/>
        <sz val="13"/>
        <rFont val="Arial"/>
        <family val="0"/>
        <charset val="1"/>
      </rPr>
      <t xml:space="preserve">(</t>
    </r>
    <r>
      <rPr>
        <b val="true"/>
        <sz val="13"/>
        <rFont val="WenQuanYi Zen Hei"/>
        <family val="2"/>
      </rPr>
      <t xml:space="preserve">모든 값은 </t>
    </r>
    <r>
      <rPr>
        <b val="true"/>
        <sz val="13"/>
        <rFont val="Arial"/>
        <family val="0"/>
        <charset val="1"/>
      </rPr>
      <t xml:space="preserve">'</t>
    </r>
    <r>
      <rPr>
        <b val="true"/>
        <sz val="13"/>
        <rFont val="WenQuanYi Zen Hei"/>
        <family val="2"/>
      </rPr>
      <t xml:space="preserve">입력가정</t>
    </r>
    <r>
      <rPr>
        <b val="true"/>
        <sz val="13"/>
        <rFont val="Arial"/>
        <family val="0"/>
        <charset val="1"/>
      </rPr>
      <t xml:space="preserve">' </t>
    </r>
    <r>
      <rPr>
        <b val="true"/>
        <sz val="13"/>
        <rFont val="WenQuanYi Zen Hei"/>
        <family val="2"/>
      </rPr>
      <t xml:space="preserve">시트 연동</t>
    </r>
    <r>
      <rPr>
        <b val="true"/>
        <sz val="13"/>
        <rFont val="Arial"/>
        <family val="0"/>
        <charset val="1"/>
      </rPr>
      <t xml:space="preserve">, </t>
    </r>
    <r>
      <rPr>
        <b val="true"/>
        <sz val="13"/>
        <rFont val="WenQuanYi Zen Hei"/>
        <family val="2"/>
      </rPr>
      <t xml:space="preserve">단위 억원</t>
    </r>
    <r>
      <rPr>
        <b val="true"/>
        <sz val="13"/>
        <rFont val="Arial"/>
        <family val="0"/>
        <charset val="1"/>
      </rPr>
      <t xml:space="preserve">)</t>
    </r>
  </si>
  <si>
    <t xml:space="preserve">권리가액</t>
  </si>
  <si>
    <t xml:space="preserve">추가분담금</t>
  </si>
  <si>
    <r>
      <rPr>
        <b val="true"/>
        <sz val="10"/>
        <color rgb="FFFFFFFF"/>
        <rFont val="WenQuanYi Zen Hei"/>
        <family val="2"/>
      </rPr>
      <t xml:space="preserve">총매매가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감정가</t>
    </r>
    <r>
      <rPr>
        <b val="true"/>
        <sz val="10"/>
        <color rgb="FFFFFFFF"/>
        <rFont val="Arial"/>
        <family val="0"/>
        <charset val="1"/>
      </rPr>
      <t xml:space="preserve">+P)</t>
    </r>
  </si>
  <si>
    <t xml:space="preserve">이주비 대출</t>
  </si>
  <si>
    <r>
      <rPr>
        <b val="true"/>
        <sz val="10"/>
        <color rgb="FFFFFFFF"/>
        <rFont val="WenQuanYi Zen Hei"/>
        <family val="2"/>
      </rPr>
      <t xml:space="preserve">실투자금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현재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</si>
  <si>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총투자금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입주시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</si>
  <si>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예상시세</t>
  </si>
  <si>
    <t xml:space="preserve">수익금</t>
  </si>
  <si>
    <r>
      <rPr>
        <b val="true"/>
        <sz val="10"/>
        <color rgb="FFFFFFFF"/>
        <rFont val="WenQuanYi Zen Hei"/>
        <family val="2"/>
      </rPr>
      <t xml:space="preserve">수익률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총투자 대비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</si>
  <si>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실투자금 대비 수익률</t>
  </si>
  <si>
    <r>
      <rPr>
        <b val="true"/>
        <sz val="10"/>
        <color rgb="FFFFFFFF"/>
        <rFont val="WenQuanYi Zen Hei"/>
        <family val="2"/>
      </rPr>
      <t xml:space="preserve">회수율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전세가</t>
    </r>
    <r>
      <rPr>
        <b val="true"/>
        <sz val="10"/>
        <color rgb="FFFFFFFF"/>
        <rFont val="Arial"/>
        <family val="0"/>
        <charset val="1"/>
      </rPr>
      <t xml:space="preserve">/</t>
    </r>
    <r>
      <rPr>
        <b val="true"/>
        <sz val="10"/>
        <color rgb="FFFFFFFF"/>
        <rFont val="WenQuanYi Zen Hei"/>
        <family val="2"/>
      </rPr>
      <t xml:space="preserve">총투자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</si>
  <si>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프리미엄</t>
    </r>
    <r>
      <rPr>
        <b val="true"/>
        <sz val="10"/>
        <color rgb="FFFFFFFF"/>
        <rFont val="Arial"/>
        <family val="0"/>
        <charset val="1"/>
      </rPr>
      <t xml:space="preserve">/</t>
    </r>
    <r>
      <rPr>
        <b val="true"/>
        <sz val="10"/>
        <color rgb="FFFFFFFF"/>
        <rFont val="WenQuanYi Zen Hei"/>
        <family val="2"/>
      </rPr>
      <t xml:space="preserve">예상시세차익</t>
    </r>
  </si>
  <si>
    <t xml:space="preserve">종합점수</t>
  </si>
  <si>
    <t xml:space="preserve">순위</t>
  </si>
  <si>
    <t xml:space="preserve">수식 정의</t>
  </si>
  <si>
    <r>
      <rPr>
        <sz val="9"/>
        <rFont val="WenQuanYi Zen Hei"/>
        <family val="2"/>
      </rPr>
      <t xml:space="preserve">권리가액</t>
    </r>
    <r>
      <rPr>
        <sz val="9"/>
        <rFont val="Arial"/>
        <family val="0"/>
        <charset val="1"/>
      </rPr>
      <t xml:space="preserve">=</t>
    </r>
    <r>
      <rPr>
        <sz val="9"/>
        <rFont val="WenQuanYi Zen Hei"/>
        <family val="2"/>
      </rPr>
      <t xml:space="preserve">감정가</t>
    </r>
    <r>
      <rPr>
        <sz val="9"/>
        <rFont val="Arial"/>
        <family val="0"/>
        <charset val="1"/>
      </rPr>
      <t xml:space="preserve">×</t>
    </r>
    <r>
      <rPr>
        <sz val="9"/>
        <rFont val="WenQuanYi Zen Hei"/>
        <family val="2"/>
      </rPr>
      <t xml:space="preserve">비례율 </t>
    </r>
    <r>
      <rPr>
        <sz val="9"/>
        <rFont val="Arial"/>
        <family val="0"/>
        <charset val="1"/>
      </rPr>
      <t xml:space="preserve">/ </t>
    </r>
    <r>
      <rPr>
        <sz val="9"/>
        <rFont val="WenQuanYi Zen Hei"/>
        <family val="2"/>
      </rPr>
      <t xml:space="preserve">추가분담금</t>
    </r>
    <r>
      <rPr>
        <sz val="9"/>
        <rFont val="Arial"/>
        <family val="0"/>
        <charset val="1"/>
      </rPr>
      <t xml:space="preserve">=</t>
    </r>
    <r>
      <rPr>
        <sz val="9"/>
        <rFont val="WenQuanYi Zen Hei"/>
        <family val="2"/>
      </rPr>
      <t xml:space="preserve">조합원분양가</t>
    </r>
    <r>
      <rPr>
        <sz val="9"/>
        <rFont val="Arial"/>
        <family val="0"/>
        <charset val="1"/>
      </rPr>
      <t xml:space="preserve">-</t>
    </r>
    <r>
      <rPr>
        <sz val="9"/>
        <rFont val="WenQuanYi Zen Hei"/>
        <family val="2"/>
      </rPr>
      <t xml:space="preserve">권리가액 </t>
    </r>
    <r>
      <rPr>
        <sz val="9"/>
        <rFont val="Arial"/>
        <family val="0"/>
        <charset val="1"/>
      </rPr>
      <t xml:space="preserve">/ </t>
    </r>
    <r>
      <rPr>
        <sz val="9"/>
        <rFont val="WenQuanYi Zen Hei"/>
        <family val="2"/>
      </rPr>
      <t xml:space="preserve">총매매가</t>
    </r>
    <r>
      <rPr>
        <sz val="9"/>
        <rFont val="Arial"/>
        <family val="0"/>
        <charset val="1"/>
      </rPr>
      <t xml:space="preserve">=</t>
    </r>
    <r>
      <rPr>
        <sz val="9"/>
        <rFont val="WenQuanYi Zen Hei"/>
        <family val="2"/>
      </rPr>
      <t xml:space="preserve">감정가</t>
    </r>
    <r>
      <rPr>
        <sz val="9"/>
        <rFont val="Arial"/>
        <family val="0"/>
        <charset val="1"/>
      </rPr>
      <t xml:space="preserve">+</t>
    </r>
    <r>
      <rPr>
        <sz val="9"/>
        <rFont val="WenQuanYi Zen Hei"/>
        <family val="2"/>
      </rPr>
      <t xml:space="preserve">프리미엄</t>
    </r>
    <r>
      <rPr>
        <sz val="9"/>
        <rFont val="Arial"/>
        <family val="0"/>
        <charset val="1"/>
      </rPr>
      <t xml:space="preserve">(P)</t>
    </r>
  </si>
  <si>
    <r>
      <rPr>
        <sz val="9"/>
        <rFont val="WenQuanYi Zen Hei"/>
        <family val="2"/>
      </rPr>
      <t xml:space="preserve">실투자금</t>
    </r>
    <r>
      <rPr>
        <sz val="9"/>
        <rFont val="Arial"/>
        <family val="0"/>
        <charset val="1"/>
      </rPr>
      <t xml:space="preserve">(</t>
    </r>
    <r>
      <rPr>
        <sz val="9"/>
        <rFont val="WenQuanYi Zen Hei"/>
        <family val="2"/>
      </rPr>
      <t xml:space="preserve">현재</t>
    </r>
    <r>
      <rPr>
        <sz val="9"/>
        <rFont val="Arial"/>
        <family val="0"/>
        <charset val="1"/>
      </rPr>
      <t xml:space="preserve">)=</t>
    </r>
    <r>
      <rPr>
        <sz val="9"/>
        <rFont val="WenQuanYi Zen Hei"/>
        <family val="2"/>
      </rPr>
      <t xml:space="preserve">총매매가</t>
    </r>
    <r>
      <rPr>
        <sz val="9"/>
        <rFont val="Arial"/>
        <family val="0"/>
        <charset val="1"/>
      </rPr>
      <t xml:space="preserve">-</t>
    </r>
    <r>
      <rPr>
        <sz val="9"/>
        <rFont val="WenQuanYi Zen Hei"/>
        <family val="2"/>
      </rPr>
      <t xml:space="preserve">이주비대출</t>
    </r>
    <r>
      <rPr>
        <sz val="9"/>
        <rFont val="Arial"/>
        <family val="0"/>
        <charset val="1"/>
      </rPr>
      <t xml:space="preserve">(</t>
    </r>
    <r>
      <rPr>
        <sz val="9"/>
        <rFont val="WenQuanYi Zen Hei"/>
        <family val="2"/>
      </rPr>
      <t xml:space="preserve">승계 가정</t>
    </r>
    <r>
      <rPr>
        <sz val="9"/>
        <rFont val="Arial"/>
        <family val="0"/>
        <charset val="1"/>
      </rPr>
      <t xml:space="preserve">) / </t>
    </r>
    <r>
      <rPr>
        <sz val="9"/>
        <rFont val="WenQuanYi Zen Hei"/>
        <family val="2"/>
      </rPr>
      <t xml:space="preserve">총투자금</t>
    </r>
    <r>
      <rPr>
        <sz val="9"/>
        <rFont val="Arial"/>
        <family val="0"/>
        <charset val="1"/>
      </rPr>
      <t xml:space="preserve">(</t>
    </r>
    <r>
      <rPr>
        <sz val="9"/>
        <rFont val="WenQuanYi Zen Hei"/>
        <family val="2"/>
      </rPr>
      <t xml:space="preserve">입주시</t>
    </r>
    <r>
      <rPr>
        <sz val="9"/>
        <rFont val="Arial"/>
        <family val="0"/>
        <charset val="1"/>
      </rPr>
      <t xml:space="preserve">)=</t>
    </r>
    <r>
      <rPr>
        <sz val="9"/>
        <rFont val="WenQuanYi Zen Hei"/>
        <family val="2"/>
      </rPr>
      <t xml:space="preserve">총매매가</t>
    </r>
    <r>
      <rPr>
        <sz val="9"/>
        <rFont val="Arial"/>
        <family val="0"/>
        <charset val="1"/>
      </rPr>
      <t xml:space="preserve">+</t>
    </r>
    <r>
      <rPr>
        <sz val="9"/>
        <rFont val="WenQuanYi Zen Hei"/>
        <family val="2"/>
      </rPr>
      <t xml:space="preserve">추가분담금</t>
    </r>
  </si>
  <si>
    <r>
      <rPr>
        <sz val="9"/>
        <rFont val="WenQuanYi Zen Hei"/>
        <family val="2"/>
      </rPr>
      <t xml:space="preserve">수익금</t>
    </r>
    <r>
      <rPr>
        <sz val="9"/>
        <rFont val="Arial"/>
        <family val="0"/>
        <charset val="1"/>
      </rPr>
      <t xml:space="preserve">=</t>
    </r>
    <r>
      <rPr>
        <sz val="9"/>
        <rFont val="WenQuanYi Zen Hei"/>
        <family val="2"/>
      </rPr>
      <t xml:space="preserve">입주후 예상시세</t>
    </r>
    <r>
      <rPr>
        <sz val="9"/>
        <rFont val="Arial"/>
        <family val="0"/>
        <charset val="1"/>
      </rPr>
      <t xml:space="preserve">-</t>
    </r>
    <r>
      <rPr>
        <sz val="9"/>
        <rFont val="WenQuanYi Zen Hei"/>
        <family val="2"/>
      </rPr>
      <t xml:space="preserve">총투자금 </t>
    </r>
    <r>
      <rPr>
        <sz val="9"/>
        <rFont val="Arial"/>
        <family val="0"/>
        <charset val="1"/>
      </rPr>
      <t xml:space="preserve">(</t>
    </r>
    <r>
      <rPr>
        <sz val="9"/>
        <rFont val="WenQuanYi Zen Hei"/>
        <family val="2"/>
      </rPr>
      <t xml:space="preserve">취득세</t>
    </r>
    <r>
      <rPr>
        <sz val="9"/>
        <rFont val="Arial"/>
        <family val="0"/>
        <charset val="1"/>
      </rPr>
      <t xml:space="preserve">·</t>
    </r>
    <r>
      <rPr>
        <sz val="9"/>
        <rFont val="WenQuanYi Zen Hei"/>
        <family val="2"/>
      </rPr>
      <t xml:space="preserve">양도세</t>
    </r>
    <r>
      <rPr>
        <sz val="9"/>
        <rFont val="Arial"/>
        <family val="0"/>
        <charset val="1"/>
      </rPr>
      <t xml:space="preserve">·</t>
    </r>
    <r>
      <rPr>
        <sz val="9"/>
        <rFont val="WenQuanYi Zen Hei"/>
        <family val="2"/>
      </rPr>
      <t xml:space="preserve">중개수수료</t>
    </r>
    <r>
      <rPr>
        <sz val="9"/>
        <rFont val="Arial"/>
        <family val="0"/>
        <charset val="1"/>
      </rPr>
      <t xml:space="preserve">·</t>
    </r>
    <r>
      <rPr>
        <sz val="9"/>
        <rFont val="WenQuanYi Zen Hei"/>
        <family val="2"/>
      </rPr>
      <t xml:space="preserve">금융이자 미반영 → 세후 수익은 더 낮음</t>
    </r>
    <r>
      <rPr>
        <sz val="9"/>
        <rFont val="Arial"/>
        <family val="0"/>
        <charset val="1"/>
      </rPr>
      <t xml:space="preserve">)</t>
    </r>
  </si>
  <si>
    <r>
      <rPr>
        <sz val="9"/>
        <rFont val="WenQuanYi Zen Hei"/>
        <family val="2"/>
      </rPr>
      <t xml:space="preserve">종합점수</t>
    </r>
    <r>
      <rPr>
        <sz val="9"/>
        <rFont val="Arial"/>
        <family val="0"/>
        <charset val="1"/>
      </rPr>
      <t xml:space="preserve">=</t>
    </r>
    <r>
      <rPr>
        <sz val="9"/>
        <rFont val="WenQuanYi Zen Hei"/>
        <family val="2"/>
      </rPr>
      <t xml:space="preserve">수익률</t>
    </r>
    <r>
      <rPr>
        <sz val="9"/>
        <rFont val="Arial"/>
        <family val="0"/>
        <charset val="1"/>
      </rPr>
      <t xml:space="preserve">×0.5+</t>
    </r>
    <r>
      <rPr>
        <sz val="9"/>
        <rFont val="WenQuanYi Zen Hei"/>
        <family val="2"/>
      </rPr>
      <t xml:space="preserve">회수율</t>
    </r>
    <r>
      <rPr>
        <sz val="9"/>
        <rFont val="Arial"/>
        <family val="0"/>
        <charset val="1"/>
      </rPr>
      <t xml:space="preserve">×0.3-</t>
    </r>
    <r>
      <rPr>
        <sz val="9"/>
        <rFont val="WenQuanYi Zen Hei"/>
        <family val="2"/>
      </rPr>
      <t xml:space="preserve">프리미엄 의존도</t>
    </r>
    <r>
      <rPr>
        <sz val="9"/>
        <rFont val="Arial"/>
        <family val="0"/>
        <charset val="1"/>
      </rPr>
      <t xml:space="preserve">×0.2 (</t>
    </r>
    <r>
      <rPr>
        <sz val="9"/>
        <rFont val="WenQuanYi Zen Hei"/>
        <family val="2"/>
      </rPr>
      <t xml:space="preserve">가중치 임의 설정</t>
    </r>
    <r>
      <rPr>
        <sz val="9"/>
        <rFont val="Arial"/>
        <family val="0"/>
        <charset val="1"/>
      </rPr>
      <t xml:space="preserve">, </t>
    </r>
    <r>
      <rPr>
        <sz val="9"/>
        <rFont val="WenQuanYi Zen Hei"/>
        <family val="2"/>
      </rPr>
      <t xml:space="preserve">조정 가능</t>
    </r>
    <r>
      <rPr>
        <sz val="9"/>
        <rFont val="Arial"/>
        <family val="0"/>
        <charset val="1"/>
      </rPr>
      <t xml:space="preserve">)</t>
    </r>
  </si>
  <si>
    <r>
      <rPr>
        <sz val="9"/>
        <rFont val="WenQuanYi Zen Hei"/>
        <family val="2"/>
      </rPr>
      <t xml:space="preserve">입지</t>
    </r>
    <r>
      <rPr>
        <sz val="9"/>
        <rFont val="Arial"/>
        <family val="0"/>
        <charset val="1"/>
      </rPr>
      <t xml:space="preserve">·</t>
    </r>
    <r>
      <rPr>
        <sz val="9"/>
        <rFont val="WenQuanYi Zen Hei"/>
        <family val="2"/>
      </rPr>
      <t xml:space="preserve">학군</t>
    </r>
    <r>
      <rPr>
        <sz val="9"/>
        <rFont val="Arial"/>
        <family val="0"/>
        <charset val="1"/>
      </rPr>
      <t xml:space="preserve">·</t>
    </r>
    <r>
      <rPr>
        <sz val="9"/>
        <rFont val="WenQuanYi Zen Hei"/>
        <family val="2"/>
      </rPr>
      <t xml:space="preserve">초품아</t>
    </r>
    <r>
      <rPr>
        <sz val="9"/>
        <rFont val="Arial"/>
        <family val="0"/>
        <charset val="1"/>
      </rPr>
      <t xml:space="preserve">·</t>
    </r>
    <r>
      <rPr>
        <sz val="9"/>
        <rFont val="WenQuanYi Zen Hei"/>
        <family val="2"/>
      </rPr>
      <t xml:space="preserve">인프라 점수는 </t>
    </r>
    <r>
      <rPr>
        <sz val="9"/>
        <rFont val="Arial"/>
        <family val="0"/>
        <charset val="1"/>
      </rPr>
      <t xml:space="preserve">'</t>
    </r>
    <r>
      <rPr>
        <sz val="9"/>
        <rFont val="WenQuanYi Zen Hei"/>
        <family val="2"/>
      </rPr>
      <t xml:space="preserve">입지점수</t>
    </r>
    <r>
      <rPr>
        <sz val="9"/>
        <rFont val="Arial"/>
        <family val="0"/>
        <charset val="1"/>
      </rPr>
      <t xml:space="preserve">' </t>
    </r>
    <r>
      <rPr>
        <sz val="9"/>
        <rFont val="WenQuanYi Zen Hei"/>
        <family val="2"/>
      </rPr>
      <t xml:space="preserve">시트에 별도 입력</t>
    </r>
    <r>
      <rPr>
        <sz val="9"/>
        <rFont val="Arial"/>
        <family val="0"/>
        <charset val="1"/>
      </rPr>
      <t xml:space="preserve">(</t>
    </r>
    <r>
      <rPr>
        <sz val="9"/>
        <rFont val="WenQuanYi Zen Hei"/>
        <family val="2"/>
      </rPr>
      <t xml:space="preserve">정성 평가</t>
    </r>
    <r>
      <rPr>
        <sz val="9"/>
        <rFont val="Arial"/>
        <family val="0"/>
        <charset val="1"/>
      </rPr>
      <t xml:space="preserve">)</t>
    </r>
  </si>
  <si>
    <r>
      <rPr>
        <b val="true"/>
        <sz val="13"/>
        <rFont val="WenQuanYi Zen Hei"/>
        <family val="2"/>
      </rPr>
      <t xml:space="preserve">입지 정성평가 </t>
    </r>
    <r>
      <rPr>
        <b val="true"/>
        <sz val="13"/>
        <rFont val="Arial"/>
        <family val="0"/>
        <charset val="1"/>
      </rPr>
      <t xml:space="preserve">(1~5</t>
    </r>
    <r>
      <rPr>
        <b val="true"/>
        <sz val="13"/>
        <rFont val="WenQuanYi Zen Hei"/>
        <family val="2"/>
      </rPr>
      <t xml:space="preserve">점</t>
    </r>
    <r>
      <rPr>
        <b val="true"/>
        <sz val="13"/>
        <rFont val="Arial"/>
        <family val="0"/>
        <charset val="1"/>
      </rPr>
      <t xml:space="preserve">, </t>
    </r>
    <r>
      <rPr>
        <b val="true"/>
        <sz val="13"/>
        <rFont val="WenQuanYi Zen Hei"/>
        <family val="2"/>
      </rPr>
      <t xml:space="preserve">주관 입력 </t>
    </r>
    <r>
      <rPr>
        <b val="true"/>
        <sz val="13"/>
        <rFont val="Arial"/>
        <family val="0"/>
        <charset val="1"/>
      </rPr>
      <t xml:space="preserve">- </t>
    </r>
    <r>
      <rPr>
        <b val="true"/>
        <sz val="13"/>
        <rFont val="WenQuanYi Zen Hei"/>
        <family val="2"/>
      </rPr>
      <t xml:space="preserve">본인이 현장 확인 후 교체</t>
    </r>
    <r>
      <rPr>
        <b val="true"/>
        <sz val="13"/>
        <rFont val="Arial"/>
        <family val="0"/>
        <charset val="1"/>
      </rPr>
      <t xml:space="preserve">)</t>
    </r>
  </si>
  <si>
    <t xml:space="preserve">입지</t>
  </si>
  <si>
    <t xml:space="preserve">인프라 완성도</t>
  </si>
  <si>
    <t xml:space="preserve">학군</t>
  </si>
  <si>
    <t xml:space="preserve">초품아</t>
  </si>
  <si>
    <r>
      <rPr>
        <b val="true"/>
        <sz val="10"/>
        <color rgb="FFFFFFFF"/>
        <rFont val="WenQuanYi Zen Hei"/>
        <family val="2"/>
      </rPr>
      <t xml:space="preserve">합계</t>
    </r>
    <r>
      <rPr>
        <b val="true"/>
        <sz val="10"/>
        <color rgb="FFFFFFFF"/>
        <rFont val="Arial"/>
        <family val="0"/>
        <charset val="1"/>
      </rPr>
      <t xml:space="preserve">(20</t>
    </r>
    <r>
      <rPr>
        <b val="true"/>
        <sz val="10"/>
        <color rgb="FFFFFFFF"/>
        <rFont val="WenQuanYi Zen Hei"/>
        <family val="2"/>
      </rPr>
      <t xml:space="preserve">점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</si>
  <si>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종합순위 반영 안내</t>
  </si>
  <si>
    <r>
      <rPr>
        <sz val="9"/>
        <rFont val="WenQuanYi Zen Hei"/>
        <family val="2"/>
      </rPr>
      <t xml:space="preserve">점수는 제 일반 지식 기반 가정치</t>
    </r>
    <r>
      <rPr>
        <sz val="9"/>
        <rFont val="Arial"/>
        <family val="0"/>
        <charset val="1"/>
      </rPr>
      <t xml:space="preserve">(</t>
    </r>
    <r>
      <rPr>
        <sz val="9"/>
        <rFont val="WenQuanYi Zen Hei"/>
        <family val="2"/>
      </rPr>
      <t xml:space="preserve">검증 아님</t>
    </r>
    <r>
      <rPr>
        <sz val="9"/>
        <rFont val="Arial"/>
        <family val="0"/>
        <charset val="1"/>
      </rPr>
      <t xml:space="preserve">)</t>
    </r>
  </si>
  <si>
    <r>
      <rPr>
        <b val="true"/>
        <sz val="13"/>
        <rFont val="WenQuanYi Zen Hei"/>
        <family val="2"/>
      </rPr>
      <t xml:space="preserve">최적 매수전략 </t>
    </r>
    <r>
      <rPr>
        <b val="true"/>
        <sz val="13"/>
        <rFont val="Arial"/>
        <family val="0"/>
        <charset val="1"/>
      </rPr>
      <t xml:space="preserve">1·2·3</t>
    </r>
    <r>
      <rPr>
        <b val="true"/>
        <sz val="13"/>
        <rFont val="WenQuanYi Zen Hei"/>
        <family val="2"/>
      </rPr>
      <t xml:space="preserve">안 </t>
    </r>
    <r>
      <rPr>
        <b val="true"/>
        <sz val="13"/>
        <rFont val="Arial"/>
        <family val="0"/>
        <charset val="1"/>
      </rPr>
      <t xml:space="preserve">(</t>
    </r>
    <r>
      <rPr>
        <b val="true"/>
        <sz val="13"/>
        <rFont val="WenQuanYi Zen Hei"/>
        <family val="2"/>
      </rPr>
      <t xml:space="preserve">수식 연동</t>
    </r>
    <r>
      <rPr>
        <b val="true"/>
        <sz val="13"/>
        <rFont val="Arial"/>
        <family val="0"/>
        <charset val="1"/>
      </rPr>
      <t xml:space="preserve">)</t>
    </r>
  </si>
  <si>
    <r>
      <rPr>
        <sz val="11"/>
        <color theme="1"/>
        <rFont val="WenQuanYi Zen Hei"/>
        <family val="2"/>
      </rPr>
      <t xml:space="preserve">가용 자기자본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WenQuanYi Zen Hei"/>
        <family val="2"/>
      </rPr>
      <t xml:space="preserve">억원</t>
    </r>
    <r>
      <rPr>
        <sz val="11"/>
        <color theme="1"/>
        <rFont val="Calibri"/>
        <family val="2"/>
        <charset val="1"/>
      </rPr>
      <t xml:space="preserve">)</t>
    </r>
  </si>
  <si>
    <r>
      <rPr>
        <sz val="9"/>
        <rFont val="WenQuanYi Zen Hei"/>
        <family val="2"/>
      </rPr>
      <t xml:space="preserve">← 본인 가용현금으로 교체 </t>
    </r>
    <r>
      <rPr>
        <sz val="9"/>
        <rFont val="Arial"/>
        <family val="0"/>
        <charset val="1"/>
      </rPr>
      <t xml:space="preserve">(</t>
    </r>
    <r>
      <rPr>
        <sz val="9"/>
        <rFont val="WenQuanYi Zen Hei"/>
        <family val="2"/>
      </rPr>
      <t xml:space="preserve">급여소득자 </t>
    </r>
    <r>
      <rPr>
        <sz val="9"/>
        <rFont val="Arial"/>
        <family val="0"/>
        <charset val="1"/>
      </rPr>
      <t xml:space="preserve">DSR·</t>
    </r>
    <r>
      <rPr>
        <sz val="9"/>
        <rFont val="WenQuanYi Zen Hei"/>
        <family val="2"/>
      </rPr>
      <t xml:space="preserve">무주택</t>
    </r>
    <r>
      <rPr>
        <sz val="9"/>
        <rFont val="Arial"/>
        <family val="0"/>
        <charset val="1"/>
      </rPr>
      <t xml:space="preserve">/</t>
    </r>
    <r>
      <rPr>
        <sz val="9"/>
        <rFont val="WenQuanYi Zen Hei"/>
        <family val="2"/>
      </rPr>
      <t xml:space="preserve">다주택 여부는 별도 확인</t>
    </r>
    <r>
      <rPr>
        <sz val="9"/>
        <rFont val="Arial"/>
        <family val="0"/>
        <charset val="1"/>
      </rPr>
      <t xml:space="preserve">)</t>
    </r>
  </si>
  <si>
    <t xml:space="preserve">전략</t>
  </si>
  <si>
    <t xml:space="preserve">핵심 구역</t>
  </si>
  <si>
    <t xml:space="preserve">성격</t>
  </si>
  <si>
    <t xml:space="preserve">실투자금</t>
  </si>
  <si>
    <t xml:space="preserve">예상 수익금</t>
  </si>
  <si>
    <t xml:space="preserve">수익률</t>
  </si>
  <si>
    <t xml:space="preserve">자기자본 충족</t>
  </si>
  <si>
    <r>
      <rPr>
        <b val="true"/>
        <sz val="10"/>
        <color rgb="FFFFFFFF"/>
        <rFont val="WenQuanYi Zen Hei"/>
        <family val="2"/>
      </rPr>
      <t xml:space="preserve">추가 필요 현금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입주시 분담금 등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</si>
  <si>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실행 요점</t>
  </si>
  <si>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안 안정형</t>
    </r>
  </si>
  <si>
    <r>
      <rPr>
        <sz val="10"/>
        <rFont val="WenQuanYi Zen Hei"/>
        <family val="2"/>
      </rPr>
      <t xml:space="preserve">관리처분 인가 완료 </t>
    </r>
    <r>
      <rPr>
        <sz val="10"/>
        <rFont val="Arial"/>
        <family val="0"/>
        <charset val="1"/>
      </rPr>
      <t xml:space="preserve">+ </t>
    </r>
    <r>
      <rPr>
        <sz val="10"/>
        <rFont val="WenQuanYi Zen Hei"/>
        <family val="2"/>
      </rPr>
      <t xml:space="preserve">입지 최상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사업 속도 우선</t>
    </r>
  </si>
  <si>
    <r>
      <rPr>
        <sz val="10"/>
        <rFont val="WenQuanYi Zen Hei"/>
        <family val="2"/>
      </rPr>
      <t xml:space="preserve">인가 후 입주권 매수→이주비 승계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공사비 증액 공지 확인 후 진입</t>
    </r>
  </si>
  <si>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안 균형형</t>
    </r>
  </si>
  <si>
    <r>
      <rPr>
        <sz val="10"/>
        <rFont val="WenQuanYi Zen Hei"/>
        <family val="2"/>
      </rPr>
      <t xml:space="preserve">시민공원 인접 초대단지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중간 진입비용</t>
    </r>
  </si>
  <si>
    <r>
      <rPr>
        <sz val="10"/>
        <rFont val="WenQuanYi Zen Hei"/>
        <family val="2"/>
      </rPr>
      <t xml:space="preserve">프리미엄 하락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조정 시 분할 접근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비례율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관리처분 총회안 확인 후 매수</t>
    </r>
  </si>
  <si>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안 공격형</t>
    </r>
  </si>
  <si>
    <t xml:space="preserve">낮은 진입가 대신 비례율 분쟁 리스크</t>
  </si>
  <si>
    <r>
      <rPr>
        <sz val="10"/>
        <rFont val="WenQuanYi Zen Hei"/>
        <family val="2"/>
      </rPr>
      <t xml:space="preserve">비대위 이슈 해소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관리처분 총회</t>
    </r>
    <r>
      <rPr>
        <sz val="10"/>
        <rFont val="Arial"/>
        <family val="0"/>
        <charset val="1"/>
      </rPr>
      <t xml:space="preserve">) </t>
    </r>
    <r>
      <rPr>
        <sz val="10"/>
        <rFont val="WenQuanYi Zen Hei"/>
        <family val="2"/>
      </rPr>
      <t xml:space="preserve">확인 후에만 소액 진입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손절 기준 사전 설정</t>
    </r>
  </si>
  <si>
    <r>
      <rPr>
        <b val="true"/>
        <sz val="10"/>
        <rFont val="Arial"/>
        <family val="0"/>
        <charset val="1"/>
      </rPr>
      <t xml:space="preserve">[</t>
    </r>
    <r>
      <rPr>
        <b val="true"/>
        <sz val="10"/>
        <rFont val="WenQuanYi Zen Hei"/>
        <family val="2"/>
      </rPr>
      <t xml:space="preserve">확인된 사실 </t>
    </r>
    <r>
      <rPr>
        <b val="true"/>
        <sz val="10"/>
        <rFont val="Arial"/>
        <family val="0"/>
        <charset val="1"/>
      </rPr>
      <t xml:space="preserve">- 2026-10-29 </t>
    </r>
    <r>
      <rPr>
        <b val="true"/>
        <sz val="10"/>
        <rFont val="WenQuanYi Zen Hei"/>
        <family val="2"/>
      </rPr>
      <t xml:space="preserve">웹검색</t>
    </r>
    <r>
      <rPr>
        <b val="true"/>
        <sz val="10"/>
        <rFont val="Arial"/>
        <family val="0"/>
        <charset val="1"/>
      </rPr>
      <t xml:space="preserve">]</t>
    </r>
  </si>
  <si>
    <r>
      <rPr>
        <sz val="10"/>
        <rFont val="WenQuanYi Zen Hei"/>
        <family val="2"/>
      </rPr>
      <t xml:space="preserve">삼익비치</t>
    </r>
    <r>
      <rPr>
        <sz val="10"/>
        <rFont val="Arial"/>
        <family val="0"/>
        <charset val="1"/>
      </rPr>
      <t xml:space="preserve">: </t>
    </r>
    <r>
      <rPr>
        <sz val="10"/>
        <rFont val="WenQuanYi Zen Hei"/>
        <family val="2"/>
      </rPr>
      <t xml:space="preserve">전용</t>
    </r>
    <r>
      <rPr>
        <sz val="10"/>
        <rFont val="Arial"/>
        <family val="0"/>
        <charset val="1"/>
      </rPr>
      <t xml:space="preserve">84</t>
    </r>
    <r>
      <rPr>
        <sz val="10"/>
        <rFont val="WenQuanYi Zen Hei"/>
        <family val="2"/>
      </rPr>
      <t xml:space="preserve">㎡ 조합원 분양가 </t>
    </r>
    <r>
      <rPr>
        <sz val="10"/>
        <rFont val="Arial"/>
        <family val="0"/>
        <charset val="1"/>
      </rPr>
      <t xml:space="preserve">18.76</t>
    </r>
    <r>
      <rPr>
        <sz val="10"/>
        <rFont val="WenQuanYi Zen Hei"/>
        <family val="2"/>
      </rPr>
      <t xml:space="preserve">억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추정 분담금 </t>
    </r>
    <r>
      <rPr>
        <sz val="10"/>
        <rFont val="Arial"/>
        <family val="0"/>
        <charset val="1"/>
      </rPr>
      <t xml:space="preserve">8.55</t>
    </r>
    <r>
      <rPr>
        <sz val="10"/>
        <rFont val="WenQuanYi Zen Hei"/>
        <family val="2"/>
      </rPr>
      <t xml:space="preserve">억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한국경제 </t>
    </r>
    <r>
      <rPr>
        <sz val="10"/>
        <rFont val="Arial"/>
        <family val="0"/>
        <charset val="1"/>
      </rPr>
      <t xml:space="preserve">2026-10-12) https://www.hankyung.com/article/2026101269011</t>
    </r>
  </si>
  <si>
    <r>
      <rPr>
        <sz val="10"/>
        <rFont val="WenQuanYi Zen Hei"/>
        <family val="2"/>
      </rPr>
      <t xml:space="preserve">우동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구역</t>
    </r>
    <r>
      <rPr>
        <sz val="10"/>
        <rFont val="Arial"/>
        <family val="0"/>
        <charset val="1"/>
      </rPr>
      <t xml:space="preserve">: </t>
    </r>
    <r>
      <rPr>
        <sz val="10"/>
        <rFont val="WenQuanYi Zen Hei"/>
        <family val="2"/>
      </rPr>
      <t xml:space="preserve">관리처분계획 </t>
    </r>
    <r>
      <rPr>
        <sz val="10"/>
        <rFont val="Arial"/>
        <family val="0"/>
        <charset val="1"/>
      </rPr>
      <t xml:space="preserve">5/14 </t>
    </r>
    <r>
      <rPr>
        <sz val="10"/>
        <rFont val="WenQuanYi Zen Hei"/>
        <family val="2"/>
      </rPr>
      <t xml:space="preserve">인가</t>
    </r>
    <r>
      <rPr>
        <sz val="10"/>
        <rFont val="Arial"/>
        <family val="0"/>
        <charset val="1"/>
      </rPr>
      <t xml:space="preserve">·5/20 </t>
    </r>
    <r>
      <rPr>
        <sz val="10"/>
        <rFont val="WenQuanYi Zen Hei"/>
        <family val="2"/>
      </rPr>
      <t xml:space="preserve">고시</t>
    </r>
    <r>
      <rPr>
        <sz val="10"/>
        <rFont val="Arial"/>
        <family val="0"/>
        <charset val="1"/>
      </rPr>
      <t xml:space="preserve">, 2,395</t>
    </r>
    <r>
      <rPr>
        <sz val="10"/>
        <rFont val="WenQuanYi Zen Hei"/>
        <family val="2"/>
      </rPr>
      <t xml:space="preserve">세대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임대</t>
    </r>
    <r>
      <rPr>
        <sz val="10"/>
        <rFont val="Arial"/>
        <family val="0"/>
        <charset val="1"/>
      </rPr>
      <t xml:space="preserve">121), </t>
    </r>
    <r>
      <rPr>
        <sz val="10"/>
        <rFont val="WenQuanYi Zen Hei"/>
        <family val="2"/>
      </rPr>
      <t xml:space="preserve">현대건설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위클리한국주택경제신문</t>
    </r>
    <r>
      <rPr>
        <sz val="10"/>
        <rFont val="Arial"/>
        <family val="0"/>
        <charset val="1"/>
      </rPr>
      <t xml:space="preserve">) https://www.arunews.com/news/articleView.html?idxno=62854</t>
    </r>
  </si>
  <si>
    <r>
      <rPr>
        <sz val="10"/>
        <rFont val="WenQuanYi Zen Hei"/>
        <family val="2"/>
      </rPr>
      <t xml:space="preserve">우동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구역</t>
    </r>
    <r>
      <rPr>
        <sz val="10"/>
        <rFont val="Arial"/>
        <family val="0"/>
        <charset val="1"/>
      </rPr>
      <t xml:space="preserve">: </t>
    </r>
    <r>
      <rPr>
        <sz val="10"/>
        <rFont val="WenQuanYi Zen Hei"/>
        <family val="2"/>
      </rPr>
      <t xml:space="preserve">비례율 </t>
    </r>
    <r>
      <rPr>
        <sz val="10"/>
        <rFont val="Arial"/>
        <family val="0"/>
        <charset val="1"/>
      </rPr>
      <t xml:space="preserve">115% (</t>
    </r>
    <r>
      <rPr>
        <sz val="10"/>
        <rFont val="WenQuanYi Zen Hei"/>
        <family val="2"/>
      </rPr>
      <t xml:space="preserve">개인블로그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비공식</t>
    </r>
    <r>
      <rPr>
        <sz val="10"/>
        <rFont val="Arial"/>
        <family val="0"/>
        <charset val="1"/>
      </rPr>
      <t xml:space="preserve">) https://leederiblog.co.kr/</t>
    </r>
  </si>
  <si>
    <r>
      <rPr>
        <sz val="10"/>
        <rFont val="WenQuanYi Zen Hei"/>
        <family val="2"/>
      </rPr>
      <t xml:space="preserve">중동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구역</t>
    </r>
    <r>
      <rPr>
        <sz val="10"/>
        <rFont val="Arial"/>
        <family val="0"/>
        <charset val="1"/>
      </rPr>
      <t xml:space="preserve">: </t>
    </r>
    <r>
      <rPr>
        <sz val="10"/>
        <rFont val="WenQuanYi Zen Hei"/>
        <family val="2"/>
      </rPr>
      <t xml:space="preserve">비대위 자체추산 비례율 </t>
    </r>
    <r>
      <rPr>
        <sz val="10"/>
        <rFont val="Arial"/>
        <family val="0"/>
        <charset val="1"/>
      </rPr>
      <t xml:space="preserve">30%</t>
    </r>
    <r>
      <rPr>
        <sz val="10"/>
        <rFont val="WenQuanYi Zen Hei"/>
        <family val="2"/>
      </rPr>
      <t xml:space="preserve">대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조합 제시 </t>
    </r>
    <r>
      <rPr>
        <sz val="10"/>
        <rFont val="Arial"/>
        <family val="0"/>
        <charset val="1"/>
      </rPr>
      <t xml:space="preserve">110% </t>
    </r>
    <r>
      <rPr>
        <sz val="10"/>
        <rFont val="WenQuanYi Zen Hei"/>
        <family val="2"/>
      </rPr>
      <t xml:space="preserve">분쟁 </t>
    </r>
    <r>
      <rPr>
        <sz val="10"/>
        <rFont val="Arial"/>
        <family val="0"/>
        <charset val="1"/>
      </rPr>
      <t xml:space="preserve">https://v.daum.net/v/tq9hwq2XcX</t>
    </r>
  </si>
  <si>
    <r>
      <rPr>
        <sz val="10"/>
        <rFont val="WenQuanYi Zen Hei"/>
        <family val="2"/>
      </rPr>
      <t xml:space="preserve">중동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구역</t>
    </r>
    <r>
      <rPr>
        <sz val="10"/>
        <rFont val="Arial"/>
        <family val="0"/>
        <charset val="1"/>
      </rPr>
      <t xml:space="preserve">: DL</t>
    </r>
    <r>
      <rPr>
        <sz val="10"/>
        <rFont val="WenQuanYi Zen Hei"/>
        <family val="2"/>
      </rPr>
      <t xml:space="preserve">이앤씨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공사비 약</t>
    </r>
    <r>
      <rPr>
        <sz val="10"/>
        <rFont val="Arial"/>
        <family val="0"/>
        <charset val="1"/>
      </rPr>
      <t xml:space="preserve">5,401</t>
    </r>
    <r>
      <rPr>
        <sz val="10"/>
        <rFont val="WenQuanYi Zen Hei"/>
        <family val="2"/>
      </rPr>
      <t xml:space="preserve">억</t>
    </r>
    <r>
      <rPr>
        <sz val="10"/>
        <rFont val="Arial"/>
        <family val="0"/>
        <charset val="1"/>
      </rPr>
      <t xml:space="preserve">, 2026.6 </t>
    </r>
    <r>
      <rPr>
        <sz val="10"/>
        <rFont val="WenQuanYi Zen Hei"/>
        <family val="2"/>
      </rPr>
      <t xml:space="preserve">착공</t>
    </r>
    <r>
      <rPr>
        <sz val="10"/>
        <rFont val="Arial"/>
        <family val="0"/>
        <charset val="1"/>
      </rPr>
      <t xml:space="preserve">·2029.10 </t>
    </r>
    <r>
      <rPr>
        <sz val="10"/>
        <rFont val="WenQuanYi Zen Hei"/>
        <family val="2"/>
      </rPr>
      <t xml:space="preserve">준공 계획 </t>
    </r>
    <r>
      <rPr>
        <sz val="10"/>
        <rFont val="Arial"/>
        <family val="0"/>
        <charset val="1"/>
      </rPr>
      <t xml:space="preserve">https://www.mt.co.kr/estate/2023/07/24/2023072414032385547</t>
    </r>
  </si>
  <si>
    <r>
      <rPr>
        <sz val="10"/>
        <rFont val="WenQuanYi Zen Hei"/>
        <family val="2"/>
      </rPr>
      <t xml:space="preserve">촉진</t>
    </r>
    <r>
      <rPr>
        <sz val="10"/>
        <rFont val="Arial"/>
        <family val="0"/>
        <charset val="1"/>
      </rPr>
      <t xml:space="preserve">2-1</t>
    </r>
    <r>
      <rPr>
        <sz val="10"/>
        <rFont val="WenQuanYi Zen Hei"/>
        <family val="2"/>
      </rPr>
      <t xml:space="preserve">구역</t>
    </r>
    <r>
      <rPr>
        <sz val="10"/>
        <rFont val="Arial"/>
        <family val="0"/>
        <charset val="1"/>
      </rPr>
      <t xml:space="preserve">: 69</t>
    </r>
    <r>
      <rPr>
        <sz val="10"/>
        <rFont val="WenQuanYi Zen Hei"/>
        <family val="2"/>
      </rPr>
      <t xml:space="preserve">층 </t>
    </r>
    <r>
      <rPr>
        <sz val="10"/>
        <rFont val="Arial"/>
        <family val="0"/>
        <charset val="1"/>
      </rPr>
      <t xml:space="preserve">1,902</t>
    </r>
    <r>
      <rPr>
        <sz val="10"/>
        <rFont val="WenQuanYi Zen Hei"/>
        <family val="2"/>
      </rPr>
      <t xml:space="preserve">가구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포스코이앤씨 도급계약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관리처분 후 이주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착공 예정 </t>
    </r>
    <r>
      <rPr>
        <sz val="10"/>
        <rFont val="Arial"/>
        <family val="0"/>
        <charset val="1"/>
      </rPr>
      <t xml:space="preserve">https://m.ekn.kr/view.php?key=20240116010004500</t>
    </r>
  </si>
  <si>
    <r>
      <rPr>
        <b val="true"/>
        <sz val="10"/>
        <rFont val="Arial"/>
        <family val="0"/>
        <charset val="1"/>
      </rPr>
      <t xml:space="preserve">[</t>
    </r>
    <r>
      <rPr>
        <b val="true"/>
        <sz val="10"/>
        <rFont val="WenQuanYi Zen Hei"/>
        <family val="2"/>
      </rPr>
      <t xml:space="preserve">확인 불가 → 가정치로 처리</t>
    </r>
    <r>
      <rPr>
        <b val="true"/>
        <sz val="10"/>
        <rFont val="Arial"/>
        <family val="0"/>
        <charset val="1"/>
      </rPr>
      <t xml:space="preserve">]</t>
    </r>
  </si>
  <si>
    <r>
      <rPr>
        <sz val="10"/>
        <rFont val="WenQuanYi Zen Hei"/>
        <family val="2"/>
      </rPr>
      <t xml:space="preserve">촉진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구역 전반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모든 구역의 입주권 프리미엄 호가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우동</t>
    </r>
    <r>
      <rPr>
        <sz val="10"/>
        <rFont val="Arial"/>
        <family val="0"/>
        <charset val="1"/>
      </rPr>
      <t xml:space="preserve">3·</t>
    </r>
    <r>
      <rPr>
        <sz val="10"/>
        <rFont val="WenQuanYi Zen Hei"/>
        <family val="2"/>
      </rPr>
      <t xml:space="preserve">촉진</t>
    </r>
    <r>
      <rPr>
        <sz val="10"/>
        <rFont val="Arial"/>
        <family val="0"/>
        <charset val="1"/>
      </rPr>
      <t xml:space="preserve">2-1·</t>
    </r>
    <r>
      <rPr>
        <sz val="10"/>
        <rFont val="WenQuanYi Zen Hei"/>
        <family val="2"/>
      </rPr>
      <t xml:space="preserve">중동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의 조합원 분양가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감정가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경기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대구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대전 구체 구역</t>
    </r>
  </si>
  <si>
    <r>
      <rPr>
        <sz val="10"/>
        <rFont val="WenQuanYi Zen Hei"/>
        <family val="2"/>
      </rPr>
      <t xml:space="preserve">프리미엄은 공개 실거래가가 없어 중개업소 호가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조합원 명부 기준 확인이 필수입니다</t>
    </r>
    <r>
      <rPr>
        <sz val="10"/>
        <rFont val="Arial"/>
        <family val="0"/>
        <charset val="1"/>
      </rPr>
      <t xml:space="preserve">.</t>
    </r>
  </si>
  <si>
    <r>
      <rPr>
        <b val="true"/>
        <sz val="10"/>
        <rFont val="Arial"/>
        <family val="0"/>
        <charset val="1"/>
      </rPr>
      <t xml:space="preserve">[</t>
    </r>
    <r>
      <rPr>
        <b val="true"/>
        <sz val="10"/>
        <rFont val="WenQuanYi Zen Hei"/>
        <family val="2"/>
      </rPr>
      <t xml:space="preserve">모델 한계</t>
    </r>
    <r>
      <rPr>
        <b val="true"/>
        <sz val="10"/>
        <rFont val="Arial"/>
        <family val="0"/>
        <charset val="1"/>
      </rPr>
      <t xml:space="preserve">]</t>
    </r>
  </si>
  <si>
    <r>
      <rPr>
        <sz val="10"/>
        <rFont val="WenQuanYi Zen Hei"/>
        <family val="2"/>
      </rPr>
      <t xml:space="preserve">세금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취득세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양도세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보유세 등</t>
    </r>
    <r>
      <rPr>
        <sz val="10"/>
        <rFont val="Arial"/>
        <family val="0"/>
        <charset val="1"/>
      </rPr>
      <t xml:space="preserve">)·</t>
    </r>
    <r>
      <rPr>
        <sz val="10"/>
        <rFont val="WenQuanYi Zen Hei"/>
        <family val="2"/>
      </rPr>
      <t xml:space="preserve">금융이자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중개수수료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분담금 대출이자 미반영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투자 전 세무사 확인 필수</t>
    </r>
    <r>
      <rPr>
        <sz val="10"/>
        <rFont val="Arial"/>
        <family val="0"/>
        <charset val="1"/>
      </rPr>
      <t xml:space="preserve">.</t>
    </r>
  </si>
  <si>
    <r>
      <rPr>
        <sz val="10"/>
        <rFont val="WenQuanYi Zen Hei"/>
        <family val="2"/>
      </rPr>
      <t xml:space="preserve">본 파일은 투자 권유가 아닌 비교 분석용 모델입니다</t>
    </r>
    <r>
      <rPr>
        <sz val="10"/>
        <rFont val="Arial"/>
        <family val="0"/>
        <charset val="1"/>
      </rPr>
      <t xml:space="preserve">.</t>
    </r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</si>
</sst>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0"/>
    <numFmt numFmtId="166" formatCode="0%"/>
    <numFmt numFmtId="167" formatCode="General"/>
    <numFmt numFmtId="168" formatCode="0.0%"/>
    <numFmt numFmtId="169" formatCode="0.00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3"/>
      <name val="WenQuanYi Zen Hei"/>
      <family val="2"/>
    </font>
    <font>
      <i val="true"/>
      <sz val="9"/>
      <color rgb="FFC00000"/>
      <name val="WenQuanYi Zen Hei"/>
      <family val="2"/>
    </font>
    <font>
      <i val="true"/>
      <sz val="9"/>
      <color rgb="FFC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FFFFFF"/>
      <name val="WenQuanYi Zen Hei"/>
      <family val="2"/>
    </font>
    <font>
      <sz val="10"/>
      <name val="Arial"/>
      <family val="0"/>
      <charset val="1"/>
    </font>
    <font>
      <sz val="10"/>
      <name val="WenQuanYi Zen Hei"/>
      <family val="2"/>
    </font>
    <font>
      <sz val="10"/>
      <color rgb="FF0000FF"/>
      <name val="Arial"/>
      <family val="0"/>
      <charset val="1"/>
    </font>
    <font>
      <b val="true"/>
      <sz val="10"/>
      <name val="WenQuanYi Zen Hei"/>
      <family val="2"/>
    </font>
    <font>
      <sz val="9"/>
      <name val="WenQuanYi Zen Hei"/>
      <family val="2"/>
    </font>
    <font>
      <sz val="9"/>
      <name val="Arial"/>
      <family val="0"/>
      <charset val="1"/>
    </font>
    <font>
      <sz val="11"/>
      <color theme="1"/>
      <name val="WenQuanYi Zen Hei"/>
      <family val="2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2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12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12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2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1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4"/>
    <col collapsed="false" customWidth="true" hidden="false" outlineLevel="0" max="3" min="3" style="0" width="11"/>
    <col collapsed="false" customWidth="true" hidden="false" outlineLevel="0" max="4" min="4" style="0" width="38"/>
    <col collapsed="false" customWidth="true" hidden="false" outlineLevel="0" max="5" min="5" style="0" width="10"/>
    <col collapsed="false" customWidth="true" hidden="false" outlineLevel="0" max="6" min="6" style="0" width="8"/>
    <col collapsed="false" customWidth="true" hidden="false" outlineLevel="0" max="7" min="7" style="0" width="12"/>
    <col collapsed="false" customWidth="true" hidden="false" outlineLevel="0" max="8" min="8" style="0" width="10"/>
    <col collapsed="false" customWidth="true" hidden="false" outlineLevel="0" max="9" min="9" style="0" width="13"/>
    <col collapsed="false" customWidth="true" hidden="false" outlineLevel="0" max="10" min="10" style="0" width="12"/>
    <col collapsed="false" customWidth="true" hidden="false" outlineLevel="0" max="11" min="11" style="0" width="10"/>
    <col collapsed="false" customWidth="true" hidden="false" outlineLevel="0" max="12" min="12" style="0" width="14"/>
    <col collapsed="false" customWidth="true" hidden="false" outlineLevel="0" max="13" min="13" style="0" width="24"/>
    <col collapsed="false" customWidth="true" hidden="false" outlineLevel="0" max="14" min="14" style="0" width="48"/>
  </cols>
  <sheetData>
    <row r="1" customFormat="false" ht="17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42" hidden="false" customHeight="true" outlineLevel="0" collapsed="false">
      <c r="A4" s="3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</row>
    <row r="5" customFormat="false" ht="26.85" hidden="false" customHeight="false" outlineLevel="0" collapsed="false">
      <c r="A5" s="5" t="n">
        <v>1</v>
      </c>
      <c r="B5" s="6" t="s">
        <v>16</v>
      </c>
      <c r="C5" s="6" t="s">
        <v>17</v>
      </c>
      <c r="D5" s="6" t="s">
        <v>18</v>
      </c>
      <c r="E5" s="7" t="n">
        <v>5.5</v>
      </c>
      <c r="F5" s="8" t="n">
        <v>1.15</v>
      </c>
      <c r="G5" s="7" t="n">
        <v>13.5</v>
      </c>
      <c r="H5" s="7" t="n">
        <v>4</v>
      </c>
      <c r="I5" s="9" t="n">
        <v>0.4</v>
      </c>
      <c r="J5" s="7" t="n">
        <v>22</v>
      </c>
      <c r="K5" s="9" t="n">
        <v>0.45</v>
      </c>
      <c r="L5" s="5" t="s">
        <v>19</v>
      </c>
      <c r="M5" s="6" t="s">
        <v>20</v>
      </c>
      <c r="N5" s="6" t="s">
        <v>21</v>
      </c>
    </row>
    <row r="6" customFormat="false" ht="26.85" hidden="false" customHeight="false" outlineLevel="0" collapsed="false">
      <c r="A6" s="5" t="n">
        <v>2</v>
      </c>
      <c r="B6" s="6" t="s">
        <v>22</v>
      </c>
      <c r="C6" s="6" t="s">
        <v>23</v>
      </c>
      <c r="D6" s="6" t="s">
        <v>24</v>
      </c>
      <c r="E6" s="7" t="n">
        <v>4.8</v>
      </c>
      <c r="F6" s="9" t="n">
        <v>1.1</v>
      </c>
      <c r="G6" s="7" t="n">
        <v>11.5</v>
      </c>
      <c r="H6" s="7" t="n">
        <v>3.5</v>
      </c>
      <c r="I6" s="9" t="n">
        <v>0.4</v>
      </c>
      <c r="J6" s="7" t="n">
        <v>17</v>
      </c>
      <c r="K6" s="9" t="n">
        <v>0.45</v>
      </c>
      <c r="L6" s="5" t="s">
        <v>25</v>
      </c>
      <c r="M6" s="6" t="s">
        <v>26</v>
      </c>
      <c r="N6" s="6" t="s">
        <v>27</v>
      </c>
    </row>
    <row r="7" customFormat="false" ht="15" hidden="false" customHeight="false" outlineLevel="0" collapsed="false">
      <c r="A7" s="5" t="n">
        <v>3</v>
      </c>
      <c r="B7" s="6" t="s">
        <v>28</v>
      </c>
      <c r="C7" s="6" t="s">
        <v>23</v>
      </c>
      <c r="D7" s="6" t="s">
        <v>29</v>
      </c>
      <c r="E7" s="7" t="n">
        <v>4.5</v>
      </c>
      <c r="F7" s="9" t="n">
        <v>1.05</v>
      </c>
      <c r="G7" s="7" t="n">
        <v>11</v>
      </c>
      <c r="H7" s="7" t="n">
        <v>3</v>
      </c>
      <c r="I7" s="9" t="n">
        <v>0.4</v>
      </c>
      <c r="J7" s="7" t="n">
        <v>16.5</v>
      </c>
      <c r="K7" s="9" t="n">
        <v>0.45</v>
      </c>
      <c r="L7" s="6" t="s">
        <v>30</v>
      </c>
      <c r="M7" s="6" t="s">
        <v>26</v>
      </c>
      <c r="N7" s="6" t="s">
        <v>31</v>
      </c>
    </row>
    <row r="8" customFormat="false" ht="26.85" hidden="false" customHeight="false" outlineLevel="0" collapsed="false">
      <c r="A8" s="5" t="n">
        <v>4</v>
      </c>
      <c r="B8" s="6" t="s">
        <v>32</v>
      </c>
      <c r="C8" s="6" t="s">
        <v>17</v>
      </c>
      <c r="D8" s="6" t="s">
        <v>33</v>
      </c>
      <c r="E8" s="7" t="n">
        <v>3.8</v>
      </c>
      <c r="F8" s="9" t="n">
        <v>0.9</v>
      </c>
      <c r="G8" s="7" t="n">
        <v>10.5</v>
      </c>
      <c r="H8" s="7" t="n">
        <v>3</v>
      </c>
      <c r="I8" s="9" t="n">
        <v>0.4</v>
      </c>
      <c r="J8" s="7" t="n">
        <v>17.5</v>
      </c>
      <c r="K8" s="9" t="n">
        <v>0.45</v>
      </c>
      <c r="L8" s="5" t="s">
        <v>34</v>
      </c>
      <c r="M8" s="6" t="s">
        <v>35</v>
      </c>
      <c r="N8" s="6" t="s">
        <v>36</v>
      </c>
    </row>
    <row r="9" customFormat="false" ht="26.85" hidden="false" customHeight="false" outlineLevel="0" collapsed="false">
      <c r="A9" s="5" t="n">
        <v>5</v>
      </c>
      <c r="B9" s="6" t="s">
        <v>37</v>
      </c>
      <c r="C9" s="6" t="s">
        <v>38</v>
      </c>
      <c r="D9" s="6" t="s">
        <v>39</v>
      </c>
      <c r="E9" s="10" t="n">
        <v>10.21</v>
      </c>
      <c r="F9" s="9" t="n">
        <v>1</v>
      </c>
      <c r="G9" s="10" t="n">
        <v>18.76</v>
      </c>
      <c r="H9" s="7" t="n">
        <v>2</v>
      </c>
      <c r="I9" s="9" t="n">
        <v>0</v>
      </c>
      <c r="J9" s="7" t="n">
        <v>26</v>
      </c>
      <c r="K9" s="9" t="n">
        <v>0.4</v>
      </c>
      <c r="L9" s="5" t="s">
        <v>40</v>
      </c>
      <c r="M9" s="6" t="s">
        <v>41</v>
      </c>
      <c r="N9" s="6" t="s">
        <v>42</v>
      </c>
    </row>
    <row r="10" customFormat="false" ht="26.85" hidden="false" customHeight="false" outlineLevel="0" collapsed="false">
      <c r="A10" s="5" t="n">
        <v>6</v>
      </c>
      <c r="B10" s="6" t="s">
        <v>43</v>
      </c>
      <c r="C10" s="6" t="s">
        <v>44</v>
      </c>
      <c r="D10" s="6" t="s">
        <v>45</v>
      </c>
      <c r="E10" s="7" t="n">
        <v>6.5</v>
      </c>
      <c r="F10" s="9" t="n">
        <v>1.05</v>
      </c>
      <c r="G10" s="7" t="n">
        <v>12.5</v>
      </c>
      <c r="H10" s="7" t="n">
        <v>5</v>
      </c>
      <c r="I10" s="9" t="n">
        <v>0.4</v>
      </c>
      <c r="J10" s="7" t="n">
        <v>21</v>
      </c>
      <c r="K10" s="9" t="n">
        <v>0.5</v>
      </c>
      <c r="L10" s="6" t="s">
        <v>46</v>
      </c>
      <c r="M10" s="6" t="s">
        <v>47</v>
      </c>
      <c r="N10" s="6" t="s">
        <v>48</v>
      </c>
    </row>
    <row r="11" customFormat="false" ht="15" hidden="false" customHeight="false" outlineLevel="0" collapsed="false">
      <c r="A11" s="5" t="n">
        <v>7</v>
      </c>
      <c r="B11" s="6" t="s">
        <v>49</v>
      </c>
      <c r="C11" s="6" t="s">
        <v>44</v>
      </c>
      <c r="D11" s="6" t="s">
        <v>45</v>
      </c>
      <c r="E11" s="7" t="n">
        <v>5</v>
      </c>
      <c r="F11" s="9" t="n">
        <v>1.05</v>
      </c>
      <c r="G11" s="7" t="n">
        <v>10.5</v>
      </c>
      <c r="H11" s="7" t="n">
        <v>3.5</v>
      </c>
      <c r="I11" s="9" t="n">
        <v>0.4</v>
      </c>
      <c r="J11" s="7" t="n">
        <v>15.5</v>
      </c>
      <c r="K11" s="9" t="n">
        <v>0.5</v>
      </c>
      <c r="L11" s="6" t="s">
        <v>46</v>
      </c>
      <c r="M11" s="6" t="s">
        <v>47</v>
      </c>
      <c r="N11" s="6" t="s">
        <v>48</v>
      </c>
    </row>
    <row r="12" customFormat="false" ht="15" hidden="false" customHeight="false" outlineLevel="0" collapsed="false">
      <c r="A12" s="5" t="n">
        <v>8</v>
      </c>
      <c r="B12" s="6" t="s">
        <v>50</v>
      </c>
      <c r="C12" s="6" t="s">
        <v>51</v>
      </c>
      <c r="D12" s="6" t="s">
        <v>45</v>
      </c>
      <c r="E12" s="7" t="n">
        <v>3.5</v>
      </c>
      <c r="F12" s="9" t="n">
        <v>1</v>
      </c>
      <c r="G12" s="7" t="n">
        <v>8.5</v>
      </c>
      <c r="H12" s="7" t="n">
        <v>1.5</v>
      </c>
      <c r="I12" s="9" t="n">
        <v>0.4</v>
      </c>
      <c r="J12" s="7" t="n">
        <v>11.5</v>
      </c>
      <c r="K12" s="9" t="n">
        <v>0.5</v>
      </c>
      <c r="L12" s="6" t="s">
        <v>46</v>
      </c>
      <c r="M12" s="6" t="s">
        <v>47</v>
      </c>
      <c r="N12" s="6" t="s">
        <v>52</v>
      </c>
    </row>
    <row r="13" customFormat="false" ht="15" hidden="false" customHeight="false" outlineLevel="0" collapsed="false">
      <c r="A13" s="5" t="n">
        <v>9</v>
      </c>
      <c r="B13" s="6" t="s">
        <v>53</v>
      </c>
      <c r="C13" s="6" t="s">
        <v>51</v>
      </c>
      <c r="D13" s="6" t="s">
        <v>45</v>
      </c>
      <c r="E13" s="7" t="n">
        <v>3</v>
      </c>
      <c r="F13" s="9" t="n">
        <v>1</v>
      </c>
      <c r="G13" s="7" t="n">
        <v>7.8</v>
      </c>
      <c r="H13" s="7" t="n">
        <v>1.2</v>
      </c>
      <c r="I13" s="9" t="n">
        <v>0.4</v>
      </c>
      <c r="J13" s="7" t="n">
        <v>10</v>
      </c>
      <c r="K13" s="9" t="n">
        <v>0.5</v>
      </c>
      <c r="L13" s="6" t="s">
        <v>46</v>
      </c>
      <c r="M13" s="6" t="s">
        <v>47</v>
      </c>
      <c r="N13" s="6" t="s">
        <v>48</v>
      </c>
    </row>
    <row r="14" customFormat="false" ht="15" hidden="false" customHeight="false" outlineLevel="0" collapsed="false">
      <c r="A14" s="5" t="n">
        <v>10</v>
      </c>
      <c r="B14" s="6" t="s">
        <v>54</v>
      </c>
      <c r="C14" s="6" t="s">
        <v>55</v>
      </c>
      <c r="D14" s="6" t="s">
        <v>45</v>
      </c>
      <c r="E14" s="7" t="n">
        <v>3.2</v>
      </c>
      <c r="F14" s="9" t="n">
        <v>1</v>
      </c>
      <c r="G14" s="7" t="n">
        <v>8.2</v>
      </c>
      <c r="H14" s="7" t="n">
        <v>1.8</v>
      </c>
      <c r="I14" s="9" t="n">
        <v>0.4</v>
      </c>
      <c r="J14" s="7" t="n">
        <v>11</v>
      </c>
      <c r="K14" s="9" t="n">
        <v>0.5</v>
      </c>
      <c r="L14" s="6" t="s">
        <v>46</v>
      </c>
      <c r="M14" s="6" t="s">
        <v>47</v>
      </c>
      <c r="N14" s="6" t="s">
        <v>48</v>
      </c>
    </row>
    <row r="16" customFormat="false" ht="15" hidden="false" customHeight="false" outlineLevel="0" collapsed="false">
      <c r="A16" s="11" t="s">
        <v>56</v>
      </c>
    </row>
    <row r="17" customFormat="false" ht="15" hidden="false" customHeight="false" outlineLevel="0" collapsed="false">
      <c r="A17" s="12" t="s">
        <v>57</v>
      </c>
    </row>
    <row r="18" customFormat="false" ht="15" hidden="false" customHeight="false" outlineLevel="0" collapsed="false">
      <c r="A18" s="12" t="s">
        <v>58</v>
      </c>
    </row>
    <row r="19" customFormat="false" ht="15" hidden="false" customHeight="false" outlineLevel="0" collapsed="false">
      <c r="A19" s="12" t="s">
        <v>59</v>
      </c>
    </row>
    <row r="20" customFormat="false" ht="15" hidden="false" customHeight="false" outlineLevel="0" collapsed="false">
      <c r="A20" s="12" t="s">
        <v>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8"/>
    <col collapsed="false" customWidth="true" hidden="false" outlineLevel="0" max="4" min="3" style="0" width="10"/>
    <col collapsed="false" customWidth="true" hidden="false" outlineLevel="0" max="5" min="5" style="0" width="14"/>
    <col collapsed="false" customWidth="true" hidden="false" outlineLevel="0" max="6" min="6" style="0" width="10"/>
    <col collapsed="false" customWidth="true" hidden="false" outlineLevel="0" max="8" min="7" style="0" width="12"/>
    <col collapsed="false" customWidth="true" hidden="false" outlineLevel="0" max="10" min="9" style="0" width="10"/>
    <col collapsed="false" customWidth="true" hidden="false" outlineLevel="0" max="11" min="11" style="0" width="13"/>
    <col collapsed="false" customWidth="true" hidden="false" outlineLevel="0" max="14" min="12" style="0" width="14"/>
    <col collapsed="false" customWidth="true" hidden="false" outlineLevel="0" max="15" min="15" style="0" width="10"/>
    <col collapsed="false" customWidth="true" hidden="false" outlineLevel="0" max="16" min="16" style="0" width="6"/>
  </cols>
  <sheetData>
    <row r="1" customFormat="false" ht="17.15" hidden="false" customHeight="false" outlineLevel="0" collapsed="false">
      <c r="A1" s="13" t="s">
        <v>61</v>
      </c>
    </row>
    <row r="3" customFormat="false" ht="43.5" hidden="false" customHeight="true" outlineLevel="0" collapsed="false">
      <c r="A3" s="3" t="s">
        <v>2</v>
      </c>
      <c r="B3" s="4" t="s">
        <v>3</v>
      </c>
      <c r="C3" s="4" t="s">
        <v>62</v>
      </c>
      <c r="D3" s="4" t="s">
        <v>63</v>
      </c>
      <c r="E3" s="4" t="s">
        <v>64</v>
      </c>
      <c r="F3" s="4" t="s">
        <v>65</v>
      </c>
      <c r="G3" s="4" t="s">
        <v>66</v>
      </c>
      <c r="H3" s="4" t="s">
        <v>67</v>
      </c>
      <c r="I3" s="4" t="s">
        <v>68</v>
      </c>
      <c r="J3" s="4" t="s">
        <v>69</v>
      </c>
      <c r="K3" s="4" t="s">
        <v>70</v>
      </c>
      <c r="L3" s="4" t="s">
        <v>71</v>
      </c>
      <c r="M3" s="4" t="s">
        <v>72</v>
      </c>
      <c r="N3" s="4" t="s">
        <v>73</v>
      </c>
      <c r="O3" s="4" t="s">
        <v>74</v>
      </c>
      <c r="P3" s="4" t="s">
        <v>75</v>
      </c>
    </row>
    <row r="4" customFormat="false" ht="15" hidden="false" customHeight="false" outlineLevel="0" collapsed="false">
      <c r="A4" s="14" t="n">
        <f aca="false">입력가정!A5</f>
        <v>1</v>
      </c>
      <c r="B4" s="14" t="str">
        <f aca="false">입력가정!B5</f>
        <v>해운대 우동3구역</v>
      </c>
      <c r="C4" s="15" t="n">
        <f aca="false">입력가정!E5*입력가정!F5</f>
        <v>6.325</v>
      </c>
      <c r="D4" s="15" t="n">
        <f aca="false">입력가정!G5-C4</f>
        <v>7.175</v>
      </c>
      <c r="E4" s="15" t="n">
        <f aca="false">입력가정!E5+입력가정!H5</f>
        <v>9.5</v>
      </c>
      <c r="F4" s="15" t="n">
        <f aca="false">입력가정!E5*입력가정!I5</f>
        <v>2.2</v>
      </c>
      <c r="G4" s="15" t="n">
        <f aca="false">E4-F4</f>
        <v>7.3</v>
      </c>
      <c r="H4" s="15" t="n">
        <f aca="false">E4+D4</f>
        <v>16.675</v>
      </c>
      <c r="I4" s="15" t="n">
        <f aca="false">입력가정!J5</f>
        <v>22</v>
      </c>
      <c r="J4" s="15" t="n">
        <f aca="false">I4-H4</f>
        <v>5.325</v>
      </c>
      <c r="K4" s="16" t="n">
        <f aca="false">IF(H4=0,0,J4/H4)</f>
        <v>0.319340329835082</v>
      </c>
      <c r="L4" s="16" t="n">
        <f aca="false">IF(G4=0,0,J4/(G4+D4))</f>
        <v>0.367875647668394</v>
      </c>
      <c r="M4" s="16" t="n">
        <f aca="false">IF(H4=0,0,I4*입력가정!K5/H4)</f>
        <v>0.593703148425787</v>
      </c>
      <c r="N4" s="16" t="n">
        <f aca="false">IF(I4=0,0,입력가정!H5/I4)</f>
        <v>0.181818181818182</v>
      </c>
      <c r="O4" s="17" t="n">
        <f aca="false">K4*0.5+M4*0.3-N4*0.2</f>
        <v>0.301417473081641</v>
      </c>
      <c r="P4" s="14" t="n">
        <f aca="false">RANK(O4,$O$4:$O$13,0)</f>
        <v>1</v>
      </c>
    </row>
    <row r="5" customFormat="false" ht="15" hidden="false" customHeight="false" outlineLevel="0" collapsed="false">
      <c r="A5" s="14" t="n">
        <f aca="false">입력가정!A6</f>
        <v>2</v>
      </c>
      <c r="B5" s="14" t="str">
        <f aca="false">입력가정!B6</f>
        <v>부산진 촉진2-1구역</v>
      </c>
      <c r="C5" s="15" t="n">
        <f aca="false">입력가정!E6*입력가정!F6</f>
        <v>5.28</v>
      </c>
      <c r="D5" s="15" t="n">
        <f aca="false">입력가정!G6-C5</f>
        <v>6.22</v>
      </c>
      <c r="E5" s="15" t="n">
        <f aca="false">입력가정!E6+입력가정!H6</f>
        <v>8.3</v>
      </c>
      <c r="F5" s="15" t="n">
        <f aca="false">입력가정!E6*입력가정!I6</f>
        <v>1.92</v>
      </c>
      <c r="G5" s="15" t="n">
        <f aca="false">E5-F5</f>
        <v>6.38</v>
      </c>
      <c r="H5" s="15" t="n">
        <f aca="false">E5+D5</f>
        <v>14.52</v>
      </c>
      <c r="I5" s="15" t="n">
        <f aca="false">입력가정!J6</f>
        <v>17</v>
      </c>
      <c r="J5" s="15" t="n">
        <f aca="false">I5-H5</f>
        <v>2.48</v>
      </c>
      <c r="K5" s="16" t="n">
        <f aca="false">IF(H5=0,0,J5/H5)</f>
        <v>0.170798898071625</v>
      </c>
      <c r="L5" s="16" t="n">
        <f aca="false">IF(G5=0,0,J5/(G5+D5))</f>
        <v>0.196825396825397</v>
      </c>
      <c r="M5" s="16" t="n">
        <f aca="false">IF(H5=0,0,I5*입력가정!K6/H5)</f>
        <v>0.526859504132232</v>
      </c>
      <c r="N5" s="16" t="n">
        <f aca="false">IF(I5=0,0,입력가정!H6/I5)</f>
        <v>0.205882352941176</v>
      </c>
      <c r="O5" s="17" t="n">
        <f aca="false">K5*0.5+M5*0.3-N5*0.2</f>
        <v>0.202280829687247</v>
      </c>
      <c r="P5" s="14" t="n">
        <f aca="false">RANK(O5,$O$4:$O$13,0)</f>
        <v>7</v>
      </c>
    </row>
    <row r="6" customFormat="false" ht="15" hidden="false" customHeight="false" outlineLevel="0" collapsed="false">
      <c r="A6" s="14" t="n">
        <f aca="false">입력가정!A7</f>
        <v>3</v>
      </c>
      <c r="B6" s="14" t="str">
        <f aca="false">입력가정!B7</f>
        <v>부산진 촉진3구역</v>
      </c>
      <c r="C6" s="15" t="n">
        <f aca="false">입력가정!E7*입력가정!F7</f>
        <v>4.725</v>
      </c>
      <c r="D6" s="15" t="n">
        <f aca="false">입력가정!G7-C6</f>
        <v>6.275</v>
      </c>
      <c r="E6" s="15" t="n">
        <f aca="false">입력가정!E7+입력가정!H7</f>
        <v>7.5</v>
      </c>
      <c r="F6" s="15" t="n">
        <f aca="false">입력가정!E7*입력가정!I7</f>
        <v>1.8</v>
      </c>
      <c r="G6" s="15" t="n">
        <f aca="false">E6-F6</f>
        <v>5.7</v>
      </c>
      <c r="H6" s="15" t="n">
        <f aca="false">E6+D6</f>
        <v>13.775</v>
      </c>
      <c r="I6" s="15" t="n">
        <f aca="false">입력가정!J7</f>
        <v>16.5</v>
      </c>
      <c r="J6" s="15" t="n">
        <f aca="false">I6-H6</f>
        <v>2.725</v>
      </c>
      <c r="K6" s="16" t="n">
        <f aca="false">IF(H6=0,0,J6/H6)</f>
        <v>0.197822141560799</v>
      </c>
      <c r="L6" s="16" t="n">
        <f aca="false">IF(G6=0,0,J6/(G6+D6))</f>
        <v>0.227557411273487</v>
      </c>
      <c r="M6" s="16" t="n">
        <f aca="false">IF(H6=0,0,I6*입력가정!K7/H6)</f>
        <v>0.539019963702359</v>
      </c>
      <c r="N6" s="16" t="n">
        <f aca="false">IF(I6=0,0,입력가정!H7/I6)</f>
        <v>0.181818181818182</v>
      </c>
      <c r="O6" s="17" t="n">
        <f aca="false">K6*0.5+M6*0.3-N6*0.2</f>
        <v>0.224253423527471</v>
      </c>
      <c r="P6" s="14" t="n">
        <f aca="false">RANK(O6,$O$4:$O$13,0)</f>
        <v>5</v>
      </c>
    </row>
    <row r="7" customFormat="false" ht="15" hidden="false" customHeight="false" outlineLevel="0" collapsed="false">
      <c r="A7" s="14" t="n">
        <f aca="false">입력가정!A8</f>
        <v>4</v>
      </c>
      <c r="B7" s="14" t="str">
        <f aca="false">입력가정!B8</f>
        <v>해운대 중동5구역</v>
      </c>
      <c r="C7" s="15" t="n">
        <f aca="false">입력가정!E8*입력가정!F8</f>
        <v>3.42</v>
      </c>
      <c r="D7" s="15" t="n">
        <f aca="false">입력가정!G8-C7</f>
        <v>7.08</v>
      </c>
      <c r="E7" s="15" t="n">
        <f aca="false">입력가정!E8+입력가정!H8</f>
        <v>6.8</v>
      </c>
      <c r="F7" s="15" t="n">
        <f aca="false">입력가정!E8*입력가정!I8</f>
        <v>1.52</v>
      </c>
      <c r="G7" s="15" t="n">
        <f aca="false">E7-F7</f>
        <v>5.28</v>
      </c>
      <c r="H7" s="15" t="n">
        <f aca="false">E7+D7</f>
        <v>13.88</v>
      </c>
      <c r="I7" s="15" t="n">
        <f aca="false">입력가정!J8</f>
        <v>17.5</v>
      </c>
      <c r="J7" s="15" t="n">
        <f aca="false">I7-H7</f>
        <v>3.62</v>
      </c>
      <c r="K7" s="16" t="n">
        <f aca="false">IF(H7=0,0,J7/H7)</f>
        <v>0.260806916426513</v>
      </c>
      <c r="L7" s="16" t="n">
        <f aca="false">IF(G7=0,0,J7/(G7+D7))</f>
        <v>0.292880258899676</v>
      </c>
      <c r="M7" s="16" t="n">
        <f aca="false">IF(H7=0,0,I7*입력가정!K8/H7)</f>
        <v>0.567363112391931</v>
      </c>
      <c r="N7" s="16" t="n">
        <f aca="false">IF(I7=0,0,입력가정!H8/I7)</f>
        <v>0.171428571428571</v>
      </c>
      <c r="O7" s="17" t="n">
        <f aca="false">K7*0.5+M7*0.3-N7*0.2</f>
        <v>0.266326677645121</v>
      </c>
      <c r="P7" s="14" t="n">
        <f aca="false">RANK(O7,$O$4:$O$13,0)</f>
        <v>2</v>
      </c>
    </row>
    <row r="8" customFormat="false" ht="15" hidden="false" customHeight="false" outlineLevel="0" collapsed="false">
      <c r="A8" s="14" t="n">
        <f aca="false">입력가정!A9</f>
        <v>5</v>
      </c>
      <c r="B8" s="14" t="str">
        <f aca="false">입력가정!B9</f>
        <v>수영구 삼익비치(재건축)</v>
      </c>
      <c r="C8" s="15" t="n">
        <f aca="false">입력가정!E9*입력가정!F9</f>
        <v>10.21</v>
      </c>
      <c r="D8" s="15" t="n">
        <f aca="false">입력가정!G9-C8</f>
        <v>8.55</v>
      </c>
      <c r="E8" s="15" t="n">
        <f aca="false">입력가정!E9+입력가정!H9</f>
        <v>12.21</v>
      </c>
      <c r="F8" s="15" t="n">
        <f aca="false">입력가정!E9*입력가정!I9</f>
        <v>0</v>
      </c>
      <c r="G8" s="15" t="n">
        <f aca="false">E8-F8</f>
        <v>12.21</v>
      </c>
      <c r="H8" s="15" t="n">
        <f aca="false">E8+D8</f>
        <v>20.76</v>
      </c>
      <c r="I8" s="15" t="n">
        <f aca="false">입력가정!J9</f>
        <v>26</v>
      </c>
      <c r="J8" s="15" t="n">
        <f aca="false">I8-H8</f>
        <v>5.24</v>
      </c>
      <c r="K8" s="16" t="n">
        <f aca="false">IF(H8=0,0,J8/H8)</f>
        <v>0.252408477842004</v>
      </c>
      <c r="L8" s="16" t="n">
        <f aca="false">IF(G8=0,0,J8/(G8+D8))</f>
        <v>0.252408477842004</v>
      </c>
      <c r="M8" s="16" t="n">
        <f aca="false">IF(H8=0,0,I8*입력가정!K9/H8)</f>
        <v>0.500963391136802</v>
      </c>
      <c r="N8" s="16" t="n">
        <f aca="false">IF(I8=0,0,입력가정!H9/I8)</f>
        <v>0.0769230769230769</v>
      </c>
      <c r="O8" s="17" t="n">
        <f aca="false">K8*0.5+M8*0.3-N8*0.2</f>
        <v>0.261108640877427</v>
      </c>
      <c r="P8" s="14" t="n">
        <f aca="false">RANK(O8,$O$4:$O$13,0)</f>
        <v>3</v>
      </c>
    </row>
    <row r="9" customFormat="false" ht="15" hidden="false" customHeight="false" outlineLevel="0" collapsed="false">
      <c r="A9" s="14" t="n">
        <f aca="false">입력가정!A10</f>
        <v>6</v>
      </c>
      <c r="B9" s="14" t="str">
        <f aca="false">입력가정!B10</f>
        <v>경기 성남권 구도심 재개발(예시)</v>
      </c>
      <c r="C9" s="15" t="n">
        <f aca="false">입력가정!E10*입력가정!F10</f>
        <v>6.825</v>
      </c>
      <c r="D9" s="15" t="n">
        <f aca="false">입력가정!G10-C9</f>
        <v>5.675</v>
      </c>
      <c r="E9" s="15" t="n">
        <f aca="false">입력가정!E10+입력가정!H10</f>
        <v>11.5</v>
      </c>
      <c r="F9" s="15" t="n">
        <f aca="false">입력가정!E10*입력가정!I10</f>
        <v>2.6</v>
      </c>
      <c r="G9" s="15" t="n">
        <f aca="false">E9-F9</f>
        <v>8.9</v>
      </c>
      <c r="H9" s="15" t="n">
        <f aca="false">E9+D9</f>
        <v>17.175</v>
      </c>
      <c r="I9" s="15" t="n">
        <f aca="false">입력가정!J10</f>
        <v>21</v>
      </c>
      <c r="J9" s="15" t="n">
        <f aca="false">I9-H9</f>
        <v>3.825</v>
      </c>
      <c r="K9" s="16" t="n">
        <f aca="false">IF(H9=0,0,J9/H9)</f>
        <v>0.222707423580786</v>
      </c>
      <c r="L9" s="16" t="n">
        <f aca="false">IF(G9=0,0,J9/(G9+D9))</f>
        <v>0.262435677530017</v>
      </c>
      <c r="M9" s="16" t="n">
        <f aca="false">IF(H9=0,0,I9*입력가정!K10/H9)</f>
        <v>0.611353711790393</v>
      </c>
      <c r="N9" s="16" t="n">
        <f aca="false">IF(I9=0,0,입력가정!H10/I9)</f>
        <v>0.238095238095238</v>
      </c>
      <c r="O9" s="17" t="n">
        <f aca="false">K9*0.5+M9*0.3-N9*0.2</f>
        <v>0.247140777708463</v>
      </c>
      <c r="P9" s="14" t="n">
        <f aca="false">RANK(O9,$O$4:$O$13,0)</f>
        <v>4</v>
      </c>
    </row>
    <row r="10" customFormat="false" ht="15" hidden="false" customHeight="false" outlineLevel="0" collapsed="false">
      <c r="A10" s="14" t="n">
        <f aca="false">입력가정!A11</f>
        <v>7</v>
      </c>
      <c r="B10" s="14" t="str">
        <f aca="false">입력가정!B11</f>
        <v>경기 수원권 재개발(예시)</v>
      </c>
      <c r="C10" s="15" t="n">
        <f aca="false">입력가정!E11*입력가정!F11</f>
        <v>5.25</v>
      </c>
      <c r="D10" s="15" t="n">
        <f aca="false">입력가정!G11-C10</f>
        <v>5.25</v>
      </c>
      <c r="E10" s="15" t="n">
        <f aca="false">입력가정!E11+입력가정!H11</f>
        <v>8.5</v>
      </c>
      <c r="F10" s="15" t="n">
        <f aca="false">입력가정!E11*입력가정!I11</f>
        <v>2</v>
      </c>
      <c r="G10" s="15" t="n">
        <f aca="false">E10-F10</f>
        <v>6.5</v>
      </c>
      <c r="H10" s="15" t="n">
        <f aca="false">E10+D10</f>
        <v>13.75</v>
      </c>
      <c r="I10" s="15" t="n">
        <f aca="false">입력가정!J11</f>
        <v>15.5</v>
      </c>
      <c r="J10" s="15" t="n">
        <f aca="false">I10-H10</f>
        <v>1.75</v>
      </c>
      <c r="K10" s="16" t="n">
        <f aca="false">IF(H10=0,0,J10/H10)</f>
        <v>0.127272727272727</v>
      </c>
      <c r="L10" s="16" t="n">
        <f aca="false">IF(G10=0,0,J10/(G10+D10))</f>
        <v>0.148936170212766</v>
      </c>
      <c r="M10" s="16" t="n">
        <f aca="false">IF(H10=0,0,I10*입력가정!K11/H10)</f>
        <v>0.563636363636364</v>
      </c>
      <c r="N10" s="16" t="n">
        <f aca="false">IF(I10=0,0,입력가정!H11/I10)</f>
        <v>0.225806451612903</v>
      </c>
      <c r="O10" s="17" t="n">
        <f aca="false">K10*0.5+M10*0.3-N10*0.2</f>
        <v>0.187565982404692</v>
      </c>
      <c r="P10" s="14" t="n">
        <f aca="false">RANK(O10,$O$4:$O$13,0)</f>
        <v>9</v>
      </c>
    </row>
    <row r="11" customFormat="false" ht="15" hidden="false" customHeight="false" outlineLevel="0" collapsed="false">
      <c r="A11" s="14" t="n">
        <f aca="false">입력가정!A12</f>
        <v>8</v>
      </c>
      <c r="B11" s="14" t="str">
        <f aca="false">입력가정!B12</f>
        <v>대구 수성/중구 재개발(예시)</v>
      </c>
      <c r="C11" s="15" t="n">
        <f aca="false">입력가정!E12*입력가정!F12</f>
        <v>3.5</v>
      </c>
      <c r="D11" s="15" t="n">
        <f aca="false">입력가정!G12-C11</f>
        <v>5</v>
      </c>
      <c r="E11" s="15" t="n">
        <f aca="false">입력가정!E12+입력가정!H12</f>
        <v>5</v>
      </c>
      <c r="F11" s="15" t="n">
        <f aca="false">입력가정!E12*입력가정!I12</f>
        <v>1.4</v>
      </c>
      <c r="G11" s="15" t="n">
        <f aca="false">E11-F11</f>
        <v>3.6</v>
      </c>
      <c r="H11" s="15" t="n">
        <f aca="false">E11+D11</f>
        <v>10</v>
      </c>
      <c r="I11" s="15" t="n">
        <f aca="false">입력가정!J12</f>
        <v>11.5</v>
      </c>
      <c r="J11" s="15" t="n">
        <f aca="false">I11-H11</f>
        <v>1.5</v>
      </c>
      <c r="K11" s="16" t="n">
        <f aca="false">IF(H11=0,0,J11/H11)</f>
        <v>0.15</v>
      </c>
      <c r="L11" s="16" t="n">
        <f aca="false">IF(G11=0,0,J11/(G11+D11))</f>
        <v>0.174418604651163</v>
      </c>
      <c r="M11" s="16" t="n">
        <f aca="false">IF(H11=0,0,I11*입력가정!K12/H11)</f>
        <v>0.575</v>
      </c>
      <c r="N11" s="16" t="n">
        <f aca="false">IF(I11=0,0,입력가정!H12/I11)</f>
        <v>0.130434782608696</v>
      </c>
      <c r="O11" s="17" t="n">
        <f aca="false">K11*0.5+M11*0.3-N11*0.2</f>
        <v>0.221413043478261</v>
      </c>
      <c r="P11" s="14" t="n">
        <f aca="false">RANK(O11,$O$4:$O$13,0)</f>
        <v>6</v>
      </c>
    </row>
    <row r="12" customFormat="false" ht="15" hidden="false" customHeight="false" outlineLevel="0" collapsed="false">
      <c r="A12" s="14" t="n">
        <f aca="false">입력가정!A13</f>
        <v>9</v>
      </c>
      <c r="B12" s="14" t="str">
        <f aca="false">입력가정!B13</f>
        <v>대구 도심 재개발(예시)</v>
      </c>
      <c r="C12" s="15" t="n">
        <f aca="false">입력가정!E13*입력가정!F13</f>
        <v>3</v>
      </c>
      <c r="D12" s="15" t="n">
        <f aca="false">입력가정!G13-C12</f>
        <v>4.8</v>
      </c>
      <c r="E12" s="15" t="n">
        <f aca="false">입력가정!E13+입력가정!H13</f>
        <v>4.2</v>
      </c>
      <c r="F12" s="15" t="n">
        <f aca="false">입력가정!E13*입력가정!I13</f>
        <v>1.2</v>
      </c>
      <c r="G12" s="15" t="n">
        <f aca="false">E12-F12</f>
        <v>3</v>
      </c>
      <c r="H12" s="15" t="n">
        <f aca="false">E12+D12</f>
        <v>9</v>
      </c>
      <c r="I12" s="15" t="n">
        <f aca="false">입력가정!J13</f>
        <v>10</v>
      </c>
      <c r="J12" s="15" t="n">
        <f aca="false">I12-H12</f>
        <v>1</v>
      </c>
      <c r="K12" s="16" t="n">
        <f aca="false">IF(H12=0,0,J12/H12)</f>
        <v>0.111111111111111</v>
      </c>
      <c r="L12" s="16" t="n">
        <f aca="false">IF(G12=0,0,J12/(G12+D12))</f>
        <v>0.128205128205128</v>
      </c>
      <c r="M12" s="16" t="n">
        <f aca="false">IF(H12=0,0,I12*입력가정!K13/H12)</f>
        <v>0.555555555555556</v>
      </c>
      <c r="N12" s="16" t="n">
        <f aca="false">IF(I12=0,0,입력가정!H13/I12)</f>
        <v>0.12</v>
      </c>
      <c r="O12" s="17" t="n">
        <f aca="false">K12*0.5+M12*0.3-N12*0.2</f>
        <v>0.198222222222222</v>
      </c>
      <c r="P12" s="14" t="n">
        <f aca="false">RANK(O12,$O$4:$O$13,0)</f>
        <v>8</v>
      </c>
    </row>
    <row r="13" customFormat="false" ht="15" hidden="false" customHeight="false" outlineLevel="0" collapsed="false">
      <c r="A13" s="14" t="n">
        <f aca="false">입력가정!A14</f>
        <v>10</v>
      </c>
      <c r="B13" s="14" t="str">
        <f aca="false">입력가정!B14</f>
        <v>대전 재개발(예시)</v>
      </c>
      <c r="C13" s="15" t="n">
        <f aca="false">입력가정!E14*입력가정!F14</f>
        <v>3.2</v>
      </c>
      <c r="D13" s="15" t="n">
        <f aca="false">입력가정!G14-C13</f>
        <v>5</v>
      </c>
      <c r="E13" s="15" t="n">
        <f aca="false">입력가정!E14+입력가정!H14</f>
        <v>5</v>
      </c>
      <c r="F13" s="15" t="n">
        <f aca="false">입력가정!E14*입력가정!I14</f>
        <v>1.28</v>
      </c>
      <c r="G13" s="15" t="n">
        <f aca="false">E13-F13</f>
        <v>3.72</v>
      </c>
      <c r="H13" s="15" t="n">
        <f aca="false">E13+D13</f>
        <v>10</v>
      </c>
      <c r="I13" s="15" t="n">
        <f aca="false">입력가정!J14</f>
        <v>11</v>
      </c>
      <c r="J13" s="15" t="n">
        <f aca="false">I13-H13</f>
        <v>1</v>
      </c>
      <c r="K13" s="16" t="n">
        <f aca="false">IF(H13=0,0,J13/H13)</f>
        <v>0.1</v>
      </c>
      <c r="L13" s="16" t="n">
        <f aca="false">IF(G13=0,0,J13/(G13+D13))</f>
        <v>0.114678899082569</v>
      </c>
      <c r="M13" s="16" t="n">
        <f aca="false">IF(H13=0,0,I13*입력가정!K14/H13)</f>
        <v>0.55</v>
      </c>
      <c r="N13" s="16" t="n">
        <f aca="false">IF(I13=0,0,입력가정!H14/I13)</f>
        <v>0.163636363636364</v>
      </c>
      <c r="O13" s="17" t="n">
        <f aca="false">K13*0.5+M13*0.3-N13*0.2</f>
        <v>0.182272727272727</v>
      </c>
      <c r="P13" s="14" t="n">
        <f aca="false">RANK(O13,$O$4:$O$13,0)</f>
        <v>10</v>
      </c>
    </row>
    <row r="15" customFormat="false" ht="15" hidden="false" customHeight="false" outlineLevel="0" collapsed="false">
      <c r="A15" s="11" t="s">
        <v>76</v>
      </c>
    </row>
    <row r="16" customFormat="false" ht="15" hidden="false" customHeight="false" outlineLevel="0" collapsed="false">
      <c r="A16" s="12" t="s">
        <v>77</v>
      </c>
    </row>
    <row r="17" customFormat="false" ht="15" hidden="false" customHeight="false" outlineLevel="0" collapsed="false">
      <c r="A17" s="12" t="s">
        <v>78</v>
      </c>
    </row>
    <row r="18" customFormat="false" ht="15" hidden="false" customHeight="false" outlineLevel="0" collapsed="false">
      <c r="A18" s="12" t="s">
        <v>79</v>
      </c>
    </row>
    <row r="19" customFormat="false" ht="15" hidden="false" customHeight="false" outlineLevel="0" collapsed="false">
      <c r="A19" s="12" t="s">
        <v>80</v>
      </c>
    </row>
    <row r="20" customFormat="false" ht="15" hidden="false" customHeight="false" outlineLevel="0" collapsed="false">
      <c r="A20" s="12" t="s">
        <v>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8"/>
    <col collapsed="false" customWidth="true" hidden="false" outlineLevel="0" max="3" min="3" style="0" width="8"/>
    <col collapsed="false" customWidth="true" hidden="false" outlineLevel="0" max="4" min="4" style="0" width="12"/>
    <col collapsed="false" customWidth="true" hidden="false" outlineLevel="0" max="6" min="5" style="0" width="8"/>
    <col collapsed="false" customWidth="true" hidden="false" outlineLevel="0" max="7" min="7" style="0" width="12"/>
    <col collapsed="false" customWidth="true" hidden="false" outlineLevel="0" max="8" min="8" style="0" width="40"/>
  </cols>
  <sheetData>
    <row r="1" customFormat="false" ht="17.15" hidden="false" customHeight="false" outlineLevel="0" collapsed="false">
      <c r="A1" s="13" t="s">
        <v>82</v>
      </c>
    </row>
    <row r="3" customFormat="false" ht="15" hidden="false" customHeight="false" outlineLevel="0" collapsed="false">
      <c r="A3" s="3" t="s">
        <v>2</v>
      </c>
      <c r="B3" s="4" t="s">
        <v>3</v>
      </c>
      <c r="C3" s="4" t="s">
        <v>83</v>
      </c>
      <c r="D3" s="4" t="s">
        <v>84</v>
      </c>
      <c r="E3" s="4" t="s">
        <v>85</v>
      </c>
      <c r="F3" s="4" t="s">
        <v>86</v>
      </c>
      <c r="G3" s="4" t="s">
        <v>87</v>
      </c>
      <c r="H3" s="4" t="s">
        <v>88</v>
      </c>
    </row>
    <row r="4" customFormat="false" ht="15" hidden="false" customHeight="false" outlineLevel="0" collapsed="false">
      <c r="A4" s="14" t="n">
        <f aca="false">입력가정!A5</f>
        <v>1</v>
      </c>
      <c r="B4" s="14" t="str">
        <f aca="false">입력가정!B5</f>
        <v>해운대 우동3구역</v>
      </c>
      <c r="C4" s="18" t="n">
        <v>5</v>
      </c>
      <c r="D4" s="18" t="n">
        <v>4</v>
      </c>
      <c r="E4" s="18" t="n">
        <v>4</v>
      </c>
      <c r="F4" s="18" t="n">
        <v>3</v>
      </c>
      <c r="G4" s="14" t="n">
        <f aca="false">SUM(C4:F4)</f>
        <v>16</v>
      </c>
      <c r="H4" s="19" t="s">
        <v>89</v>
      </c>
    </row>
    <row r="5" customFormat="false" ht="15" hidden="false" customHeight="false" outlineLevel="0" collapsed="false">
      <c r="A5" s="14" t="n">
        <f aca="false">입력가정!A6</f>
        <v>2</v>
      </c>
      <c r="B5" s="14" t="str">
        <f aca="false">입력가정!B6</f>
        <v>부산진 촉진2-1구역</v>
      </c>
      <c r="C5" s="18" t="n">
        <v>4</v>
      </c>
      <c r="D5" s="18" t="n">
        <v>5</v>
      </c>
      <c r="E5" s="18" t="n">
        <v>3</v>
      </c>
      <c r="F5" s="18" t="n">
        <v>3</v>
      </c>
      <c r="G5" s="14" t="n">
        <f aca="false">SUM(C5:F5)</f>
        <v>15</v>
      </c>
      <c r="H5" s="19" t="s">
        <v>89</v>
      </c>
    </row>
    <row r="6" customFormat="false" ht="15" hidden="false" customHeight="false" outlineLevel="0" collapsed="false">
      <c r="A6" s="14" t="n">
        <f aca="false">입력가정!A7</f>
        <v>3</v>
      </c>
      <c r="B6" s="14" t="str">
        <f aca="false">입력가정!B7</f>
        <v>부산진 촉진3구역</v>
      </c>
      <c r="C6" s="18" t="n">
        <v>4</v>
      </c>
      <c r="D6" s="18" t="n">
        <v>4</v>
      </c>
      <c r="E6" s="18" t="n">
        <v>3</v>
      </c>
      <c r="F6" s="18" t="n">
        <v>3</v>
      </c>
      <c r="G6" s="14" t="n">
        <f aca="false">SUM(C6:F6)</f>
        <v>14</v>
      </c>
      <c r="H6" s="19" t="s">
        <v>89</v>
      </c>
    </row>
    <row r="7" customFormat="false" ht="15" hidden="false" customHeight="false" outlineLevel="0" collapsed="false">
      <c r="A7" s="14" t="n">
        <f aca="false">입력가정!A8</f>
        <v>4</v>
      </c>
      <c r="B7" s="14" t="str">
        <f aca="false">입력가정!B8</f>
        <v>해운대 중동5구역</v>
      </c>
      <c r="C7" s="18" t="n">
        <v>4</v>
      </c>
      <c r="D7" s="18" t="n">
        <v>3</v>
      </c>
      <c r="E7" s="18" t="n">
        <v>3</v>
      </c>
      <c r="F7" s="18" t="n">
        <v>3</v>
      </c>
      <c r="G7" s="14" t="n">
        <f aca="false">SUM(C7:F7)</f>
        <v>13</v>
      </c>
      <c r="H7" s="19" t="s">
        <v>89</v>
      </c>
    </row>
    <row r="8" customFormat="false" ht="15" hidden="false" customHeight="false" outlineLevel="0" collapsed="false">
      <c r="A8" s="14" t="n">
        <f aca="false">입력가정!A9</f>
        <v>5</v>
      </c>
      <c r="B8" s="14" t="str">
        <f aca="false">입력가정!B9</f>
        <v>수영구 삼익비치(재건축)</v>
      </c>
      <c r="C8" s="18" t="n">
        <v>5</v>
      </c>
      <c r="D8" s="18" t="n">
        <v>5</v>
      </c>
      <c r="E8" s="18" t="n">
        <v>4</v>
      </c>
      <c r="F8" s="18" t="n">
        <v>3</v>
      </c>
      <c r="G8" s="14" t="n">
        <f aca="false">SUM(C8:F8)</f>
        <v>17</v>
      </c>
      <c r="H8" s="19" t="s">
        <v>89</v>
      </c>
    </row>
    <row r="9" customFormat="false" ht="15" hidden="false" customHeight="false" outlineLevel="0" collapsed="false">
      <c r="A9" s="14" t="n">
        <f aca="false">입력가정!A10</f>
        <v>6</v>
      </c>
      <c r="B9" s="14" t="str">
        <f aca="false">입력가정!B10</f>
        <v>경기 성남권 구도심 재개발(예시)</v>
      </c>
      <c r="C9" s="18" t="n">
        <v>4</v>
      </c>
      <c r="D9" s="18" t="n">
        <v>4</v>
      </c>
      <c r="E9" s="18" t="n">
        <v>3</v>
      </c>
      <c r="F9" s="18" t="n">
        <v>3</v>
      </c>
      <c r="G9" s="14" t="n">
        <f aca="false">SUM(C9:F9)</f>
        <v>14</v>
      </c>
      <c r="H9" s="19" t="s">
        <v>89</v>
      </c>
    </row>
    <row r="10" customFormat="false" ht="15" hidden="false" customHeight="false" outlineLevel="0" collapsed="false">
      <c r="A10" s="14" t="n">
        <f aca="false">입력가정!A11</f>
        <v>7</v>
      </c>
      <c r="B10" s="14" t="str">
        <f aca="false">입력가정!B11</f>
        <v>경기 수원권 재개발(예시)</v>
      </c>
      <c r="C10" s="18" t="n">
        <v>3</v>
      </c>
      <c r="D10" s="18" t="n">
        <v>4</v>
      </c>
      <c r="E10" s="18" t="n">
        <v>3</v>
      </c>
      <c r="F10" s="18" t="n">
        <v>3</v>
      </c>
      <c r="G10" s="14" t="n">
        <f aca="false">SUM(C10:F10)</f>
        <v>13</v>
      </c>
      <c r="H10" s="19" t="s">
        <v>89</v>
      </c>
    </row>
    <row r="11" customFormat="false" ht="15" hidden="false" customHeight="false" outlineLevel="0" collapsed="false">
      <c r="A11" s="14" t="n">
        <f aca="false">입력가정!A12</f>
        <v>8</v>
      </c>
      <c r="B11" s="14" t="str">
        <f aca="false">입력가정!B12</f>
        <v>대구 수성/중구 재개발(예시)</v>
      </c>
      <c r="C11" s="18" t="n">
        <v>3</v>
      </c>
      <c r="D11" s="18" t="n">
        <v>3</v>
      </c>
      <c r="E11" s="18" t="n">
        <v>3</v>
      </c>
      <c r="F11" s="18" t="n">
        <v>3</v>
      </c>
      <c r="G11" s="14" t="n">
        <f aca="false">SUM(C11:F11)</f>
        <v>12</v>
      </c>
      <c r="H11" s="19" t="s">
        <v>89</v>
      </c>
    </row>
    <row r="12" customFormat="false" ht="15" hidden="false" customHeight="false" outlineLevel="0" collapsed="false">
      <c r="A12" s="14" t="n">
        <f aca="false">입력가정!A13</f>
        <v>9</v>
      </c>
      <c r="B12" s="14" t="str">
        <f aca="false">입력가정!B13</f>
        <v>대구 도심 재개발(예시)</v>
      </c>
      <c r="C12" s="18" t="n">
        <v>3</v>
      </c>
      <c r="D12" s="18" t="n">
        <v>3</v>
      </c>
      <c r="E12" s="18" t="n">
        <v>3</v>
      </c>
      <c r="F12" s="18" t="n">
        <v>3</v>
      </c>
      <c r="G12" s="14" t="n">
        <f aca="false">SUM(C12:F12)</f>
        <v>12</v>
      </c>
      <c r="H12" s="19" t="s">
        <v>89</v>
      </c>
    </row>
    <row r="13" customFormat="false" ht="15" hidden="false" customHeight="false" outlineLevel="0" collapsed="false">
      <c r="A13" s="14" t="n">
        <f aca="false">입력가정!A14</f>
        <v>10</v>
      </c>
      <c r="B13" s="14" t="str">
        <f aca="false">입력가정!B14</f>
        <v>대전 재개발(예시)</v>
      </c>
      <c r="C13" s="18" t="n">
        <v>3</v>
      </c>
      <c r="D13" s="18" t="n">
        <v>3</v>
      </c>
      <c r="E13" s="18" t="n">
        <v>3</v>
      </c>
      <c r="F13" s="18" t="n">
        <v>3</v>
      </c>
      <c r="G13" s="14" t="n">
        <f aca="false">SUM(C13:F13)</f>
        <v>12</v>
      </c>
      <c r="H13" s="19" t="s">
        <v>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3" min="3" style="0" width="34"/>
    <col collapsed="false" customWidth="true" hidden="false" outlineLevel="0" max="4" min="4" style="0" width="10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7" min="7" style="0" width="9"/>
    <col collapsed="false" customWidth="true" hidden="false" outlineLevel="0" max="8" min="8" style="0" width="12"/>
    <col collapsed="false" customWidth="true" hidden="false" outlineLevel="0" max="9" min="9" style="0" width="18"/>
    <col collapsed="false" customWidth="true" hidden="false" outlineLevel="0" max="10" min="10" style="0" width="50"/>
  </cols>
  <sheetData>
    <row r="1" customFormat="false" ht="17.15" hidden="false" customHeight="false" outlineLevel="0" collapsed="false">
      <c r="A1" s="13" t="s">
        <v>90</v>
      </c>
    </row>
    <row r="3" customFormat="false" ht="15" hidden="false" customHeight="false" outlineLevel="0" collapsed="false">
      <c r="A3" s="20" t="s">
        <v>91</v>
      </c>
      <c r="B3" s="21" t="n">
        <v>8</v>
      </c>
      <c r="C3" s="12" t="s">
        <v>92</v>
      </c>
    </row>
    <row r="5" customFormat="false" ht="26.85" hidden="false" customHeight="false" outlineLevel="0" collapsed="false">
      <c r="A5" s="4" t="s">
        <v>93</v>
      </c>
      <c r="B5" s="4" t="s">
        <v>94</v>
      </c>
      <c r="C5" s="4" t="s">
        <v>95</v>
      </c>
      <c r="D5" s="4" t="s">
        <v>96</v>
      </c>
      <c r="E5" s="4" t="s">
        <v>67</v>
      </c>
      <c r="F5" s="4" t="s">
        <v>97</v>
      </c>
      <c r="G5" s="4" t="s">
        <v>98</v>
      </c>
      <c r="H5" s="4" t="s">
        <v>99</v>
      </c>
      <c r="I5" s="4" t="s">
        <v>100</v>
      </c>
      <c r="J5" s="4" t="s">
        <v>101</v>
      </c>
    </row>
    <row r="6" customFormat="false" ht="48" hidden="false" customHeight="true" outlineLevel="0" collapsed="false">
      <c r="A6" s="5" t="s">
        <v>102</v>
      </c>
      <c r="B6" s="6" t="s">
        <v>16</v>
      </c>
      <c r="C6" s="6" t="s">
        <v>103</v>
      </c>
      <c r="D6" s="22" t="n">
        <f aca="false">INDEX(분석!$G$4:$G$13,MATCH(B6,분석!$B$4:$B$13,0))</f>
        <v>7.3</v>
      </c>
      <c r="E6" s="22" t="n">
        <f aca="false">INDEX(분석!$H$4:$H$13,MATCH(B6,분석!$B$4:$B$13,0))</f>
        <v>16.675</v>
      </c>
      <c r="F6" s="22" t="n">
        <f aca="false">INDEX(분석!$J$4:$J$13,MATCH(B6,분석!$B$4:$B$13,0))</f>
        <v>5.325</v>
      </c>
      <c r="G6" s="23" t="n">
        <f aca="false">INDEX(분석!$K$4:$K$13,MATCH(B6,분석!$B$4:$B$13,0))</f>
        <v>0.319340329835082</v>
      </c>
      <c r="H6" s="5" t="str">
        <f aca="false">IF($B$3&gt;=D6,"충족","부족")</f>
        <v>충족</v>
      </c>
      <c r="I6" s="22" t="n">
        <f aca="false">E6-D6</f>
        <v>9.375</v>
      </c>
      <c r="J6" s="6" t="s">
        <v>104</v>
      </c>
    </row>
    <row r="7" customFormat="false" ht="48" hidden="false" customHeight="true" outlineLevel="0" collapsed="false">
      <c r="A7" s="5" t="s">
        <v>105</v>
      </c>
      <c r="B7" s="6" t="s">
        <v>22</v>
      </c>
      <c r="C7" s="6" t="s">
        <v>106</v>
      </c>
      <c r="D7" s="22" t="n">
        <f aca="false">INDEX(분석!$G$4:$G$13,MATCH(B7,분석!$B$4:$B$13,0))</f>
        <v>6.38</v>
      </c>
      <c r="E7" s="22" t="n">
        <f aca="false">INDEX(분석!$H$4:$H$13,MATCH(B7,분석!$B$4:$B$13,0))</f>
        <v>14.52</v>
      </c>
      <c r="F7" s="22" t="n">
        <f aca="false">INDEX(분석!$J$4:$J$13,MATCH(B7,분석!$B$4:$B$13,0))</f>
        <v>2.48</v>
      </c>
      <c r="G7" s="23" t="n">
        <f aca="false">INDEX(분석!$K$4:$K$13,MATCH(B7,분석!$B$4:$B$13,0))</f>
        <v>0.170798898071625</v>
      </c>
      <c r="H7" s="5" t="str">
        <f aca="false">IF($B$3&gt;=D7,"충족","부족")</f>
        <v>충족</v>
      </c>
      <c r="I7" s="22" t="n">
        <f aca="false">E7-D7</f>
        <v>8.14</v>
      </c>
      <c r="J7" s="6" t="s">
        <v>107</v>
      </c>
    </row>
    <row r="8" customFormat="false" ht="48" hidden="false" customHeight="true" outlineLevel="0" collapsed="false">
      <c r="A8" s="5" t="s">
        <v>108</v>
      </c>
      <c r="B8" s="6" t="s">
        <v>32</v>
      </c>
      <c r="C8" s="6" t="s">
        <v>109</v>
      </c>
      <c r="D8" s="22" t="n">
        <f aca="false">INDEX(분석!$G$4:$G$13,MATCH(B8,분석!$B$4:$B$13,0))</f>
        <v>5.28</v>
      </c>
      <c r="E8" s="22" t="n">
        <f aca="false">INDEX(분석!$H$4:$H$13,MATCH(B8,분석!$B$4:$B$13,0))</f>
        <v>13.88</v>
      </c>
      <c r="F8" s="22" t="n">
        <f aca="false">INDEX(분석!$J$4:$J$13,MATCH(B8,분석!$B$4:$B$13,0))</f>
        <v>3.62</v>
      </c>
      <c r="G8" s="23" t="n">
        <f aca="false">INDEX(분석!$K$4:$K$13,MATCH(B8,분석!$B$4:$B$13,0))</f>
        <v>0.260806916426513</v>
      </c>
      <c r="H8" s="5" t="str">
        <f aca="false">IF($B$3&gt;=D8,"충족","부족")</f>
        <v>충족</v>
      </c>
      <c r="I8" s="22" t="n">
        <f aca="false">E8-D8</f>
        <v>8.6</v>
      </c>
      <c r="J8" s="6" t="s">
        <v>110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0"/>
  </cols>
  <sheetData>
    <row r="1" customFormat="false" ht="14.15" hidden="false" customHeight="false" outlineLevel="0" collapsed="false">
      <c r="A1" s="24" t="s">
        <v>111</v>
      </c>
    </row>
    <row r="2" customFormat="false" ht="14.15" hidden="false" customHeight="false" outlineLevel="0" collapsed="false">
      <c r="A2" s="25" t="s">
        <v>112</v>
      </c>
    </row>
    <row r="3" customFormat="false" ht="14.15" hidden="false" customHeight="false" outlineLevel="0" collapsed="false">
      <c r="A3" s="25" t="s">
        <v>113</v>
      </c>
    </row>
    <row r="4" customFormat="false" ht="14.15" hidden="false" customHeight="false" outlineLevel="0" collapsed="false">
      <c r="A4" s="25" t="s">
        <v>114</v>
      </c>
    </row>
    <row r="5" customFormat="false" ht="14.15" hidden="false" customHeight="false" outlineLevel="0" collapsed="false">
      <c r="A5" s="25" t="s">
        <v>115</v>
      </c>
    </row>
    <row r="6" customFormat="false" ht="14.15" hidden="false" customHeight="false" outlineLevel="0" collapsed="false">
      <c r="A6" s="25" t="s">
        <v>116</v>
      </c>
    </row>
    <row r="7" customFormat="false" ht="14.15" hidden="false" customHeight="false" outlineLevel="0" collapsed="false">
      <c r="A7" s="25" t="s">
        <v>117</v>
      </c>
    </row>
    <row r="8" customFormat="false" ht="15" hidden="false" customHeight="false" outlineLevel="0" collapsed="false">
      <c r="A8" s="25"/>
    </row>
    <row r="9" customFormat="false" ht="14.15" hidden="false" customHeight="false" outlineLevel="0" collapsed="false">
      <c r="A9" s="24" t="s">
        <v>118</v>
      </c>
    </row>
    <row r="10" customFormat="false" ht="14.15" hidden="false" customHeight="false" outlineLevel="0" collapsed="false">
      <c r="A10" s="25" t="s">
        <v>119</v>
      </c>
    </row>
    <row r="11" customFormat="false" ht="14.15" hidden="false" customHeight="false" outlineLevel="0" collapsed="false">
      <c r="A11" s="25" t="s">
        <v>120</v>
      </c>
    </row>
    <row r="12" customFormat="false" ht="15" hidden="false" customHeight="false" outlineLevel="0" collapsed="false">
      <c r="A12" s="25"/>
    </row>
    <row r="13" customFormat="false" ht="14.15" hidden="false" customHeight="false" outlineLevel="0" collapsed="false">
      <c r="A13" s="24" t="s">
        <v>121</v>
      </c>
    </row>
    <row r="14" customFormat="false" ht="14.15" hidden="false" customHeight="false" outlineLevel="0" collapsed="false">
      <c r="A14" s="25" t="s">
        <v>122</v>
      </c>
    </row>
    <row r="15" customFormat="false" ht="14.15" hidden="false" customHeight="false" outlineLevel="0" collapsed="false">
      <c r="A15" s="25" t="s">
        <v>123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2026-10-29T02:58:46Z</dcterms:created>
  <dc:creator>openpyxl</dc:creator>
  <dc:description/>
  <dc:language>en-US</dc:language>
  <cp:lastModifiedBy/>
  <dcterms:modified xsi:type="dcterms:W3CDTF">2026-10-29T02:58:46Z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